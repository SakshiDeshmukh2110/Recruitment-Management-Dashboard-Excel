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c3dd1d677aab39cc/Desktop/EXCEL PROJECT/"/>
    </mc:Choice>
  </mc:AlternateContent>
  <xr:revisionPtr revIDLastSave="0" documentId="8_{6A8A95B9-B5BC-4118-ABF8-F0A899A80F8E}" xr6:coauthVersionLast="47" xr6:coauthVersionMax="47" xr10:uidLastSave="{00000000-0000-0000-0000-000000000000}"/>
  <bookViews>
    <workbookView xWindow="-108" yWindow="-108" windowWidth="23256" windowHeight="12456" firstSheet="14" activeTab="16" xr2:uid="{0C8F6EDF-0844-4A73-A338-1B910F744E2B}"/>
  </bookViews>
  <sheets>
    <sheet name="Employee_Joining" sheetId="1" r:id="rId1"/>
    <sheet name="Interview" sheetId="2" r:id="rId2"/>
    <sheet name="Job_Opening" sheetId="3" r:id="rId3"/>
    <sheet name="Offers" sheetId="4" r:id="rId4"/>
    <sheet name="Recruitment_Target" sheetId="5" r:id="rId5"/>
    <sheet name="Recruiter" sheetId="8" r:id="rId6"/>
    <sheet name="Calendar" sheetId="6" r:id="rId7"/>
    <sheet name="Candidates" sheetId="7" r:id="rId8"/>
    <sheet name="Candidate_SourceP1" sheetId="10" r:id="rId9"/>
    <sheet name="Experience_BandP2" sheetId="11" r:id="rId10"/>
    <sheet name="Age_GroupP3" sheetId="17" r:id="rId11"/>
    <sheet name="Monthly_Applicationp4" sheetId="12" r:id="rId12"/>
    <sheet name="Department_HiringP5" sheetId="13" r:id="rId13"/>
    <sheet name="Recruiter_PerformanceP6" sheetId="14" r:id="rId14"/>
    <sheet name="Offer_StatusP7" sheetId="15" r:id="rId15"/>
    <sheet name="Joining_TrendP8" sheetId="16" r:id="rId16"/>
    <sheet name="Dashboard" sheetId="18" r:id="rId17"/>
    <sheet name="KPI" sheetId="9" r:id="rId18"/>
  </sheets>
  <externalReferences>
    <externalReference r:id="rId19"/>
  </externalReferences>
  <definedNames>
    <definedName name="_xlnm._FilterDatabase" localSheetId="2" hidden="1">Job_Opening!$H$1:$H$49</definedName>
    <definedName name="_xlnm._FilterDatabase" localSheetId="3" hidden="1">Offers!$A$1:$H$232</definedName>
    <definedName name="Slicer_Application_Month">#N/A</definedName>
    <definedName name="Slicer_Department">#N/A</definedName>
    <definedName name="Slicer_Recruiter_Name">#N/A</definedName>
    <definedName name="Slicer_Source">#N/A</definedName>
  </definedNames>
  <calcPr calcId="191029"/>
  <pivotCaches>
    <pivotCache cacheId="26" r:id="rId20"/>
    <pivotCache cacheId="11" r:id="rId21"/>
    <pivotCache cacheId="15" r:id="rId22"/>
    <pivotCache cacheId="20" r:id="rId23"/>
    <pivotCache cacheId="24"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9" l="1"/>
  <c r="I4" i="9"/>
  <c r="I2" i="9"/>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D2" i="5"/>
  <c r="D3" i="5"/>
  <c r="D4" i="5"/>
  <c r="D5" i="5"/>
  <c r="D6" i="5"/>
  <c r="D7" i="5"/>
  <c r="D8" i="5"/>
  <c r="D9" i="5"/>
  <c r="D10" i="5"/>
  <c r="D11" i="5"/>
  <c r="E2" i="5"/>
  <c r="E3" i="5"/>
  <c r="E4" i="5"/>
  <c r="E5" i="5"/>
  <c r="E6" i="5"/>
  <c r="E7" i="5"/>
  <c r="E8" i="5"/>
  <c r="E9" i="5"/>
  <c r="E10" i="5"/>
  <c r="E11" i="5"/>
  <c r="G2" i="8"/>
  <c r="G3" i="8"/>
  <c r="G4" i="8"/>
  <c r="G5" i="8"/>
  <c r="G6" i="8"/>
  <c r="G7" i="8"/>
  <c r="G8" i="8"/>
  <c r="G9" i="8"/>
  <c r="G10" i="8"/>
  <c r="G11" i="8"/>
  <c r="G12" i="8"/>
  <c r="G13" i="8"/>
  <c r="G14" i="8"/>
  <c r="G15" i="8"/>
  <c r="G16" i="8"/>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U851" i="7"/>
  <c r="U852" i="7"/>
  <c r="U853" i="7"/>
  <c r="U854" i="7"/>
  <c r="U855" i="7"/>
  <c r="U856" i="7"/>
  <c r="U857" i="7"/>
  <c r="U858" i="7"/>
  <c r="U859" i="7"/>
  <c r="U860" i="7"/>
  <c r="U861" i="7"/>
  <c r="U862" i="7"/>
  <c r="U863" i="7"/>
  <c r="U864" i="7"/>
  <c r="U865" i="7"/>
  <c r="U866" i="7"/>
  <c r="U867" i="7"/>
  <c r="U868" i="7"/>
  <c r="U869" i="7"/>
  <c r="U870" i="7"/>
  <c r="U871" i="7"/>
  <c r="U872" i="7"/>
  <c r="U873" i="7"/>
  <c r="U874" i="7"/>
  <c r="U875" i="7"/>
  <c r="U876" i="7"/>
  <c r="U877" i="7"/>
  <c r="U878" i="7"/>
  <c r="U879" i="7"/>
  <c r="U880" i="7"/>
  <c r="U881" i="7"/>
  <c r="U882" i="7"/>
  <c r="U883" i="7"/>
  <c r="U884" i="7"/>
  <c r="U885" i="7"/>
  <c r="U886" 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r="U912" i="7"/>
  <c r="U913" i="7"/>
  <c r="U914" i="7"/>
  <c r="U915" i="7"/>
  <c r="U916" i="7"/>
  <c r="U917" i="7"/>
  <c r="U918" i="7"/>
  <c r="U919" i="7"/>
  <c r="U920" i="7"/>
  <c r="U921" i="7"/>
  <c r="U922" i="7"/>
  <c r="U923" i="7"/>
  <c r="U924" i="7"/>
  <c r="U925" i="7"/>
  <c r="U926" i="7"/>
  <c r="U927" i="7"/>
  <c r="U928" i="7"/>
  <c r="U929" i="7"/>
  <c r="U930" i="7"/>
  <c r="U931" i="7"/>
  <c r="U932" i="7"/>
  <c r="U933" i="7"/>
  <c r="U934" i="7"/>
  <c r="U935" i="7"/>
  <c r="U936" i="7"/>
  <c r="U937" i="7"/>
  <c r="U938" i="7"/>
  <c r="U939" i="7"/>
  <c r="U940" i="7"/>
  <c r="U941" i="7"/>
  <c r="U942" i="7"/>
  <c r="U943" i="7"/>
  <c r="U944" i="7"/>
  <c r="U945" i="7"/>
  <c r="U946" i="7"/>
  <c r="U947" i="7"/>
  <c r="U948" i="7"/>
  <c r="U949" i="7"/>
  <c r="U950" i="7"/>
  <c r="U951" i="7"/>
  <c r="U952" i="7"/>
  <c r="U953" i="7"/>
  <c r="U954" i="7"/>
  <c r="U955" i="7"/>
  <c r="U956" i="7"/>
  <c r="U957" i="7"/>
  <c r="U958" i="7"/>
  <c r="U959" i="7"/>
  <c r="U960" i="7"/>
  <c r="U961" i="7"/>
  <c r="U962" i="7"/>
  <c r="U963" i="7"/>
  <c r="U964" i="7"/>
  <c r="U965" i="7"/>
  <c r="U966" i="7"/>
  <c r="U967" i="7"/>
  <c r="U968" i="7"/>
  <c r="U969" i="7"/>
  <c r="U970" i="7"/>
  <c r="U971" i="7"/>
  <c r="U972" i="7"/>
  <c r="U973" i="7"/>
  <c r="U974" i="7"/>
  <c r="U975" i="7"/>
  <c r="U976" i="7"/>
  <c r="U977" i="7"/>
  <c r="U978" i="7"/>
  <c r="U979" i="7"/>
  <c r="U980" i="7"/>
  <c r="U981" i="7"/>
  <c r="U982" i="7"/>
  <c r="U983" i="7"/>
  <c r="U984" i="7"/>
  <c r="U985" i="7"/>
  <c r="U986" i="7"/>
  <c r="U987" i="7"/>
  <c r="U988" i="7"/>
  <c r="U989" i="7"/>
  <c r="U990" i="7"/>
  <c r="U991" i="7"/>
  <c r="U992" i="7"/>
  <c r="U993" i="7"/>
  <c r="U994" i="7"/>
  <c r="U995" i="7"/>
  <c r="U996" i="7"/>
  <c r="U997" i="7"/>
  <c r="U998" i="7"/>
  <c r="U999" i="7"/>
  <c r="U1000" i="7"/>
  <c r="U1001" i="7"/>
  <c r="U1002" i="7"/>
  <c r="U1003" i="7"/>
  <c r="U1004" i="7"/>
  <c r="U1005" i="7"/>
  <c r="U1006" i="7"/>
  <c r="U1007" i="7"/>
  <c r="U1008" i="7"/>
  <c r="U1009" i="7"/>
  <c r="U1010" i="7"/>
  <c r="U1011" i="7"/>
  <c r="U1012" i="7"/>
  <c r="U1013" i="7"/>
  <c r="U1014" i="7"/>
  <c r="U1015" i="7"/>
  <c r="U1016" i="7"/>
  <c r="U1017" i="7"/>
  <c r="U1018" i="7"/>
  <c r="U1019" i="7"/>
  <c r="U1020" i="7"/>
  <c r="U1021" i="7"/>
  <c r="U1022" i="7"/>
  <c r="U1023" i="7"/>
  <c r="U1024" i="7"/>
  <c r="U1025" i="7"/>
  <c r="U1026" i="7"/>
  <c r="U1027" i="7"/>
  <c r="U1028" i="7"/>
  <c r="U1029" i="7"/>
  <c r="U1030" i="7"/>
  <c r="U1031" i="7"/>
  <c r="U1032" i="7"/>
  <c r="U1033" i="7"/>
  <c r="U1034" i="7"/>
  <c r="U1035" i="7"/>
  <c r="U1036" i="7"/>
  <c r="U1037" i="7"/>
  <c r="U1038" i="7"/>
  <c r="U1039" i="7"/>
  <c r="U1040" i="7"/>
  <c r="U1041" i="7"/>
  <c r="U1042" i="7"/>
  <c r="U1043" i="7"/>
  <c r="U1044" i="7"/>
  <c r="U1045" i="7"/>
  <c r="U1046" i="7"/>
  <c r="U1047" i="7"/>
  <c r="U1048" i="7"/>
  <c r="U1049" i="7"/>
  <c r="U1050" i="7"/>
  <c r="U1051" i="7"/>
  <c r="U1052" i="7"/>
  <c r="U1053" i="7"/>
  <c r="U1054" i="7"/>
  <c r="U1055" i="7"/>
  <c r="U1056" i="7"/>
  <c r="U1057" i="7"/>
  <c r="U1058" i="7"/>
  <c r="U1059" i="7"/>
  <c r="U1060" i="7"/>
  <c r="U1061" i="7"/>
  <c r="U1062" i="7"/>
  <c r="U1063" i="7"/>
  <c r="U1064" i="7"/>
  <c r="U1065" i="7"/>
  <c r="U1066" i="7"/>
  <c r="U1067" i="7"/>
  <c r="U1068" i="7"/>
  <c r="U1069" i="7"/>
  <c r="U1070" i="7"/>
  <c r="U1071" i="7"/>
  <c r="U1072" i="7"/>
  <c r="U1073" i="7"/>
  <c r="U1074" i="7"/>
  <c r="U1075" i="7"/>
  <c r="U1076" i="7"/>
  <c r="U1077" i="7"/>
  <c r="U1078" i="7"/>
  <c r="U1079" i="7"/>
  <c r="U1080" i="7"/>
  <c r="U1081" i="7"/>
  <c r="U1082" i="7"/>
  <c r="U1083" i="7"/>
  <c r="U1084" i="7"/>
  <c r="U1085" i="7"/>
  <c r="U1086" i="7"/>
  <c r="U1087" i="7"/>
  <c r="U1088" i="7"/>
  <c r="U1089" i="7"/>
  <c r="U1090" i="7"/>
  <c r="U1091" i="7"/>
  <c r="U1092" i="7"/>
  <c r="U1093" i="7"/>
  <c r="U1094" i="7"/>
  <c r="U1095" i="7"/>
  <c r="U1096" i="7"/>
  <c r="U1097" i="7"/>
  <c r="U1098" i="7"/>
  <c r="U1099" i="7"/>
  <c r="U1100" i="7"/>
  <c r="U1101" i="7"/>
  <c r="U1102" i="7"/>
  <c r="U1103" i="7"/>
  <c r="U1104" i="7"/>
  <c r="U1105" i="7"/>
  <c r="U1106" i="7"/>
  <c r="U1107" i="7"/>
  <c r="U1108" i="7"/>
  <c r="U1109" i="7"/>
  <c r="U1110" i="7"/>
  <c r="U1111" i="7"/>
  <c r="U1112" i="7"/>
  <c r="U1113" i="7"/>
  <c r="U1114" i="7"/>
  <c r="U1115" i="7"/>
  <c r="U1116" i="7"/>
  <c r="U1117" i="7"/>
  <c r="U1118" i="7"/>
  <c r="U1119" i="7"/>
  <c r="U1120" i="7"/>
  <c r="U1121" i="7"/>
  <c r="U1122" i="7"/>
  <c r="U1123" i="7"/>
  <c r="U1124" i="7"/>
  <c r="U1125" i="7"/>
  <c r="U1126" i="7"/>
  <c r="U1127" i="7"/>
  <c r="U1128" i="7"/>
  <c r="U1129" i="7"/>
  <c r="U1130" i="7"/>
  <c r="U1131" i="7"/>
  <c r="U1132" i="7"/>
  <c r="U1133" i="7"/>
  <c r="U1134" i="7"/>
  <c r="U1135" i="7"/>
  <c r="U1136" i="7"/>
  <c r="U1137" i="7"/>
  <c r="U1138" i="7"/>
  <c r="U1139" i="7"/>
  <c r="U1140" i="7"/>
  <c r="U1141" i="7"/>
  <c r="U1142" i="7"/>
  <c r="U1143" i="7"/>
  <c r="U1144" i="7"/>
  <c r="U1145" i="7"/>
  <c r="U1146" i="7"/>
  <c r="U1147" i="7"/>
  <c r="U1148" i="7"/>
  <c r="U1149" i="7"/>
  <c r="U1150" i="7"/>
  <c r="U1151" i="7"/>
  <c r="U1152" i="7"/>
  <c r="U1153" i="7"/>
  <c r="U1154" i="7"/>
  <c r="U1155" i="7"/>
  <c r="U1156" i="7"/>
  <c r="U1157" i="7"/>
  <c r="U1158" i="7"/>
  <c r="U1159" i="7"/>
  <c r="U1160" i="7"/>
  <c r="U1161" i="7"/>
  <c r="U1162" i="7"/>
  <c r="U1163" i="7"/>
  <c r="U1164" i="7"/>
  <c r="U1165" i="7"/>
  <c r="U1166" i="7"/>
  <c r="U1167" i="7"/>
  <c r="U1168" i="7"/>
  <c r="U1169" i="7"/>
  <c r="U1170" i="7"/>
  <c r="U1171" i="7"/>
  <c r="U1172" i="7"/>
  <c r="U1173" i="7"/>
  <c r="U1174" i="7"/>
  <c r="U1175" i="7"/>
  <c r="U1176" i="7"/>
  <c r="U1177" i="7"/>
  <c r="U1178" i="7"/>
  <c r="U1179" i="7"/>
  <c r="U1180" i="7"/>
  <c r="U1181" i="7"/>
  <c r="U1182" i="7"/>
  <c r="U1183" i="7"/>
  <c r="U1184" i="7"/>
  <c r="U1185" i="7"/>
  <c r="U1186" i="7"/>
  <c r="U1187" i="7"/>
  <c r="U1188" i="7"/>
  <c r="U1189" i="7"/>
  <c r="U1190" i="7"/>
  <c r="U1191" i="7"/>
  <c r="U1192" i="7"/>
  <c r="U1193" i="7"/>
  <c r="U1194" i="7"/>
  <c r="U1195" i="7"/>
  <c r="U1196" i="7"/>
  <c r="U1197" i="7"/>
  <c r="U1198" i="7"/>
  <c r="U1199" i="7"/>
  <c r="U1200" i="7"/>
  <c r="U1201"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T722" i="7"/>
  <c r="T723" i="7"/>
  <c r="T724" i="7"/>
  <c r="T725" i="7"/>
  <c r="T726" i="7"/>
  <c r="T727" i="7"/>
  <c r="T728" i="7"/>
  <c r="T729" i="7"/>
  <c r="T730" i="7"/>
  <c r="T731" i="7"/>
  <c r="T732" i="7"/>
  <c r="T733" i="7"/>
  <c r="T734" i="7"/>
  <c r="T735" i="7"/>
  <c r="T736" i="7"/>
  <c r="T737" i="7"/>
  <c r="T738" i="7"/>
  <c r="T739" i="7"/>
  <c r="T740" i="7"/>
  <c r="T741" i="7"/>
  <c r="T742" i="7"/>
  <c r="T743" i="7"/>
  <c r="T744" i="7"/>
  <c r="T745" i="7"/>
  <c r="T746" i="7"/>
  <c r="T747" i="7"/>
  <c r="T748" i="7"/>
  <c r="T749" i="7"/>
  <c r="T750" i="7"/>
  <c r="T751" i="7"/>
  <c r="T752" i="7"/>
  <c r="T753" i="7"/>
  <c r="T754" i="7"/>
  <c r="T755" i="7"/>
  <c r="T756" i="7"/>
  <c r="T757" i="7"/>
  <c r="T758" i="7"/>
  <c r="T759" i="7"/>
  <c r="T760" i="7"/>
  <c r="T761" i="7"/>
  <c r="T762" i="7"/>
  <c r="T763" i="7"/>
  <c r="T764" i="7"/>
  <c r="T765" i="7"/>
  <c r="T766" i="7"/>
  <c r="T767" i="7"/>
  <c r="T768" i="7"/>
  <c r="T769" i="7"/>
  <c r="T770" i="7"/>
  <c r="T771" i="7"/>
  <c r="T772" i="7"/>
  <c r="T773" i="7"/>
  <c r="T774" i="7"/>
  <c r="T775" i="7"/>
  <c r="T776" i="7"/>
  <c r="T777" i="7"/>
  <c r="T778" i="7"/>
  <c r="T779" i="7"/>
  <c r="T780" i="7"/>
  <c r="T781" i="7"/>
  <c r="T782" i="7"/>
  <c r="T783" i="7"/>
  <c r="T784" i="7"/>
  <c r="T785" i="7"/>
  <c r="T786" i="7"/>
  <c r="T787" i="7"/>
  <c r="T788" i="7"/>
  <c r="T789" i="7"/>
  <c r="T790" i="7"/>
  <c r="T791" i="7"/>
  <c r="T792" i="7"/>
  <c r="T793" i="7"/>
  <c r="T794" i="7"/>
  <c r="T795" i="7"/>
  <c r="T796" i="7"/>
  <c r="T797" i="7"/>
  <c r="T798" i="7"/>
  <c r="T799" i="7"/>
  <c r="T800" i="7"/>
  <c r="T801" i="7"/>
  <c r="T802" i="7"/>
  <c r="T803" i="7"/>
  <c r="T804" i="7"/>
  <c r="T805" i="7"/>
  <c r="T806" i="7"/>
  <c r="T807" i="7"/>
  <c r="T808" i="7"/>
  <c r="T809" i="7"/>
  <c r="T810" i="7"/>
  <c r="T811" i="7"/>
  <c r="T812" i="7"/>
  <c r="T813" i="7"/>
  <c r="T814" i="7"/>
  <c r="T815" i="7"/>
  <c r="T816" i="7"/>
  <c r="T817" i="7"/>
  <c r="T818" i="7"/>
  <c r="T819" i="7"/>
  <c r="T820" i="7"/>
  <c r="T821" i="7"/>
  <c r="T822" i="7"/>
  <c r="T823" i="7"/>
  <c r="T824" i="7"/>
  <c r="T825" i="7"/>
  <c r="T826" i="7"/>
  <c r="T827" i="7"/>
  <c r="T828" i="7"/>
  <c r="T829" i="7"/>
  <c r="T830" i="7"/>
  <c r="T831" i="7"/>
  <c r="T832" i="7"/>
  <c r="T833" i="7"/>
  <c r="T834" i="7"/>
  <c r="T835" i="7"/>
  <c r="T836" i="7"/>
  <c r="T837" i="7"/>
  <c r="T838" i="7"/>
  <c r="T839" i="7"/>
  <c r="T840" i="7"/>
  <c r="T841" i="7"/>
  <c r="T842" i="7"/>
  <c r="T843" i="7"/>
  <c r="T844" i="7"/>
  <c r="T845" i="7"/>
  <c r="T846" i="7"/>
  <c r="T847" i="7"/>
  <c r="T848" i="7"/>
  <c r="T849" i="7"/>
  <c r="T850" i="7"/>
  <c r="T851" i="7"/>
  <c r="T852" i="7"/>
  <c r="T853" i="7"/>
  <c r="T854" i="7"/>
  <c r="T855" i="7"/>
  <c r="T856" i="7"/>
  <c r="T857" i="7"/>
  <c r="T858" i="7"/>
  <c r="T859" i="7"/>
  <c r="T860" i="7"/>
  <c r="T861" i="7"/>
  <c r="T862" i="7"/>
  <c r="T863" i="7"/>
  <c r="T864" i="7"/>
  <c r="T865" i="7"/>
  <c r="T866" i="7"/>
  <c r="T867" i="7"/>
  <c r="T868" i="7"/>
  <c r="T869" i="7"/>
  <c r="T870" i="7"/>
  <c r="T871" i="7"/>
  <c r="T872" i="7"/>
  <c r="T873" i="7"/>
  <c r="T874" i="7"/>
  <c r="T875" i="7"/>
  <c r="T876" i="7"/>
  <c r="T877" i="7"/>
  <c r="T878" i="7"/>
  <c r="T879" i="7"/>
  <c r="T880" i="7"/>
  <c r="T881" i="7"/>
  <c r="T882" i="7"/>
  <c r="T883" i="7"/>
  <c r="T884" i="7"/>
  <c r="T885" i="7"/>
  <c r="T886" i="7"/>
  <c r="T887" i="7"/>
  <c r="T888" i="7"/>
  <c r="T889" i="7"/>
  <c r="T890" i="7"/>
  <c r="T891" i="7"/>
  <c r="T892" i="7"/>
  <c r="T893" i="7"/>
  <c r="T894" i="7"/>
  <c r="T895" i="7"/>
  <c r="T896" i="7"/>
  <c r="T897" i="7"/>
  <c r="T898" i="7"/>
  <c r="T899" i="7"/>
  <c r="T900" i="7"/>
  <c r="T901" i="7"/>
  <c r="T902" i="7"/>
  <c r="T903" i="7"/>
  <c r="T904" i="7"/>
  <c r="T905" i="7"/>
  <c r="T906" i="7"/>
  <c r="T907" i="7"/>
  <c r="T908" i="7"/>
  <c r="T909" i="7"/>
  <c r="T910" i="7"/>
  <c r="T911" i="7"/>
  <c r="T912" i="7"/>
  <c r="T913" i="7"/>
  <c r="T914" i="7"/>
  <c r="T915" i="7"/>
  <c r="T916" i="7"/>
  <c r="T917" i="7"/>
  <c r="T918" i="7"/>
  <c r="T919" i="7"/>
  <c r="T920" i="7"/>
  <c r="T921" i="7"/>
  <c r="T922" i="7"/>
  <c r="T923" i="7"/>
  <c r="T924" i="7"/>
  <c r="T925" i="7"/>
  <c r="T926" i="7"/>
  <c r="T927" i="7"/>
  <c r="T928" i="7"/>
  <c r="T929" i="7"/>
  <c r="T930" i="7"/>
  <c r="T931" i="7"/>
  <c r="T932" i="7"/>
  <c r="T933" i="7"/>
  <c r="T934" i="7"/>
  <c r="T935" i="7"/>
  <c r="T936" i="7"/>
  <c r="T937" i="7"/>
  <c r="T938" i="7"/>
  <c r="T939" i="7"/>
  <c r="T940" i="7"/>
  <c r="T941" i="7"/>
  <c r="T942" i="7"/>
  <c r="T943" i="7"/>
  <c r="T944" i="7"/>
  <c r="T945" i="7"/>
  <c r="T946" i="7"/>
  <c r="T947" i="7"/>
  <c r="T948" i="7"/>
  <c r="T949" i="7"/>
  <c r="T950" i="7"/>
  <c r="T951" i="7"/>
  <c r="T952" i="7"/>
  <c r="T953" i="7"/>
  <c r="T954" i="7"/>
  <c r="T955" i="7"/>
  <c r="T956" i="7"/>
  <c r="T957" i="7"/>
  <c r="T958" i="7"/>
  <c r="T959" i="7"/>
  <c r="T960" i="7"/>
  <c r="T961" i="7"/>
  <c r="T962" i="7"/>
  <c r="T963" i="7"/>
  <c r="T964" i="7"/>
  <c r="T965" i="7"/>
  <c r="T966" i="7"/>
  <c r="T967" i="7"/>
  <c r="T968" i="7"/>
  <c r="T969" i="7"/>
  <c r="T970" i="7"/>
  <c r="T971" i="7"/>
  <c r="T972" i="7"/>
  <c r="T973" i="7"/>
  <c r="T974" i="7"/>
  <c r="T975" i="7"/>
  <c r="T976" i="7"/>
  <c r="T977" i="7"/>
  <c r="T978" i="7"/>
  <c r="T979" i="7"/>
  <c r="T980" i="7"/>
  <c r="T981" i="7"/>
  <c r="T982" i="7"/>
  <c r="T983" i="7"/>
  <c r="T984" i="7"/>
  <c r="T985" i="7"/>
  <c r="T986" i="7"/>
  <c r="T987" i="7"/>
  <c r="T988" i="7"/>
  <c r="T989" i="7"/>
  <c r="T990" i="7"/>
  <c r="T991" i="7"/>
  <c r="T992" i="7"/>
  <c r="T993" i="7"/>
  <c r="T994" i="7"/>
  <c r="T995" i="7"/>
  <c r="T996" i="7"/>
  <c r="T997" i="7"/>
  <c r="T998" i="7"/>
  <c r="T999" i="7"/>
  <c r="T1000" i="7"/>
  <c r="T1001" i="7"/>
  <c r="T1002" i="7"/>
  <c r="T1003" i="7"/>
  <c r="T1004" i="7"/>
  <c r="T1005" i="7"/>
  <c r="T1006" i="7"/>
  <c r="T1007" i="7"/>
  <c r="T1008" i="7"/>
  <c r="T1009" i="7"/>
  <c r="T1010" i="7"/>
  <c r="T1011" i="7"/>
  <c r="T1012" i="7"/>
  <c r="T1013" i="7"/>
  <c r="T1014" i="7"/>
  <c r="T1015" i="7"/>
  <c r="T1016" i="7"/>
  <c r="T1017" i="7"/>
  <c r="T1018" i="7"/>
  <c r="T1019" i="7"/>
  <c r="T1020" i="7"/>
  <c r="T1021" i="7"/>
  <c r="T1022" i="7"/>
  <c r="T1023" i="7"/>
  <c r="T1024" i="7"/>
  <c r="T1025" i="7"/>
  <c r="T1026" i="7"/>
  <c r="T1027" i="7"/>
  <c r="T1028" i="7"/>
  <c r="T1029" i="7"/>
  <c r="T1030" i="7"/>
  <c r="T1031" i="7"/>
  <c r="T1032" i="7"/>
  <c r="T1033" i="7"/>
  <c r="T1034" i="7"/>
  <c r="T1035" i="7"/>
  <c r="T1036" i="7"/>
  <c r="T1037" i="7"/>
  <c r="T1038" i="7"/>
  <c r="T1039" i="7"/>
  <c r="T1040" i="7"/>
  <c r="T1041" i="7"/>
  <c r="T1042" i="7"/>
  <c r="T1043" i="7"/>
  <c r="T1044" i="7"/>
  <c r="T1045" i="7"/>
  <c r="T1046" i="7"/>
  <c r="T1047" i="7"/>
  <c r="T1048" i="7"/>
  <c r="T1049" i="7"/>
  <c r="T1050" i="7"/>
  <c r="T1051" i="7"/>
  <c r="T1052" i="7"/>
  <c r="T1053" i="7"/>
  <c r="T1054" i="7"/>
  <c r="T1055" i="7"/>
  <c r="T1056" i="7"/>
  <c r="T1057" i="7"/>
  <c r="T1058" i="7"/>
  <c r="T1059" i="7"/>
  <c r="T1060" i="7"/>
  <c r="T1061" i="7"/>
  <c r="T1062" i="7"/>
  <c r="T1063" i="7"/>
  <c r="T1064" i="7"/>
  <c r="T1065" i="7"/>
  <c r="T1066" i="7"/>
  <c r="T1067" i="7"/>
  <c r="T1068" i="7"/>
  <c r="T1069" i="7"/>
  <c r="T1070" i="7"/>
  <c r="T1071" i="7"/>
  <c r="T1072" i="7"/>
  <c r="T1073" i="7"/>
  <c r="T1074" i="7"/>
  <c r="T1075" i="7"/>
  <c r="T1076" i="7"/>
  <c r="T1077" i="7"/>
  <c r="T1078" i="7"/>
  <c r="T1079" i="7"/>
  <c r="T1080" i="7"/>
  <c r="T1081" i="7"/>
  <c r="T1082" i="7"/>
  <c r="T1083" i="7"/>
  <c r="T1084" i="7"/>
  <c r="T1085" i="7"/>
  <c r="T1086" i="7"/>
  <c r="T1087" i="7"/>
  <c r="T1088" i="7"/>
  <c r="T1089" i="7"/>
  <c r="T1090" i="7"/>
  <c r="T1091" i="7"/>
  <c r="T1092" i="7"/>
  <c r="T1093" i="7"/>
  <c r="T1094" i="7"/>
  <c r="T1095" i="7"/>
  <c r="T1096" i="7"/>
  <c r="T1097" i="7"/>
  <c r="T1098" i="7"/>
  <c r="T1099" i="7"/>
  <c r="T1100" i="7"/>
  <c r="T1101" i="7"/>
  <c r="T1102" i="7"/>
  <c r="T1103" i="7"/>
  <c r="T1104" i="7"/>
  <c r="T1105" i="7"/>
  <c r="T1106" i="7"/>
  <c r="T1107" i="7"/>
  <c r="T1108" i="7"/>
  <c r="T1109" i="7"/>
  <c r="T1110" i="7"/>
  <c r="T1111" i="7"/>
  <c r="T1112" i="7"/>
  <c r="T1113" i="7"/>
  <c r="T1114" i="7"/>
  <c r="T1115" i="7"/>
  <c r="T1116" i="7"/>
  <c r="T1117" i="7"/>
  <c r="T1118" i="7"/>
  <c r="T1119" i="7"/>
  <c r="T1120" i="7"/>
  <c r="T1121" i="7"/>
  <c r="T1122" i="7"/>
  <c r="T1123" i="7"/>
  <c r="T1124" i="7"/>
  <c r="T1125" i="7"/>
  <c r="T1126" i="7"/>
  <c r="T1127" i="7"/>
  <c r="T1128" i="7"/>
  <c r="T1129" i="7"/>
  <c r="T1130" i="7"/>
  <c r="T1131" i="7"/>
  <c r="T1132" i="7"/>
  <c r="T1133" i="7"/>
  <c r="T1134" i="7"/>
  <c r="T1135" i="7"/>
  <c r="T1136" i="7"/>
  <c r="T1137" i="7"/>
  <c r="T1138" i="7"/>
  <c r="T1139" i="7"/>
  <c r="T1140" i="7"/>
  <c r="T1141" i="7"/>
  <c r="T1142" i="7"/>
  <c r="T1143" i="7"/>
  <c r="T1144" i="7"/>
  <c r="T1145" i="7"/>
  <c r="T1146" i="7"/>
  <c r="T1147" i="7"/>
  <c r="T1148" i="7"/>
  <c r="T1149" i="7"/>
  <c r="T1150" i="7"/>
  <c r="T1151" i="7"/>
  <c r="T1152" i="7"/>
  <c r="T1153" i="7"/>
  <c r="T1154" i="7"/>
  <c r="T1155" i="7"/>
  <c r="T1156" i="7"/>
  <c r="T1157" i="7"/>
  <c r="T1158" i="7"/>
  <c r="T1159" i="7"/>
  <c r="T1160" i="7"/>
  <c r="T1161" i="7"/>
  <c r="T1162" i="7"/>
  <c r="T1163" i="7"/>
  <c r="T1164" i="7"/>
  <c r="T1165" i="7"/>
  <c r="T1166" i="7"/>
  <c r="T1167" i="7"/>
  <c r="T1168" i="7"/>
  <c r="T1169" i="7"/>
  <c r="T1170" i="7"/>
  <c r="T1171" i="7"/>
  <c r="T1172" i="7"/>
  <c r="T1173" i="7"/>
  <c r="T1174" i="7"/>
  <c r="T1175" i="7"/>
  <c r="T1176" i="7"/>
  <c r="T1177" i="7"/>
  <c r="T1178" i="7"/>
  <c r="T1179" i="7"/>
  <c r="T1180" i="7"/>
  <c r="T1181" i="7"/>
  <c r="T1182" i="7"/>
  <c r="T1183" i="7"/>
  <c r="T1184" i="7"/>
  <c r="T1185" i="7"/>
  <c r="T1186" i="7"/>
  <c r="T1187" i="7"/>
  <c r="T1188" i="7"/>
  <c r="T1189" i="7"/>
  <c r="T1190" i="7"/>
  <c r="T1191" i="7"/>
  <c r="T1192" i="7"/>
  <c r="T1193" i="7"/>
  <c r="T1194" i="7"/>
  <c r="T1195" i="7"/>
  <c r="T1196" i="7"/>
  <c r="T1197" i="7"/>
  <c r="T1198" i="7"/>
  <c r="T1199" i="7"/>
  <c r="T1200" i="7"/>
  <c r="T1201"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1178" i="7"/>
  <c r="S1179" i="7"/>
  <c r="S1180" i="7"/>
  <c r="S1181" i="7"/>
  <c r="S1182" i="7"/>
  <c r="S1183" i="7"/>
  <c r="S1184" i="7"/>
  <c r="S1185" i="7"/>
  <c r="S1186" i="7"/>
  <c r="S1187" i="7"/>
  <c r="S1188" i="7"/>
  <c r="S1189" i="7"/>
  <c r="S1190" i="7"/>
  <c r="S1191" i="7"/>
  <c r="S1192" i="7"/>
  <c r="S1193" i="7"/>
  <c r="S1194" i="7"/>
  <c r="S1195" i="7"/>
  <c r="S1196" i="7"/>
  <c r="S1197" i="7"/>
  <c r="S1198" i="7"/>
  <c r="S1199" i="7"/>
  <c r="S1200" i="7"/>
  <c r="S1201" i="7"/>
  <c r="R2" i="7"/>
  <c r="Q3" i="7"/>
  <c r="Q2" i="7"/>
  <c r="Q8"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Q4" i="7"/>
  <c r="Q5" i="7"/>
  <c r="Q6" i="7"/>
  <c r="Q7"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alcChain>
</file>

<file path=xl/sharedStrings.xml><?xml version="1.0" encoding="utf-8"?>
<sst xmlns="http://schemas.openxmlformats.org/spreadsheetml/2006/main" count="30927" uniqueCount="6698">
  <si>
    <t>Employee_ID</t>
  </si>
  <si>
    <t>Candidate_ID</t>
  </si>
  <si>
    <t>Job_ID</t>
  </si>
  <si>
    <t>DOJ</t>
  </si>
  <si>
    <t>Department</t>
  </si>
  <si>
    <t>Designation</t>
  </si>
  <si>
    <t>Salary</t>
  </si>
  <si>
    <t>Employment_Status</t>
  </si>
  <si>
    <t>EMP0001</t>
  </si>
  <si>
    <t>CAN0777</t>
  </si>
  <si>
    <t>JOB041</t>
  </si>
  <si>
    <t>Data Analytics</t>
  </si>
  <si>
    <t>Reporting Analyst</t>
  </si>
  <si>
    <t>Probation</t>
  </si>
  <si>
    <t>EMP0002</t>
  </si>
  <si>
    <t>CAN0591</t>
  </si>
  <si>
    <t>JOB024</t>
  </si>
  <si>
    <t>Operations</t>
  </si>
  <si>
    <t>Operations Executive</t>
  </si>
  <si>
    <t>Active</t>
  </si>
  <si>
    <t>EMP0003</t>
  </si>
  <si>
    <t>CAN0328</t>
  </si>
  <si>
    <t>JOB017</t>
  </si>
  <si>
    <t>Sales</t>
  </si>
  <si>
    <t>Business Development Executive</t>
  </si>
  <si>
    <t>EMP0004</t>
  </si>
  <si>
    <t>CAN0697</t>
  </si>
  <si>
    <t>JOB029</t>
  </si>
  <si>
    <t>IT</t>
  </si>
  <si>
    <t>Software Engineer</t>
  </si>
  <si>
    <t>EMP0005</t>
  </si>
  <si>
    <t>CAN1123</t>
  </si>
  <si>
    <t>JOB030</t>
  </si>
  <si>
    <t>Customer Support</t>
  </si>
  <si>
    <t>Support Team Lead</t>
  </si>
  <si>
    <t>EMP0006</t>
  </si>
  <si>
    <t>CAN0043</t>
  </si>
  <si>
    <t>JOB042</t>
  </si>
  <si>
    <t>Data Analyst</t>
  </si>
  <si>
    <t>EMP0007</t>
  </si>
  <si>
    <t>CAN1016</t>
  </si>
  <si>
    <t>JOB004</t>
  </si>
  <si>
    <t>Sales Manager</t>
  </si>
  <si>
    <t>EMP0008</t>
  </si>
  <si>
    <t>CAN0446</t>
  </si>
  <si>
    <t>JOB022</t>
  </si>
  <si>
    <t>Data Science</t>
  </si>
  <si>
    <t>Data Science Lead</t>
  </si>
  <si>
    <t>Left</t>
  </si>
  <si>
    <t>EMP0009</t>
  </si>
  <si>
    <t>CAN0921</t>
  </si>
  <si>
    <t>JOB043</t>
  </si>
  <si>
    <t>Senior Data Analyst</t>
  </si>
  <si>
    <t>EMP0010</t>
  </si>
  <si>
    <t>CAN0414</t>
  </si>
  <si>
    <t>JOB009</t>
  </si>
  <si>
    <t>EMP0011</t>
  </si>
  <si>
    <t>CAN0510</t>
  </si>
  <si>
    <t>JOB032</t>
  </si>
  <si>
    <t>Inside Sales Rep</t>
  </si>
  <si>
    <t>EMP0012</t>
  </si>
  <si>
    <t>CAN0954</t>
  </si>
  <si>
    <t>JOB039</t>
  </si>
  <si>
    <t>EMP0013</t>
  </si>
  <si>
    <t>CAN1100</t>
  </si>
  <si>
    <t>JOB033</t>
  </si>
  <si>
    <t>EMP0014</t>
  </si>
  <si>
    <t>CAN0606</t>
  </si>
  <si>
    <t>JOB048</t>
  </si>
  <si>
    <t>Legal</t>
  </si>
  <si>
    <t>Contracts Manager</t>
  </si>
  <si>
    <t>EMP0015</t>
  </si>
  <si>
    <t>CAN0950</t>
  </si>
  <si>
    <t>JOB034</t>
  </si>
  <si>
    <t>Finance</t>
  </si>
  <si>
    <t>Accounts Payable Specialist</t>
  </si>
  <si>
    <t>EMP0016</t>
  </si>
  <si>
    <t>CAN0067</t>
  </si>
  <si>
    <t>JOB003</t>
  </si>
  <si>
    <t>EMP0017</t>
  </si>
  <si>
    <t>CAN0644</t>
  </si>
  <si>
    <t>EMP0018</t>
  </si>
  <si>
    <t>CAN1069</t>
  </si>
  <si>
    <t>EMP0019</t>
  </si>
  <si>
    <t>CAN0216</t>
  </si>
  <si>
    <t>JOB026</t>
  </si>
  <si>
    <t>EMP0020</t>
  </si>
  <si>
    <t>CAN0316</t>
  </si>
  <si>
    <t>JOB044</t>
  </si>
  <si>
    <t>Chat Support Associate</t>
  </si>
  <si>
    <t>EMP0021</t>
  </si>
  <si>
    <t>CAN0027</t>
  </si>
  <si>
    <t>JOB027</t>
  </si>
  <si>
    <t>Sales Executive</t>
  </si>
  <si>
    <t>EMP0022</t>
  </si>
  <si>
    <t>CAN0011</t>
  </si>
  <si>
    <t>JOB010</t>
  </si>
  <si>
    <t>EMP0023</t>
  </si>
  <si>
    <t>CAN0858</t>
  </si>
  <si>
    <t>JOB036</t>
  </si>
  <si>
    <t>Marketing</t>
  </si>
  <si>
    <t>Digital Marketing Specialist</t>
  </si>
  <si>
    <t>EMP0024</t>
  </si>
  <si>
    <t>CAN0258</t>
  </si>
  <si>
    <t>EMP0025</t>
  </si>
  <si>
    <t>CAN0280</t>
  </si>
  <si>
    <t>EMP0026</t>
  </si>
  <si>
    <t>CAN0815</t>
  </si>
  <si>
    <t>JOB019</t>
  </si>
  <si>
    <t>EMP0027</t>
  </si>
  <si>
    <t>CAN0511</t>
  </si>
  <si>
    <t>EMP0028</t>
  </si>
  <si>
    <t>CAN0456</t>
  </si>
  <si>
    <t>EMP0029</t>
  </si>
  <si>
    <t>CAN0464</t>
  </si>
  <si>
    <t>EMP0030</t>
  </si>
  <si>
    <t>CAN0410</t>
  </si>
  <si>
    <t>EMP0031</t>
  </si>
  <si>
    <t>CAN1156</t>
  </si>
  <si>
    <t>EMP0032</t>
  </si>
  <si>
    <t>CAN0628</t>
  </si>
  <si>
    <t>EMP0033</t>
  </si>
  <si>
    <t>CAN0781</t>
  </si>
  <si>
    <t>JOB011</t>
  </si>
  <si>
    <t>QA Engineer</t>
  </si>
  <si>
    <t>EMP0034</t>
  </si>
  <si>
    <t>CAN0116</t>
  </si>
  <si>
    <t>JOB012</t>
  </si>
  <si>
    <t>System Administrator</t>
  </si>
  <si>
    <t>EMP0035</t>
  </si>
  <si>
    <t>CAN0908</t>
  </si>
  <si>
    <t>EMP0036</t>
  </si>
  <si>
    <t>CAN0141</t>
  </si>
  <si>
    <t>JOB031</t>
  </si>
  <si>
    <t>EMP0037</t>
  </si>
  <si>
    <t>CAN0953</t>
  </si>
  <si>
    <t>EMP0038</t>
  </si>
  <si>
    <t>CAN0821</t>
  </si>
  <si>
    <t>EMP0039</t>
  </si>
  <si>
    <t>CAN1070</t>
  </si>
  <si>
    <t>JOB046</t>
  </si>
  <si>
    <t>HR</t>
  </si>
  <si>
    <t>Talent Acquisition Specialist</t>
  </si>
  <si>
    <t>EMP0040</t>
  </si>
  <si>
    <t>CAN0647</t>
  </si>
  <si>
    <t>EMP0041</t>
  </si>
  <si>
    <t>CAN0512</t>
  </si>
  <si>
    <t>JOB007</t>
  </si>
  <si>
    <t>EMP0042</t>
  </si>
  <si>
    <t>CAN0466</t>
  </si>
  <si>
    <t>EMP0043</t>
  </si>
  <si>
    <t>CAN0428</t>
  </si>
  <si>
    <t>EMP0044</t>
  </si>
  <si>
    <t>CAN1090</t>
  </si>
  <si>
    <t>EMP0045</t>
  </si>
  <si>
    <t>CAN0530</t>
  </si>
  <si>
    <t>JOB016</t>
  </si>
  <si>
    <t>NLP Engineer</t>
  </si>
  <si>
    <t>EMP0046</t>
  </si>
  <si>
    <t>CAN0576</t>
  </si>
  <si>
    <t>EMP0047</t>
  </si>
  <si>
    <t>CAN0947</t>
  </si>
  <si>
    <t>EMP0048</t>
  </si>
  <si>
    <t>CAN0960</t>
  </si>
  <si>
    <t>EMP0049</t>
  </si>
  <si>
    <t>CAN0823</t>
  </si>
  <si>
    <t>JOB037</t>
  </si>
  <si>
    <t>CS Manager</t>
  </si>
  <si>
    <t>EMP0050</t>
  </si>
  <si>
    <t>CAN1161</t>
  </si>
  <si>
    <t>EMP0051</t>
  </si>
  <si>
    <t>CAN1174</t>
  </si>
  <si>
    <t>EMP0052</t>
  </si>
  <si>
    <t>CAN0851</t>
  </si>
  <si>
    <t>EMP0053</t>
  </si>
  <si>
    <t>CAN0468</t>
  </si>
  <si>
    <t>JOB035</t>
  </si>
  <si>
    <t>EMP0054</t>
  </si>
  <si>
    <t>CAN0927</t>
  </si>
  <si>
    <t>EMP0055</t>
  </si>
  <si>
    <t>CAN0235</t>
  </si>
  <si>
    <t>EMP0056</t>
  </si>
  <si>
    <t>CAN0828</t>
  </si>
  <si>
    <t>JOB038</t>
  </si>
  <si>
    <t>SEO Specialist</t>
  </si>
  <si>
    <t>EMP0057</t>
  </si>
  <si>
    <t>CAN0984</t>
  </si>
  <si>
    <t>JOB047</t>
  </si>
  <si>
    <t>Customer Support Executive</t>
  </si>
  <si>
    <t>EMP0058</t>
  </si>
  <si>
    <t>CAN0278</t>
  </si>
  <si>
    <t>JOB050</t>
  </si>
  <si>
    <t>Accounts Executive</t>
  </si>
  <si>
    <t>EMP0059</t>
  </si>
  <si>
    <t>CAN0729</t>
  </si>
  <si>
    <t>JOB008</t>
  </si>
  <si>
    <t>Legal Counsel</t>
  </si>
  <si>
    <t>EMP0060</t>
  </si>
  <si>
    <t>CAN1190</t>
  </si>
  <si>
    <t>EMP0061</t>
  </si>
  <si>
    <t>CAN0974</t>
  </si>
  <si>
    <t>JOB006</t>
  </si>
  <si>
    <t>EMP0062</t>
  </si>
  <si>
    <t>CAN0034</t>
  </si>
  <si>
    <t>EMP0063</t>
  </si>
  <si>
    <t>CAN0300</t>
  </si>
  <si>
    <t>EMP0064</t>
  </si>
  <si>
    <t>CAN0987</t>
  </si>
  <si>
    <t>JOB028</t>
  </si>
  <si>
    <t>Senior Data Scientist</t>
  </si>
  <si>
    <t>EMP0065</t>
  </si>
  <si>
    <t>CAN0311</t>
  </si>
  <si>
    <t>EMP0066</t>
  </si>
  <si>
    <t>CAN0013</t>
  </si>
  <si>
    <t>EMP0067</t>
  </si>
  <si>
    <t>CAN0331</t>
  </si>
  <si>
    <t>EMP0068</t>
  </si>
  <si>
    <t>CAN0368</t>
  </si>
  <si>
    <t>EMP0069</t>
  </si>
  <si>
    <t>CAN0905</t>
  </si>
  <si>
    <t>EMP0070</t>
  </si>
  <si>
    <t>CAN0068</t>
  </si>
  <si>
    <t>EMP0071</t>
  </si>
  <si>
    <t>CAN0117</t>
  </si>
  <si>
    <t>EMP0072</t>
  </si>
  <si>
    <t>CAN0719</t>
  </si>
  <si>
    <t>EMP0073</t>
  </si>
  <si>
    <t>CAN0194</t>
  </si>
  <si>
    <t>EMP0074</t>
  </si>
  <si>
    <t>CAN1121</t>
  </si>
  <si>
    <t>EMP0075</t>
  </si>
  <si>
    <t>CAN0259</t>
  </si>
  <si>
    <t>EMP0076</t>
  </si>
  <si>
    <t>CAN0099</t>
  </si>
  <si>
    <t>EMP0077</t>
  </si>
  <si>
    <t>CAN0229</t>
  </si>
  <si>
    <t>EMP0078</t>
  </si>
  <si>
    <t>CAN0191</t>
  </si>
  <si>
    <t>EMP0079</t>
  </si>
  <si>
    <t>CAN0050</t>
  </si>
  <si>
    <t>JOB013</t>
  </si>
  <si>
    <t>Analytics Manager</t>
  </si>
  <si>
    <t>EMP0080</t>
  </si>
  <si>
    <t>CAN0386</t>
  </si>
  <si>
    <t>JOB023</t>
  </si>
  <si>
    <t>EMP0081</t>
  </si>
  <si>
    <t>CAN0783</t>
  </si>
  <si>
    <t>EMP0082</t>
  </si>
  <si>
    <t>CAN0802</t>
  </si>
  <si>
    <t>EMP0083</t>
  </si>
  <si>
    <t>CAN0179</t>
  </si>
  <si>
    <t>JOB021</t>
  </si>
  <si>
    <t>EMP0084</t>
  </si>
  <si>
    <t>CAN0857</t>
  </si>
  <si>
    <t>EMP0085</t>
  </si>
  <si>
    <t>CAN1140</t>
  </si>
  <si>
    <t>EMP0086</t>
  </si>
  <si>
    <t>CAN0958</t>
  </si>
  <si>
    <t>EMP0087</t>
  </si>
  <si>
    <t>CAN0176</t>
  </si>
  <si>
    <t>JOB018</t>
  </si>
  <si>
    <t>Account Executive</t>
  </si>
  <si>
    <t>EMP0088</t>
  </si>
  <si>
    <t>CAN0742</t>
  </si>
  <si>
    <t>EMP0089</t>
  </si>
  <si>
    <t>CAN1162</t>
  </si>
  <si>
    <t>EMP0090</t>
  </si>
  <si>
    <t>CAN0096</t>
  </si>
  <si>
    <t>EMP0091</t>
  </si>
  <si>
    <t>CAN0470</t>
  </si>
  <si>
    <t>EMP0092</t>
  </si>
  <si>
    <t>CAN0537</t>
  </si>
  <si>
    <t>EMP0093</t>
  </si>
  <si>
    <t>CAN0625</t>
  </si>
  <si>
    <t>EMP0094</t>
  </si>
  <si>
    <t>CAN0120</t>
  </si>
  <si>
    <t>EMP0095</t>
  </si>
  <si>
    <t>CAN0923</t>
  </si>
  <si>
    <t>EMP0096</t>
  </si>
  <si>
    <t>CAN0008</t>
  </si>
  <si>
    <t>EMP0097</t>
  </si>
  <si>
    <t>CAN0072</t>
  </si>
  <si>
    <t>EMP0098</t>
  </si>
  <si>
    <t>CAN0979</t>
  </si>
  <si>
    <t>EMP0099</t>
  </si>
  <si>
    <t>CAN0126</t>
  </si>
  <si>
    <t>EMP0100</t>
  </si>
  <si>
    <t>CAN0115</t>
  </si>
  <si>
    <t>EMP0101</t>
  </si>
  <si>
    <t>CAN1067</t>
  </si>
  <si>
    <t>EMP0102</t>
  </si>
  <si>
    <t>CAN0250</t>
  </si>
  <si>
    <t>JOB002</t>
  </si>
  <si>
    <t>BI Analyst</t>
  </si>
  <si>
    <t>EMP0103</t>
  </si>
  <si>
    <t>CAN0411</t>
  </si>
  <si>
    <t>EMP0104</t>
  </si>
  <si>
    <t>CAN0675</t>
  </si>
  <si>
    <t>JOB014</t>
  </si>
  <si>
    <t>Marketing Executive</t>
  </si>
  <si>
    <t>EMP0105</t>
  </si>
  <si>
    <t>CAN1062</t>
  </si>
  <si>
    <t>EMP0106</t>
  </si>
  <si>
    <t>CAN0844</t>
  </si>
  <si>
    <t>EMP0107</t>
  </si>
  <si>
    <t>CAN1194</t>
  </si>
  <si>
    <t>EMP0108</t>
  </si>
  <si>
    <t>CAN0477</t>
  </si>
  <si>
    <t>EMP0109</t>
  </si>
  <si>
    <t>CAN0850</t>
  </si>
  <si>
    <t>EMP0110</t>
  </si>
  <si>
    <t>CAN0738</t>
  </si>
  <si>
    <t>EMP0111</t>
  </si>
  <si>
    <t>CAN0338</t>
  </si>
  <si>
    <t>EMP0112</t>
  </si>
  <si>
    <t>CAN0663</t>
  </si>
  <si>
    <t>EMP0113</t>
  </si>
  <si>
    <t>CAN0860</t>
  </si>
  <si>
    <t>EMP0114</t>
  </si>
  <si>
    <t>CAN0938</t>
  </si>
  <si>
    <t>EMP0115</t>
  </si>
  <si>
    <t>CAN0196</t>
  </si>
  <si>
    <t>EMP0116</t>
  </si>
  <si>
    <t>CAN0916</t>
  </si>
  <si>
    <t>EMP0117</t>
  </si>
  <si>
    <t>CAN0026</t>
  </si>
  <si>
    <t>JOB040</t>
  </si>
  <si>
    <t>EMP0118</t>
  </si>
  <si>
    <t>CAN0165</t>
  </si>
  <si>
    <t>EMP0119</t>
  </si>
  <si>
    <t>CAN0069</t>
  </si>
  <si>
    <t>EMP0120</t>
  </si>
  <si>
    <t>CAN0728</t>
  </si>
  <si>
    <t>EMP0121</t>
  </si>
  <si>
    <t>CAN1007</t>
  </si>
  <si>
    <t>EMP0122</t>
  </si>
  <si>
    <t>CAN1136</t>
  </si>
  <si>
    <t>JOB005</t>
  </si>
  <si>
    <t>EMP0123</t>
  </si>
  <si>
    <t>CAN0520</t>
  </si>
  <si>
    <t>JOB015</t>
  </si>
  <si>
    <t>Finance Analyst</t>
  </si>
  <si>
    <t>EMP0124</t>
  </si>
  <si>
    <t>CAN0655</t>
  </si>
  <si>
    <t>EMP0125</t>
  </si>
  <si>
    <t>CAN0957</t>
  </si>
  <si>
    <t>EMP0126</t>
  </si>
  <si>
    <t>CAN0037</t>
  </si>
  <si>
    <t>EMP0127</t>
  </si>
  <si>
    <t>CAN0867</t>
  </si>
  <si>
    <t>EMP0128</t>
  </si>
  <si>
    <t>CAN0924</t>
  </si>
  <si>
    <t>EMP0129</t>
  </si>
  <si>
    <t>CAN1038</t>
  </si>
  <si>
    <t>EMP0130</t>
  </si>
  <si>
    <t>CAN0449</t>
  </si>
  <si>
    <t>EMP0131</t>
  </si>
  <si>
    <t>CAN0047</t>
  </si>
  <si>
    <t>EMP0132</t>
  </si>
  <si>
    <t>CAN1179</t>
  </si>
  <si>
    <t>EMP0133</t>
  </si>
  <si>
    <t>CAN0755</t>
  </si>
  <si>
    <t>EMP0134</t>
  </si>
  <si>
    <t>CAN1064</t>
  </si>
  <si>
    <t>EMP0135</t>
  </si>
  <si>
    <t>CAN0891</t>
  </si>
  <si>
    <t>EMP0136</t>
  </si>
  <si>
    <t>CAN1112</t>
  </si>
  <si>
    <t>EMP0137</t>
  </si>
  <si>
    <t>CAN0642</t>
  </si>
  <si>
    <t>EMP0138</t>
  </si>
  <si>
    <t>CAN0758</t>
  </si>
  <si>
    <t>EMP0139</t>
  </si>
  <si>
    <t>CAN0830</t>
  </si>
  <si>
    <t>JOB025</t>
  </si>
  <si>
    <t>EMP0140</t>
  </si>
  <si>
    <t>CAN0700</t>
  </si>
  <si>
    <t>EMP0141</t>
  </si>
  <si>
    <t>CAN0826</t>
  </si>
  <si>
    <t>EMP0142</t>
  </si>
  <si>
    <t>CAN0343</t>
  </si>
  <si>
    <t>EMP0143</t>
  </si>
  <si>
    <t>CAN0022</t>
  </si>
  <si>
    <t>EMP0144</t>
  </si>
  <si>
    <t>CAN0585</t>
  </si>
  <si>
    <t>EMP0145</t>
  </si>
  <si>
    <t>CAN1015</t>
  </si>
  <si>
    <t>EMP0146</t>
  </si>
  <si>
    <t>CAN0566</t>
  </si>
  <si>
    <t>EMP0147</t>
  </si>
  <si>
    <t>CAN0634</t>
  </si>
  <si>
    <t>EMP0148</t>
  </si>
  <si>
    <t>CAN1113</t>
  </si>
  <si>
    <t>EMP0149</t>
  </si>
  <si>
    <t>CAN0118</t>
  </si>
  <si>
    <t>EMP0150</t>
  </si>
  <si>
    <t>CAN0716</t>
  </si>
  <si>
    <t>EMP0151</t>
  </si>
  <si>
    <t>CAN0188</t>
  </si>
  <si>
    <t>EMP0152</t>
  </si>
  <si>
    <t>CAN0342</t>
  </si>
  <si>
    <t>EMP0153</t>
  </si>
  <si>
    <t>CAN0915</t>
  </si>
  <si>
    <t>EMP0154</t>
  </si>
  <si>
    <t>CAN0658</t>
  </si>
  <si>
    <t>EMP0155</t>
  </si>
  <si>
    <t>CAN0584</t>
  </si>
  <si>
    <t>EMP0156</t>
  </si>
  <si>
    <t>CAN0885</t>
  </si>
  <si>
    <t>EMP0157</t>
  </si>
  <si>
    <t>CAN1141</t>
  </si>
  <si>
    <t>EMP0158</t>
  </si>
  <si>
    <t>CAN0045</t>
  </si>
  <si>
    <t>EMP0159</t>
  </si>
  <si>
    <t>CAN0409</t>
  </si>
  <si>
    <t>EMP0160</t>
  </si>
  <si>
    <t>CAN0768</t>
  </si>
  <si>
    <t>EMP0161</t>
  </si>
  <si>
    <t>CAN0788</t>
  </si>
  <si>
    <t>EMP0162</t>
  </si>
  <si>
    <t>CAN1129</t>
  </si>
  <si>
    <t>EMP0163</t>
  </si>
  <si>
    <t>CAN0297</t>
  </si>
  <si>
    <t>EMP0164</t>
  </si>
  <si>
    <t>CAN0747</t>
  </si>
  <si>
    <t>EMP0165</t>
  </si>
  <si>
    <t>CAN0933</t>
  </si>
  <si>
    <t>EMP0166</t>
  </si>
  <si>
    <t>CAN1028</t>
  </si>
  <si>
    <t>JOB020</t>
  </si>
  <si>
    <t>EMP0167</t>
  </si>
  <si>
    <t>CAN0889</t>
  </si>
  <si>
    <t>EMP0168</t>
  </si>
  <si>
    <t>CAN0976</t>
  </si>
  <si>
    <t>EMP0169</t>
  </si>
  <si>
    <t>CAN0733</t>
  </si>
  <si>
    <t>EMP0170</t>
  </si>
  <si>
    <t>CAN0720</t>
  </si>
  <si>
    <t>EMP0171</t>
  </si>
  <si>
    <t>CAN0714</t>
  </si>
  <si>
    <t>EMP0172</t>
  </si>
  <si>
    <t>CAN1048</t>
  </si>
  <si>
    <t>EMP0173</t>
  </si>
  <si>
    <t>CAN0683</t>
  </si>
  <si>
    <t>EMP0174</t>
  </si>
  <si>
    <t>CAN1023</t>
  </si>
  <si>
    <t>EMP0175</t>
  </si>
  <si>
    <t>CAN0347</t>
  </si>
  <si>
    <t>EMP0176</t>
  </si>
  <si>
    <t>CAN0690</t>
  </si>
  <si>
    <t>EMP0177</t>
  </si>
  <si>
    <t>CAN0314</t>
  </si>
  <si>
    <t>EMP0178</t>
  </si>
  <si>
    <t>CAN1189</t>
  </si>
  <si>
    <t>EMP0179</t>
  </si>
  <si>
    <t>CAN0287</t>
  </si>
  <si>
    <t>EMP0180</t>
  </si>
  <si>
    <t>CAN0876</t>
  </si>
  <si>
    <t>EMP0181</t>
  </si>
  <si>
    <t>CAN1050</t>
  </si>
  <si>
    <t>EMP0182</t>
  </si>
  <si>
    <t>CAN0131</t>
  </si>
  <si>
    <t>EMP0183</t>
  </si>
  <si>
    <t>CAN0257</t>
  </si>
  <si>
    <t>EMP0184</t>
  </si>
  <si>
    <t>CAN1168</t>
  </si>
  <si>
    <t>EMP0185</t>
  </si>
  <si>
    <t>CAN1138</t>
  </si>
  <si>
    <t>EMP0186</t>
  </si>
  <si>
    <t>CAN0066</t>
  </si>
  <si>
    <t>EMP0187</t>
  </si>
  <si>
    <t>CAN0590</t>
  </si>
  <si>
    <t>EMP0188</t>
  </si>
  <si>
    <t>CAN0424</t>
  </si>
  <si>
    <t>EMP0189</t>
  </si>
  <si>
    <t>CAN0676</t>
  </si>
  <si>
    <t>EMP0190</t>
  </si>
  <si>
    <t>CAN0125</t>
  </si>
  <si>
    <t>EMP0191</t>
  </si>
  <si>
    <t>CAN0038</t>
  </si>
  <si>
    <t>EMP0192</t>
  </si>
  <si>
    <t>CAN0767</t>
  </si>
  <si>
    <t>EMP0193</t>
  </si>
  <si>
    <t>CAN1082</t>
  </si>
  <si>
    <t>EMP0194</t>
  </si>
  <si>
    <t>CAN0807</t>
  </si>
  <si>
    <t>EMP0195</t>
  </si>
  <si>
    <t>CAN0991</t>
  </si>
  <si>
    <t>EMP0196</t>
  </si>
  <si>
    <t>CAN1045</t>
  </si>
  <si>
    <t>EMP0197</t>
  </si>
  <si>
    <t>CAN0612</t>
  </si>
  <si>
    <t>EMP0198</t>
  </si>
  <si>
    <t>CAN0360</t>
  </si>
  <si>
    <t>EMP0199</t>
  </si>
  <si>
    <t>CAN0333</t>
  </si>
  <si>
    <t>EMP0200</t>
  </si>
  <si>
    <t>CAN0760</t>
  </si>
  <si>
    <t>EMP0201</t>
  </si>
  <si>
    <t>CAN0004</t>
  </si>
  <si>
    <t>EMP0202</t>
  </si>
  <si>
    <t>CAN0637</t>
  </si>
  <si>
    <t>EMP0203</t>
  </si>
  <si>
    <t>CAN0582</t>
  </si>
  <si>
    <t>EMP0204</t>
  </si>
  <si>
    <t>CAN1149</t>
  </si>
  <si>
    <t>EMP0205</t>
  </si>
  <si>
    <t>CAN0516</t>
  </si>
  <si>
    <t>EMP0206</t>
  </si>
  <si>
    <t>CAN0982</t>
  </si>
  <si>
    <t>EMP0207</t>
  </si>
  <si>
    <t>CAN0294</t>
  </si>
  <si>
    <t>EMP0208</t>
  </si>
  <si>
    <t>CAN1197</t>
  </si>
  <si>
    <t>EMP0209</t>
  </si>
  <si>
    <t>CAN1093</t>
  </si>
  <si>
    <t>EMP0210</t>
  </si>
  <si>
    <t>CAN0065</t>
  </si>
  <si>
    <t>EMP0211</t>
  </si>
  <si>
    <t>CAN0097</t>
  </si>
  <si>
    <t>EMP0212</t>
  </si>
  <si>
    <t>CAN0375</t>
  </si>
  <si>
    <t>EMP0213</t>
  </si>
  <si>
    <t>CAN0401</t>
  </si>
  <si>
    <t>EMP0214</t>
  </si>
  <si>
    <t>CAN0237</t>
  </si>
  <si>
    <t>EMP0215</t>
  </si>
  <si>
    <t>CAN0725</t>
  </si>
  <si>
    <t>EMP0216</t>
  </si>
  <si>
    <t>CAN1184</t>
  </si>
  <si>
    <t>EMP0217</t>
  </si>
  <si>
    <t>CAN0523</t>
  </si>
  <si>
    <t>EMP0218</t>
  </si>
  <si>
    <t>CAN0703</t>
  </si>
  <si>
    <t>EMP0219</t>
  </si>
  <si>
    <t>CAN1111</t>
  </si>
  <si>
    <t>EMP0220</t>
  </si>
  <si>
    <t>CAN1044</t>
  </si>
  <si>
    <t>EMP0221</t>
  </si>
  <si>
    <t>CAN1147</t>
  </si>
  <si>
    <t>EMP0222</t>
  </si>
  <si>
    <t>CAN0741</t>
  </si>
  <si>
    <t>JOB045</t>
  </si>
  <si>
    <t>EMP0223</t>
  </si>
  <si>
    <t>CAN0454</t>
  </si>
  <si>
    <t>EMP0224</t>
  </si>
  <si>
    <t>CAN1170</t>
  </si>
  <si>
    <t>EMP0225</t>
  </si>
  <si>
    <t>CAN0359</t>
  </si>
  <si>
    <t>EMP0226</t>
  </si>
  <si>
    <t>CAN0664</t>
  </si>
  <si>
    <t>EMP0227</t>
  </si>
  <si>
    <t>CAN0695</t>
  </si>
  <si>
    <t>EMP0228</t>
  </si>
  <si>
    <t>CAN0166</t>
  </si>
  <si>
    <t>EMP0229</t>
  </si>
  <si>
    <t>CAN0238</t>
  </si>
  <si>
    <t>EMP0230</t>
  </si>
  <si>
    <t>CAN0113</t>
  </si>
  <si>
    <t>Interview_ID</t>
  </si>
  <si>
    <t>Round</t>
  </si>
  <si>
    <t>Interview_Date</t>
  </si>
  <si>
    <t>Interviewer</t>
  </si>
  <si>
    <t>Feedback_Score</t>
  </si>
  <si>
    <t>Recommendation</t>
  </si>
  <si>
    <t>Status</t>
  </si>
  <si>
    <t>INT00001</t>
  </si>
  <si>
    <t>CAN1180</t>
  </si>
  <si>
    <t>Amy Allen</t>
  </si>
  <si>
    <t>Reject</t>
  </si>
  <si>
    <t>Completed</t>
  </si>
  <si>
    <t>INT00002</t>
  </si>
  <si>
    <t>Anthony Gardner</t>
  </si>
  <si>
    <t>INT00003</t>
  </si>
  <si>
    <t>CAN0292</t>
  </si>
  <si>
    <t>Eric Farmer</t>
  </si>
  <si>
    <t>INT00004</t>
  </si>
  <si>
    <t>Tara Fowler</t>
  </si>
  <si>
    <t>Hold</t>
  </si>
  <si>
    <t>INT00005</t>
  </si>
  <si>
    <t>Michael George</t>
  </si>
  <si>
    <t>Select</t>
  </si>
  <si>
    <t>INT00006</t>
  </si>
  <si>
    <t>CAN0615</t>
  </si>
  <si>
    <t>Allison Gallegos</t>
  </si>
  <si>
    <t>INT00007</t>
  </si>
  <si>
    <t>Mrs. Jenna French</t>
  </si>
  <si>
    <t>INT00008</t>
  </si>
  <si>
    <t>INT00009</t>
  </si>
  <si>
    <t>CAN1103</t>
  </si>
  <si>
    <t>Timothy Robinson</t>
  </si>
  <si>
    <t>INT00010</t>
  </si>
  <si>
    <t>Christine Patterson</t>
  </si>
  <si>
    <t>INT00011</t>
  </si>
  <si>
    <t>CAN0100</t>
  </si>
  <si>
    <t>INT00012</t>
  </si>
  <si>
    <t>Rebecca Durham</t>
  </si>
  <si>
    <t>Scheduled</t>
  </si>
  <si>
    <t>INT00013</t>
  </si>
  <si>
    <t>CAN0299</t>
  </si>
  <si>
    <t>Peter Garcia</t>
  </si>
  <si>
    <t>INT00014</t>
  </si>
  <si>
    <t>INT00015</t>
  </si>
  <si>
    <t>Michelle Lopez</t>
  </si>
  <si>
    <t>INT00016</t>
  </si>
  <si>
    <t>Mariah Hendricks</t>
  </si>
  <si>
    <t>INT00017</t>
  </si>
  <si>
    <t>CAN0636</t>
  </si>
  <si>
    <t>Cancelled</t>
  </si>
  <si>
    <t>INT00018</t>
  </si>
  <si>
    <t>INT00019</t>
  </si>
  <si>
    <t>CAN0136</t>
  </si>
  <si>
    <t>Linda Lloyd</t>
  </si>
  <si>
    <t>INT00020</t>
  </si>
  <si>
    <t>INT00021</t>
  </si>
  <si>
    <t>CAN0370</t>
  </si>
  <si>
    <t>INT00022</t>
  </si>
  <si>
    <t>INT00023</t>
  </si>
  <si>
    <t>INT00024</t>
  </si>
  <si>
    <t>INT00025</t>
  </si>
  <si>
    <t>CAN1053</t>
  </si>
  <si>
    <t>Amy Ruiz</t>
  </si>
  <si>
    <t>INT00026</t>
  </si>
  <si>
    <t>INT00027</t>
  </si>
  <si>
    <t>CAN0792</t>
  </si>
  <si>
    <t>Samantha Shaw</t>
  </si>
  <si>
    <t>INT00028</t>
  </si>
  <si>
    <t>INT00029</t>
  </si>
  <si>
    <t>CAN0841</t>
  </si>
  <si>
    <t>Charles Stout</t>
  </si>
  <si>
    <t>INT00030</t>
  </si>
  <si>
    <t>INT00031</t>
  </si>
  <si>
    <t>Larry Irwin</t>
  </si>
  <si>
    <t>INT00032</t>
  </si>
  <si>
    <t>INT00033</t>
  </si>
  <si>
    <t>CAN0033</t>
  </si>
  <si>
    <t>Sarah Garcia</t>
  </si>
  <si>
    <t>INT00034</t>
  </si>
  <si>
    <t>Carla Hunt</t>
  </si>
  <si>
    <t>INT00035</t>
  </si>
  <si>
    <t>INT00036</t>
  </si>
  <si>
    <t>CAN0246</t>
  </si>
  <si>
    <t>INT00037</t>
  </si>
  <si>
    <t>INT00038</t>
  </si>
  <si>
    <t>CAN0080</t>
  </si>
  <si>
    <t>INT00039</t>
  </si>
  <si>
    <t>INT00040</t>
  </si>
  <si>
    <t>INT00041</t>
  </si>
  <si>
    <t>CAN0103</t>
  </si>
  <si>
    <t>Jeremy Pollard</t>
  </si>
  <si>
    <t>INT00042</t>
  </si>
  <si>
    <t>CAN0208</t>
  </si>
  <si>
    <t>INT00043</t>
  </si>
  <si>
    <t>INT00044</t>
  </si>
  <si>
    <t>CAN0704</t>
  </si>
  <si>
    <t>INT00045</t>
  </si>
  <si>
    <t>Richard Preston</t>
  </si>
  <si>
    <t>INT00046</t>
  </si>
  <si>
    <t>Matthew Holt</t>
  </si>
  <si>
    <t>INT00047</t>
  </si>
  <si>
    <t>CAN0562</t>
  </si>
  <si>
    <t>INT00048</t>
  </si>
  <si>
    <t>INT00049</t>
  </si>
  <si>
    <t>Joy Russell</t>
  </si>
  <si>
    <t>INT00050</t>
  </si>
  <si>
    <t>INT00051</t>
  </si>
  <si>
    <t>CAN0744</t>
  </si>
  <si>
    <t>INT00052</t>
  </si>
  <si>
    <t>INT00053</t>
  </si>
  <si>
    <t>CAN0790</t>
  </si>
  <si>
    <t>Sarah Jordan</t>
  </si>
  <si>
    <t>INT00054</t>
  </si>
  <si>
    <t>INT00055</t>
  </si>
  <si>
    <t>INT00056</t>
  </si>
  <si>
    <t>INT00057</t>
  </si>
  <si>
    <t>CAN0883</t>
  </si>
  <si>
    <t>INT00058</t>
  </si>
  <si>
    <t>INT00059</t>
  </si>
  <si>
    <t>INT00060</t>
  </si>
  <si>
    <t>INT00061</t>
  </si>
  <si>
    <t>INT00062</t>
  </si>
  <si>
    <t>INT00063</t>
  </si>
  <si>
    <t>INT00064</t>
  </si>
  <si>
    <t>INT00065</t>
  </si>
  <si>
    <t>INT00066</t>
  </si>
  <si>
    <t>INT00067</t>
  </si>
  <si>
    <t>INT00068</t>
  </si>
  <si>
    <t>CAN0383</t>
  </si>
  <si>
    <t>INT00069</t>
  </si>
  <si>
    <t>INT00070</t>
  </si>
  <si>
    <t>INT00071</t>
  </si>
  <si>
    <t>CAN0185</t>
  </si>
  <si>
    <t>INT00072</t>
  </si>
  <si>
    <t>INT00073</t>
  </si>
  <si>
    <t>CAN0861</t>
  </si>
  <si>
    <t>INT00074</t>
  </si>
  <si>
    <t>INT00075</t>
  </si>
  <si>
    <t>CAN0666</t>
  </si>
  <si>
    <t>INT00076</t>
  </si>
  <si>
    <t>INT00077</t>
  </si>
  <si>
    <t>CAN1186</t>
  </si>
  <si>
    <t>INT00078</t>
  </si>
  <si>
    <t>INT00079</t>
  </si>
  <si>
    <t>INT00080</t>
  </si>
  <si>
    <t>INT00081</t>
  </si>
  <si>
    <t>CAN0232</t>
  </si>
  <si>
    <t>Brandon Cherry</t>
  </si>
  <si>
    <t>INT00082</t>
  </si>
  <si>
    <t>INT00083</t>
  </si>
  <si>
    <t>CAN1078</t>
  </si>
  <si>
    <t>INT00084</t>
  </si>
  <si>
    <t>INT00085</t>
  </si>
  <si>
    <t>CAN0002</t>
  </si>
  <si>
    <t>INT00086</t>
  </si>
  <si>
    <t>INT00087</t>
  </si>
  <si>
    <t>INT00088</t>
  </si>
  <si>
    <t>CAN1108</t>
  </si>
  <si>
    <t>INT00089</t>
  </si>
  <si>
    <t>CAN0804</t>
  </si>
  <si>
    <t>INT00090</t>
  </si>
  <si>
    <t>INT00091</t>
  </si>
  <si>
    <t>CAN0495</t>
  </si>
  <si>
    <t>INT00092</t>
  </si>
  <si>
    <t>INT00093</t>
  </si>
  <si>
    <t>INT00094</t>
  </si>
  <si>
    <t>CAN0254</t>
  </si>
  <si>
    <t>INT00095</t>
  </si>
  <si>
    <t>INT00096</t>
  </si>
  <si>
    <t>CAN0174</t>
  </si>
  <si>
    <t>INT00097</t>
  </si>
  <si>
    <t>INT00098</t>
  </si>
  <si>
    <t>CAN0778</t>
  </si>
  <si>
    <t>INT00099</t>
  </si>
  <si>
    <t>INT00100</t>
  </si>
  <si>
    <t>INT00101</t>
  </si>
  <si>
    <t>CAN0877</t>
  </si>
  <si>
    <t>INT00102</t>
  </si>
  <si>
    <t>INT00103</t>
  </si>
  <si>
    <t>INT00104</t>
  </si>
  <si>
    <t>INT00105</t>
  </si>
  <si>
    <t>CAN0564</t>
  </si>
  <si>
    <t>Michael Reeves</t>
  </si>
  <si>
    <t>INT00106</t>
  </si>
  <si>
    <t>Michelle Johnson</t>
  </si>
  <si>
    <t>INT00107</t>
  </si>
  <si>
    <t>CAN0544</t>
  </si>
  <si>
    <t>INT00108</t>
  </si>
  <si>
    <t>INT00109</t>
  </si>
  <si>
    <t>CAN0763</t>
  </si>
  <si>
    <t>INT00110</t>
  </si>
  <si>
    <t>INT00111</t>
  </si>
  <si>
    <t>INT00112</t>
  </si>
  <si>
    <t>INT00113</t>
  </si>
  <si>
    <t>INT00114</t>
  </si>
  <si>
    <t>INT00115</t>
  </si>
  <si>
    <t>CAN0195</t>
  </si>
  <si>
    <t>INT00116</t>
  </si>
  <si>
    <t>INT00117</t>
  </si>
  <si>
    <t>CAN0549</t>
  </si>
  <si>
    <t>INT00118</t>
  </si>
  <si>
    <t>INT00119</t>
  </si>
  <si>
    <t>CAN0797</t>
  </si>
  <si>
    <t>INT00120</t>
  </si>
  <si>
    <t>INT00121</t>
  </si>
  <si>
    <t>CAN0806</t>
  </si>
  <si>
    <t>INT00122</t>
  </si>
  <si>
    <t>Brandon Cross</t>
  </si>
  <si>
    <t>INT00123</t>
  </si>
  <si>
    <t>INT00124</t>
  </si>
  <si>
    <t>CAN1187</t>
  </si>
  <si>
    <t>INT00125</t>
  </si>
  <si>
    <t>INT00126</t>
  </si>
  <si>
    <t>INT00127</t>
  </si>
  <si>
    <t>CAN0019</t>
  </si>
  <si>
    <t>INT00128</t>
  </si>
  <si>
    <t>INT00129</t>
  </si>
  <si>
    <t>INT00130</t>
  </si>
  <si>
    <t>INT00131</t>
  </si>
  <si>
    <t>CAN1088</t>
  </si>
  <si>
    <t>INT00132</t>
  </si>
  <si>
    <t>INT00133</t>
  </si>
  <si>
    <t>CAN0317</t>
  </si>
  <si>
    <t>INT00134</t>
  </si>
  <si>
    <t>INT00135</t>
  </si>
  <si>
    <t>CAN0170</t>
  </si>
  <si>
    <t>INT00136</t>
  </si>
  <si>
    <t>CAN0351</t>
  </si>
  <si>
    <t>INT00137</t>
  </si>
  <si>
    <t>INT00138</t>
  </si>
  <si>
    <t>CAN0498</t>
  </si>
  <si>
    <t>INT00139</t>
  </si>
  <si>
    <t>INT00140</t>
  </si>
  <si>
    <t>CAN1163</t>
  </si>
  <si>
    <t>INT00141</t>
  </si>
  <si>
    <t>INT00142</t>
  </si>
  <si>
    <t>CAN0702</t>
  </si>
  <si>
    <t>INT00143</t>
  </si>
  <si>
    <t>INT00144</t>
  </si>
  <si>
    <t>CAN1042</t>
  </si>
  <si>
    <t>INT00145</t>
  </si>
  <si>
    <t>CAN0723</t>
  </si>
  <si>
    <t>INT00146</t>
  </si>
  <si>
    <t>CAN0626</t>
  </si>
  <si>
    <t>INT00147</t>
  </si>
  <si>
    <t>INT00148</t>
  </si>
  <si>
    <t>INT00149</t>
  </si>
  <si>
    <t>INT00150</t>
  </si>
  <si>
    <t>INT00151</t>
  </si>
  <si>
    <t>INT00152</t>
  </si>
  <si>
    <t>CAN0286</t>
  </si>
  <si>
    <t>INT00153</t>
  </si>
  <si>
    <t>INT00154</t>
  </si>
  <si>
    <t>INT00155</t>
  </si>
  <si>
    <t>CAN1110</t>
  </si>
  <si>
    <t>INT00156</t>
  </si>
  <si>
    <t>INT00157</t>
  </si>
  <si>
    <t>CAN0262</t>
  </si>
  <si>
    <t>INT00158</t>
  </si>
  <si>
    <t>INT00159</t>
  </si>
  <si>
    <t>INT00160</t>
  </si>
  <si>
    <t>CAN0893</t>
  </si>
  <si>
    <t>INT00161</t>
  </si>
  <si>
    <t>CAN0242</t>
  </si>
  <si>
    <t>INT00162</t>
  </si>
  <si>
    <t>INT00163</t>
  </si>
  <si>
    <t>CAN0151</t>
  </si>
  <si>
    <t>INT00164</t>
  </si>
  <si>
    <t>INT00165</t>
  </si>
  <si>
    <t>INT00166</t>
  </si>
  <si>
    <t>INT00167</t>
  </si>
  <si>
    <t>INT00168</t>
  </si>
  <si>
    <t>CAN1096</t>
  </si>
  <si>
    <t>INT00169</t>
  </si>
  <si>
    <t>INT00170</t>
  </si>
  <si>
    <t>INT00171</t>
  </si>
  <si>
    <t>CAN0023</t>
  </si>
  <si>
    <t>INT00172</t>
  </si>
  <si>
    <t>INT00173</t>
  </si>
  <si>
    <t>INT00174</t>
  </si>
  <si>
    <t>INT00175</t>
  </si>
  <si>
    <t>CAN0627</t>
  </si>
  <si>
    <t>INT00176</t>
  </si>
  <si>
    <t>INT00177</t>
  </si>
  <si>
    <t>INT00178</t>
  </si>
  <si>
    <t>CAN0365</t>
  </si>
  <si>
    <t>INT00179</t>
  </si>
  <si>
    <t>INT00180</t>
  </si>
  <si>
    <t>CAN0336</t>
  </si>
  <si>
    <t>INT00181</t>
  </si>
  <si>
    <t>CAN0493</t>
  </si>
  <si>
    <t>INT00182</t>
  </si>
  <si>
    <t>CAN1117</t>
  </si>
  <si>
    <t>INT00183</t>
  </si>
  <si>
    <t>INT00184</t>
  </si>
  <si>
    <t>INT00185</t>
  </si>
  <si>
    <t>CAN0698</t>
  </si>
  <si>
    <t>INT00186</t>
  </si>
  <si>
    <t>CAN0236</t>
  </si>
  <si>
    <t>INT00187</t>
  </si>
  <si>
    <t>INT00188</t>
  </si>
  <si>
    <t>INT00189</t>
  </si>
  <si>
    <t>CAN0989</t>
  </si>
  <si>
    <t>INT00190</t>
  </si>
  <si>
    <t>INT00191</t>
  </si>
  <si>
    <t>CAN0200</t>
  </si>
  <si>
    <t>INT00192</t>
  </si>
  <si>
    <t>INT00193</t>
  </si>
  <si>
    <t>INT00194</t>
  </si>
  <si>
    <t>INT00195</t>
  </si>
  <si>
    <t>CAN1128</t>
  </si>
  <si>
    <t>INT00196</t>
  </si>
  <si>
    <t>INT00197</t>
  </si>
  <si>
    <t>CAN0142</t>
  </si>
  <si>
    <t>INT00198</t>
  </si>
  <si>
    <t>INT00199</t>
  </si>
  <si>
    <t>CAN1020</t>
  </si>
  <si>
    <t>INT00200</t>
  </si>
  <si>
    <t>INT00201</t>
  </si>
  <si>
    <t>CAN0059</t>
  </si>
  <si>
    <t>INT00202</t>
  </si>
  <si>
    <t>INT00203</t>
  </si>
  <si>
    <t>CAN0051</t>
  </si>
  <si>
    <t>INT00204</t>
  </si>
  <si>
    <t>INT00205</t>
  </si>
  <si>
    <t>CAN0321</t>
  </si>
  <si>
    <t>INT00206</t>
  </si>
  <si>
    <t>CAN0390</t>
  </si>
  <si>
    <t>INT00207</t>
  </si>
  <si>
    <t>INT00208</t>
  </si>
  <si>
    <t>INT00209</t>
  </si>
  <si>
    <t>INT00210</t>
  </si>
  <si>
    <t>INT00211</t>
  </si>
  <si>
    <t>INT00212</t>
  </si>
  <si>
    <t>INT00213</t>
  </si>
  <si>
    <t>CAN0653</t>
  </si>
  <si>
    <t>INT00214</t>
  </si>
  <si>
    <t>INT00215</t>
  </si>
  <si>
    <t>CAN0494</t>
  </si>
  <si>
    <t>INT00216</t>
  </si>
  <si>
    <t>CAN0396</t>
  </si>
  <si>
    <t>INT00217</t>
  </si>
  <si>
    <t>INT00218</t>
  </si>
  <si>
    <t>CAN0689</t>
  </si>
  <si>
    <t>INT00219</t>
  </si>
  <si>
    <t>INT00220</t>
  </si>
  <si>
    <t>INT00221</t>
  </si>
  <si>
    <t>INT00222</t>
  </si>
  <si>
    <t>INT00223</t>
  </si>
  <si>
    <t>INT00224</t>
  </si>
  <si>
    <t>CAN0048</t>
  </si>
  <si>
    <t>INT00225</t>
  </si>
  <si>
    <t>INT00226</t>
  </si>
  <si>
    <t>INT00227</t>
  </si>
  <si>
    <t>CAN0618</t>
  </si>
  <si>
    <t>INT00228</t>
  </si>
  <si>
    <t>INT00229</t>
  </si>
  <si>
    <t>INT00230</t>
  </si>
  <si>
    <t>INT00231</t>
  </si>
  <si>
    <t>CAN0256</t>
  </si>
  <si>
    <t>INT00232</t>
  </si>
  <si>
    <t>INT00233</t>
  </si>
  <si>
    <t>CAN0162</t>
  </si>
  <si>
    <t>INT00234</t>
  </si>
  <si>
    <t>INT00235</t>
  </si>
  <si>
    <t>CAN0808</t>
  </si>
  <si>
    <t>INT00236</t>
  </si>
  <si>
    <t>INT00237</t>
  </si>
  <si>
    <t>INT00238</t>
  </si>
  <si>
    <t>INT00239</t>
  </si>
  <si>
    <t>CAN0672</t>
  </si>
  <si>
    <t>INT00240</t>
  </si>
  <si>
    <t>INT00241</t>
  </si>
  <si>
    <t>INT00242</t>
  </si>
  <si>
    <t>CAN1105</t>
  </si>
  <si>
    <t>INT00243</t>
  </si>
  <si>
    <t>INT00244</t>
  </si>
  <si>
    <t>CAN0129</t>
  </si>
  <si>
    <t>INT00245</t>
  </si>
  <si>
    <t>INT00246</t>
  </si>
  <si>
    <t>INT00247</t>
  </si>
  <si>
    <t>CAN0743</t>
  </si>
  <si>
    <t>INT00248</t>
  </si>
  <si>
    <t>CAN0563</t>
  </si>
  <si>
    <t>INT00249</t>
  </si>
  <si>
    <t>INT00250</t>
  </si>
  <si>
    <t>CAN0040</t>
  </si>
  <si>
    <t>INT00251</t>
  </si>
  <si>
    <t>INT00252</t>
  </si>
  <si>
    <t>INT00253</t>
  </si>
  <si>
    <t>INT00254</t>
  </si>
  <si>
    <t>CAN0490</t>
  </si>
  <si>
    <t>INT00255</t>
  </si>
  <si>
    <t>INT00256</t>
  </si>
  <si>
    <t>INT00257</t>
  </si>
  <si>
    <t>CAN0705</t>
  </si>
  <si>
    <t>INT00258</t>
  </si>
  <si>
    <t>INT00259</t>
  </si>
  <si>
    <t>INT00260</t>
  </si>
  <si>
    <t>CAN0888</t>
  </si>
  <si>
    <t>INT00261</t>
  </si>
  <si>
    <t>INT00262</t>
  </si>
  <si>
    <t>INT00263</t>
  </si>
  <si>
    <t>CAN1031</t>
  </si>
  <si>
    <t>INT00264</t>
  </si>
  <si>
    <t>INT00265</t>
  </si>
  <si>
    <t>CAN0128</t>
  </si>
  <si>
    <t>INT00266</t>
  </si>
  <si>
    <t>INT00267</t>
  </si>
  <si>
    <t>INT00268</t>
  </si>
  <si>
    <t>INT00269</t>
  </si>
  <si>
    <t>INT00270</t>
  </si>
  <si>
    <t>INT00271</t>
  </si>
  <si>
    <t>CAN0558</t>
  </si>
  <si>
    <t>JOB049</t>
  </si>
  <si>
    <t>INT00272</t>
  </si>
  <si>
    <t>CAN1127</t>
  </si>
  <si>
    <t>INT00273</t>
  </si>
  <si>
    <t>INT00274</t>
  </si>
  <si>
    <t>INT00275</t>
  </si>
  <si>
    <t>INT00276</t>
  </si>
  <si>
    <t>INT00277</t>
  </si>
  <si>
    <t>INT00278</t>
  </si>
  <si>
    <t>CAN0646</t>
  </si>
  <si>
    <t>INT00279</t>
  </si>
  <si>
    <t>INT00280</t>
  </si>
  <si>
    <t>CAN1172</t>
  </si>
  <si>
    <t>INT00281</t>
  </si>
  <si>
    <t>CAN1153</t>
  </si>
  <si>
    <t>Madison Harmon</t>
  </si>
  <si>
    <t>INT00282</t>
  </si>
  <si>
    <t>INT00283</t>
  </si>
  <si>
    <t>INT00284</t>
  </si>
  <si>
    <t>INT00285</t>
  </si>
  <si>
    <t>CAN0874</t>
  </si>
  <si>
    <t>INT00286</t>
  </si>
  <si>
    <t>INT00287</t>
  </si>
  <si>
    <t>INT00288</t>
  </si>
  <si>
    <t>CAN0988</t>
  </si>
  <si>
    <t>INT00289</t>
  </si>
  <si>
    <t>INT00290</t>
  </si>
  <si>
    <t>INT00291</t>
  </si>
  <si>
    <t>INT00292</t>
  </si>
  <si>
    <t>CAN0344</t>
  </si>
  <si>
    <t>INT00293</t>
  </si>
  <si>
    <t>INT00294</t>
  </si>
  <si>
    <t>INT00295</t>
  </si>
  <si>
    <t>CAN1035</t>
  </si>
  <si>
    <t>INT00296</t>
  </si>
  <si>
    <t>INT00297</t>
  </si>
  <si>
    <t>CAN0201</t>
  </si>
  <si>
    <t>INT00298</t>
  </si>
  <si>
    <t>CAN0433</t>
  </si>
  <si>
    <t>INT00299</t>
  </si>
  <si>
    <t>INT00300</t>
  </si>
  <si>
    <t>CAN1092</t>
  </si>
  <si>
    <t>INT00301</t>
  </si>
  <si>
    <t>INT00302</t>
  </si>
  <si>
    <t>CAN0693</t>
  </si>
  <si>
    <t>INT00303</t>
  </si>
  <si>
    <t>INT00304</t>
  </si>
  <si>
    <t>INT00305</t>
  </si>
  <si>
    <t>INT00306</t>
  </si>
  <si>
    <t>CAN1131</t>
  </si>
  <si>
    <t>INT00307</t>
  </si>
  <si>
    <t>INT00308</t>
  </si>
  <si>
    <t>INT00309</t>
  </si>
  <si>
    <t>CAN0077</t>
  </si>
  <si>
    <t>INT00310</t>
  </si>
  <si>
    <t>INT00311</t>
  </si>
  <si>
    <t>INT00312</t>
  </si>
  <si>
    <t>CAN0121</t>
  </si>
  <si>
    <t>INT00313</t>
  </si>
  <si>
    <t>INT00314</t>
  </si>
  <si>
    <t>INT00315</t>
  </si>
  <si>
    <t>INT00316</t>
  </si>
  <si>
    <t>INT00317</t>
  </si>
  <si>
    <t>INT00318</t>
  </si>
  <si>
    <t>INT00319</t>
  </si>
  <si>
    <t>CAN0600</t>
  </si>
  <si>
    <t>INT00320</t>
  </si>
  <si>
    <t>INT00321</t>
  </si>
  <si>
    <t>CAN1099</t>
  </si>
  <si>
    <t>INT00322</t>
  </si>
  <si>
    <t>INT00323</t>
  </si>
  <si>
    <t>INT00324</t>
  </si>
  <si>
    <t>INT00325</t>
  </si>
  <si>
    <t>CAN0462</t>
  </si>
  <si>
    <t>INT00326</t>
  </si>
  <si>
    <t>CAN0416</t>
  </si>
  <si>
    <t>INT00327</t>
  </si>
  <si>
    <t>INT00328</t>
  </si>
  <si>
    <t>INT00329</t>
  </si>
  <si>
    <t>CAN1018</t>
  </si>
  <si>
    <t>INT00330</t>
  </si>
  <si>
    <t>INT00331</t>
  </si>
  <si>
    <t>CAN0504</t>
  </si>
  <si>
    <t>INT00332</t>
  </si>
  <si>
    <t>INT00333</t>
  </si>
  <si>
    <t>CAN0751</t>
  </si>
  <si>
    <t>INT00334</t>
  </si>
  <si>
    <t>INT00335</t>
  </si>
  <si>
    <t>CAN0213</t>
  </si>
  <si>
    <t>INT00336</t>
  </si>
  <si>
    <t>INT00337</t>
  </si>
  <si>
    <t>INT00338</t>
  </si>
  <si>
    <t>INT00339</t>
  </si>
  <si>
    <t>INT00340</t>
  </si>
  <si>
    <t>INT00341</t>
  </si>
  <si>
    <t>INT00342</t>
  </si>
  <si>
    <t>CAN1120</t>
  </si>
  <si>
    <t>INT00343</t>
  </si>
  <si>
    <t>INT00344</t>
  </si>
  <si>
    <t>INT00345</t>
  </si>
  <si>
    <t>CAN0435</t>
  </si>
  <si>
    <t>INT00346</t>
  </si>
  <si>
    <t>CAN0920</t>
  </si>
  <si>
    <t>INT00347</t>
  </si>
  <si>
    <t>CAN1155</t>
  </si>
  <si>
    <t>INT00348</t>
  </si>
  <si>
    <t>INT00349</t>
  </si>
  <si>
    <t>CAN0484</t>
  </si>
  <si>
    <t>INT00350</t>
  </si>
  <si>
    <t>INT00351</t>
  </si>
  <si>
    <t>INT00352</t>
  </si>
  <si>
    <t>INT00353</t>
  </si>
  <si>
    <t>CAN0941</t>
  </si>
  <si>
    <t>INT00354</t>
  </si>
  <si>
    <t>CAN0459</t>
  </si>
  <si>
    <t>INT00355</t>
  </si>
  <si>
    <t>CAN0835</t>
  </si>
  <si>
    <t>INT00356</t>
  </si>
  <si>
    <t>INT00357</t>
  </si>
  <si>
    <t>CAN1013</t>
  </si>
  <si>
    <t>INT00358</t>
  </si>
  <si>
    <t>INT00359</t>
  </si>
  <si>
    <t>CAN1021</t>
  </si>
  <si>
    <t>INT00360</t>
  </si>
  <si>
    <t>INT00361</t>
  </si>
  <si>
    <t>INT00362</t>
  </si>
  <si>
    <t>INT00363</t>
  </si>
  <si>
    <t>CAN0134</t>
  </si>
  <si>
    <t>INT00364</t>
  </si>
  <si>
    <t>INT00365</t>
  </si>
  <si>
    <t>CAN0968</t>
  </si>
  <si>
    <t>INT00366</t>
  </si>
  <si>
    <t>INT00367</t>
  </si>
  <si>
    <t>INT00368</t>
  </si>
  <si>
    <t>CAN0669</t>
  </si>
  <si>
    <t>INT00369</t>
  </si>
  <si>
    <t>INT00370</t>
  </si>
  <si>
    <t>INT00371</t>
  </si>
  <si>
    <t>INT00372</t>
  </si>
  <si>
    <t>CAN0180</t>
  </si>
  <si>
    <t>INT00373</t>
  </si>
  <si>
    <t>INT00374</t>
  </si>
  <si>
    <t>INT00375</t>
  </si>
  <si>
    <t>INT00376</t>
  </si>
  <si>
    <t>CAN0571</t>
  </si>
  <si>
    <t>INT00377</t>
  </si>
  <si>
    <t>INT00378</t>
  </si>
  <si>
    <t>CAN1080</t>
  </si>
  <si>
    <t>INT00379</t>
  </si>
  <si>
    <t>INT00380</t>
  </si>
  <si>
    <t>INT00381</t>
  </si>
  <si>
    <t>INT00382</t>
  </si>
  <si>
    <t>INT00383</t>
  </si>
  <si>
    <t>INT00384</t>
  </si>
  <si>
    <t>CAN1188</t>
  </si>
  <si>
    <t>INT00385</t>
  </si>
  <si>
    <t>INT00386</t>
  </si>
  <si>
    <t>INT00387</t>
  </si>
  <si>
    <t>CAN0060</t>
  </si>
  <si>
    <t>INT00388</t>
  </si>
  <si>
    <t>CAN0843</t>
  </si>
  <si>
    <t>INT00389</t>
  </si>
  <si>
    <t>INT00390</t>
  </si>
  <si>
    <t>CAN0497</t>
  </si>
  <si>
    <t>INT00391</t>
  </si>
  <si>
    <t>CAN1193</t>
  </si>
  <si>
    <t>INT00392</t>
  </si>
  <si>
    <t>INT00393</t>
  </si>
  <si>
    <t>CAN0819</t>
  </si>
  <si>
    <t>INT00394</t>
  </si>
  <si>
    <t>INT00395</t>
  </si>
  <si>
    <t>INT00396</t>
  </si>
  <si>
    <t>INT00397</t>
  </si>
  <si>
    <t>CAN0560</t>
  </si>
  <si>
    <t>INT00398</t>
  </si>
  <si>
    <t>INT00399</t>
  </si>
  <si>
    <t>INT00400</t>
  </si>
  <si>
    <t>CAN0005</t>
  </si>
  <si>
    <t>INT00401</t>
  </si>
  <si>
    <t>INT00402</t>
  </si>
  <si>
    <t>INT00403</t>
  </si>
  <si>
    <t>CAN0800</t>
  </si>
  <si>
    <t>INT00404</t>
  </si>
  <si>
    <t>CAN0786</t>
  </si>
  <si>
    <t>INT00405</t>
  </si>
  <si>
    <t>CAN1056</t>
  </si>
  <si>
    <t>INT00406</t>
  </si>
  <si>
    <t>INT00407</t>
  </si>
  <si>
    <t>INT00408</t>
  </si>
  <si>
    <t>CAN1178</t>
  </si>
  <si>
    <t>INT00409</t>
  </si>
  <si>
    <t>INT00410</t>
  </si>
  <si>
    <t>INT00411</t>
  </si>
  <si>
    <t>CAN0499</t>
  </si>
  <si>
    <t>INT00412</t>
  </si>
  <si>
    <t>CAN0699</t>
  </si>
  <si>
    <t>INT00413</t>
  </si>
  <si>
    <t>CAN0967</t>
  </si>
  <si>
    <t>INT00414</t>
  </si>
  <si>
    <t>INT00415</t>
  </si>
  <si>
    <t>INT00416</t>
  </si>
  <si>
    <t>CAN0266</t>
  </si>
  <si>
    <t>INT00417</t>
  </si>
  <si>
    <t>INT00418</t>
  </si>
  <si>
    <t>INT00419</t>
  </si>
  <si>
    <t>CAN0124</t>
  </si>
  <si>
    <t>INT00420</t>
  </si>
  <si>
    <t>INT00421</t>
  </si>
  <si>
    <t>CAN0986</t>
  </si>
  <si>
    <t>INT00422</t>
  </si>
  <si>
    <t>INT00423</t>
  </si>
  <si>
    <t>INT00424</t>
  </si>
  <si>
    <t>INT00425</t>
  </si>
  <si>
    <t>CAN0630</t>
  </si>
  <si>
    <t>JOB001</t>
  </si>
  <si>
    <t>INT00426</t>
  </si>
  <si>
    <t>CAN0255</t>
  </si>
  <si>
    <t>INT00427</t>
  </si>
  <si>
    <t>CAN0418</t>
  </si>
  <si>
    <t>INT00428</t>
  </si>
  <si>
    <t>INT00429</t>
  </si>
  <si>
    <t>CAN1116</t>
  </si>
  <si>
    <t>INT00430</t>
  </si>
  <si>
    <t>INT00431</t>
  </si>
  <si>
    <t>INT00432</t>
  </si>
  <si>
    <t>CAN0101</t>
  </si>
  <si>
    <t>INT00433</t>
  </si>
  <si>
    <t>INT00434</t>
  </si>
  <si>
    <t>INT00435</t>
  </si>
  <si>
    <t>CAN0210</t>
  </si>
  <si>
    <t>INT00436</t>
  </si>
  <si>
    <t>INT00437</t>
  </si>
  <si>
    <t>INT00438</t>
  </si>
  <si>
    <t>CAN0226</t>
  </si>
  <si>
    <t>INT00439</t>
  </si>
  <si>
    <t>INT00440</t>
  </si>
  <si>
    <t>INT00441</t>
  </si>
  <si>
    <t>CAN0271</t>
  </si>
  <si>
    <t>INT00442</t>
  </si>
  <si>
    <t>INT00443</t>
  </si>
  <si>
    <t>INT00444</t>
  </si>
  <si>
    <t>INT00445</t>
  </si>
  <si>
    <t>CAN0313</t>
  </si>
  <si>
    <t>INT00446</t>
  </si>
  <si>
    <t>INT00447</t>
  </si>
  <si>
    <t>CAN0519</t>
  </si>
  <si>
    <t>INT00448</t>
  </si>
  <si>
    <t>INT00449</t>
  </si>
  <si>
    <t>INT00450</t>
  </si>
  <si>
    <t>CAN0569</t>
  </si>
  <si>
    <t>Amanda Williams</t>
  </si>
  <si>
    <t>INT00451</t>
  </si>
  <si>
    <t>INT00452</t>
  </si>
  <si>
    <t>CAN0204</t>
  </si>
  <si>
    <t>INT00453</t>
  </si>
  <si>
    <t>INT00454</t>
  </si>
  <si>
    <t>INT00455</t>
  </si>
  <si>
    <t>CAN1114</t>
  </si>
  <si>
    <t>INT00456</t>
  </si>
  <si>
    <t>CAN0413</t>
  </si>
  <si>
    <t>INT00457</t>
  </si>
  <si>
    <t>CAN0161</t>
  </si>
  <si>
    <t>INT00458</t>
  </si>
  <si>
    <t>CAN0348</t>
  </si>
  <si>
    <t>INT00459</t>
  </si>
  <si>
    <t>CAN0727</t>
  </si>
  <si>
    <t>INT00460</t>
  </si>
  <si>
    <t>INT00461</t>
  </si>
  <si>
    <t>INT00462</t>
  </si>
  <si>
    <t>CAN0140</t>
  </si>
  <si>
    <t>INT00463</t>
  </si>
  <si>
    <t>INT00464</t>
  </si>
  <si>
    <t>INT00465</t>
  </si>
  <si>
    <t>INT00466</t>
  </si>
  <si>
    <t>INT00467</t>
  </si>
  <si>
    <t>INT00468</t>
  </si>
  <si>
    <t>INT00469</t>
  </si>
  <si>
    <t>INT00470</t>
  </si>
  <si>
    <t>CAN0469</t>
  </si>
  <si>
    <t>INT00471</t>
  </si>
  <si>
    <t>INT00472</t>
  </si>
  <si>
    <t>INT00473</t>
  </si>
  <si>
    <t>CAN0393</t>
  </si>
  <si>
    <t>INT00474</t>
  </si>
  <si>
    <t>INT00475</t>
  </si>
  <si>
    <t>INT00476</t>
  </si>
  <si>
    <t>INT00477</t>
  </si>
  <si>
    <t>CAN0865</t>
  </si>
  <si>
    <t>INT00478</t>
  </si>
  <si>
    <t>INT00479</t>
  </si>
  <si>
    <t>CAN0542</t>
  </si>
  <si>
    <t>INT00480</t>
  </si>
  <si>
    <t>INT00481</t>
  </si>
  <si>
    <t>INT00482</t>
  </si>
  <si>
    <t>INT00483</t>
  </si>
  <si>
    <t>CAN0184</t>
  </si>
  <si>
    <t>INT00484</t>
  </si>
  <si>
    <t>INT00485</t>
  </si>
  <si>
    <t>CAN0139</t>
  </si>
  <si>
    <t>INT00486</t>
  </si>
  <si>
    <t>CAN1054</t>
  </si>
  <si>
    <t>INT00487</t>
  </si>
  <si>
    <t>INT00488</t>
  </si>
  <si>
    <t>CAN0155</t>
  </si>
  <si>
    <t>INT00489</t>
  </si>
  <si>
    <t>INT00490</t>
  </si>
  <si>
    <t>INT00491</t>
  </si>
  <si>
    <t>INT00492</t>
  </si>
  <si>
    <t>INT00493</t>
  </si>
  <si>
    <t>INT00494</t>
  </si>
  <si>
    <t>INT00495</t>
  </si>
  <si>
    <t>CAN1169</t>
  </si>
  <si>
    <t>INT00496</t>
  </si>
  <si>
    <t>INT00497</t>
  </si>
  <si>
    <t>CAN0816</t>
  </si>
  <si>
    <t>INT00498</t>
  </si>
  <si>
    <t>CAN0624</t>
  </si>
  <si>
    <t>INT00499</t>
  </si>
  <si>
    <t>INT00500</t>
  </si>
  <si>
    <t>CAN0535</t>
  </si>
  <si>
    <t>INT00501</t>
  </si>
  <si>
    <t>INT00502</t>
  </si>
  <si>
    <t>INT00503</t>
  </si>
  <si>
    <t>CAN0057</t>
  </si>
  <si>
    <t>INT00504</t>
  </si>
  <si>
    <t>INT00505</t>
  </si>
  <si>
    <t>INT00506</t>
  </si>
  <si>
    <t>CAN1132</t>
  </si>
  <si>
    <t>INT00507</t>
  </si>
  <si>
    <t>INT00508</t>
  </si>
  <si>
    <t>INT00509</t>
  </si>
  <si>
    <t>CAN0157</t>
  </si>
  <si>
    <t>INT00510</t>
  </si>
  <si>
    <t>INT00511</t>
  </si>
  <si>
    <t>INT00512</t>
  </si>
  <si>
    <t>INT00513</t>
  </si>
  <si>
    <t>CAN0427</t>
  </si>
  <si>
    <t>INT00514</t>
  </si>
  <si>
    <t>INT00515</t>
  </si>
  <si>
    <t>INT00516</t>
  </si>
  <si>
    <t>CAN0020</t>
  </si>
  <si>
    <t>INT00517</t>
  </si>
  <si>
    <t>INT00518</t>
  </si>
  <si>
    <t>INT00519</t>
  </si>
  <si>
    <t>INT00520</t>
  </si>
  <si>
    <t>CAN0739</t>
  </si>
  <si>
    <t>INT00521</t>
  </si>
  <si>
    <t>CAN0785</t>
  </si>
  <si>
    <t>INT00522</t>
  </si>
  <si>
    <t>INT00523</t>
  </si>
  <si>
    <t>INT00524</t>
  </si>
  <si>
    <t>CAN0064</t>
  </si>
  <si>
    <t>INT00525</t>
  </si>
  <si>
    <t>INT00526</t>
  </si>
  <si>
    <t>INT00527</t>
  </si>
  <si>
    <t>INT00528</t>
  </si>
  <si>
    <t>INT00529</t>
  </si>
  <si>
    <t>INT00530</t>
  </si>
  <si>
    <t>CAN1198</t>
  </si>
  <si>
    <t>INT00531</t>
  </si>
  <si>
    <t>INT00532</t>
  </si>
  <si>
    <t>INT00533</t>
  </si>
  <si>
    <t>INT00534</t>
  </si>
  <si>
    <t>CAN0632</t>
  </si>
  <si>
    <t>INT00535</t>
  </si>
  <si>
    <t>INT00536</t>
  </si>
  <si>
    <t>INT00537</t>
  </si>
  <si>
    <t>INT00538</t>
  </si>
  <si>
    <t>CAN0848</t>
  </si>
  <si>
    <t>INT00539</t>
  </si>
  <si>
    <t>INT00540</t>
  </si>
  <si>
    <t>INT00541</t>
  </si>
  <si>
    <t>CAN1025</t>
  </si>
  <si>
    <t>INT00542</t>
  </si>
  <si>
    <t>INT00543</t>
  </si>
  <si>
    <t>CAN0670</t>
  </si>
  <si>
    <t>INT00544</t>
  </si>
  <si>
    <t>CAN0293</t>
  </si>
  <si>
    <t>INT00545</t>
  </si>
  <si>
    <t>INT00546</t>
  </si>
  <si>
    <t>INT00547</t>
  </si>
  <si>
    <t>INT00548</t>
  </si>
  <si>
    <t>CAN0661</t>
  </si>
  <si>
    <t>INT00549</t>
  </si>
  <si>
    <t>INT00550</t>
  </si>
  <si>
    <t>INT00551</t>
  </si>
  <si>
    <t>INT00552</t>
  </si>
  <si>
    <t>CAN0147</t>
  </si>
  <si>
    <t>INT00553</t>
  </si>
  <si>
    <t>INT00554</t>
  </si>
  <si>
    <t>INT00555</t>
  </si>
  <si>
    <t>CAN1145</t>
  </si>
  <si>
    <t>INT00556</t>
  </si>
  <si>
    <t>INT00557</t>
  </si>
  <si>
    <t>INT00558</t>
  </si>
  <si>
    <t>CAN0202</t>
  </si>
  <si>
    <t>INT00559</t>
  </si>
  <si>
    <t>INT00560</t>
  </si>
  <si>
    <t>INT00561</t>
  </si>
  <si>
    <t>CAN0392</t>
  </si>
  <si>
    <t>INT00562</t>
  </si>
  <si>
    <t>CAN0665</t>
  </si>
  <si>
    <t>INT00563</t>
  </si>
  <si>
    <t>INT00564</t>
  </si>
  <si>
    <t>INT00565</t>
  </si>
  <si>
    <t>CAN1083</t>
  </si>
  <si>
    <t>INT00566</t>
  </si>
  <si>
    <t>INT00567</t>
  </si>
  <si>
    <t>INT00568</t>
  </si>
  <si>
    <t>INT00569</t>
  </si>
  <si>
    <t>CAN0029</t>
  </si>
  <si>
    <t>INT00570</t>
  </si>
  <si>
    <t>CAN1148</t>
  </si>
  <si>
    <t>INT00571</t>
  </si>
  <si>
    <t>INT00572</t>
  </si>
  <si>
    <t>INT00573</t>
  </si>
  <si>
    <t>CAN0130</t>
  </si>
  <si>
    <t>INT00574</t>
  </si>
  <si>
    <t>INT00575</t>
  </si>
  <si>
    <t>CAN0969</t>
  </si>
  <si>
    <t>INT00576</t>
  </si>
  <si>
    <t>INT00577</t>
  </si>
  <si>
    <t>CAN0472</t>
  </si>
  <si>
    <t>INT00578</t>
  </si>
  <si>
    <t>INT00579</t>
  </si>
  <si>
    <t>INT00580</t>
  </si>
  <si>
    <t>INT00581</t>
  </si>
  <si>
    <t>CAN1006</t>
  </si>
  <si>
    <t>INT00582</t>
  </si>
  <si>
    <t>INT00583</t>
  </si>
  <si>
    <t>CAN0389</t>
  </si>
  <si>
    <t>INT00584</t>
  </si>
  <si>
    <t>INT00585</t>
  </si>
  <si>
    <t>INT00586</t>
  </si>
  <si>
    <t>INT00587</t>
  </si>
  <si>
    <t>CAN0855</t>
  </si>
  <si>
    <t>INT00588</t>
  </si>
  <si>
    <t>INT00589</t>
  </si>
  <si>
    <t>CAN0509</t>
  </si>
  <si>
    <t>INT00590</t>
  </si>
  <si>
    <t>INT00591</t>
  </si>
  <si>
    <t>CAN0398</t>
  </si>
  <si>
    <t>INT00592</t>
  </si>
  <si>
    <t>INT00593</t>
  </si>
  <si>
    <t>INT00594</t>
  </si>
  <si>
    <t>INT00595</t>
  </si>
  <si>
    <t>CAN0593</t>
  </si>
  <si>
    <t>INT00596</t>
  </si>
  <si>
    <t>INT00597</t>
  </si>
  <si>
    <t>INT00598</t>
  </si>
  <si>
    <t>INT00599</t>
  </si>
  <si>
    <t>INT00600</t>
  </si>
  <si>
    <t>INT00601</t>
  </si>
  <si>
    <t>INT00602</t>
  </si>
  <si>
    <t>CAN1009</t>
  </si>
  <si>
    <t>INT00603</t>
  </si>
  <si>
    <t>CAN0430</t>
  </si>
  <si>
    <t>INT00604</t>
  </si>
  <si>
    <t>CAN0217</t>
  </si>
  <si>
    <t>INT00605</t>
  </si>
  <si>
    <t>CAN0310</t>
  </si>
  <si>
    <t>INT00606</t>
  </si>
  <si>
    <t>CAN0770</t>
  </si>
  <si>
    <t>INT00607</t>
  </si>
  <si>
    <t>INT00608</t>
  </si>
  <si>
    <t>CAN0143</t>
  </si>
  <si>
    <t>INT00609</t>
  </si>
  <si>
    <t>INT00610</t>
  </si>
  <si>
    <t>INT00611</t>
  </si>
  <si>
    <t>INT00612</t>
  </si>
  <si>
    <t>CAN0146</t>
  </si>
  <si>
    <t>INT00613</t>
  </si>
  <si>
    <t>INT00614</t>
  </si>
  <si>
    <t>CAN0111</t>
  </si>
  <si>
    <t>INT00615</t>
  </si>
  <si>
    <t>INT00616</t>
  </si>
  <si>
    <t>INT00617</t>
  </si>
  <si>
    <t>CAN0534</t>
  </si>
  <si>
    <t>INT00618</t>
  </si>
  <si>
    <t>CAN0087</t>
  </si>
  <si>
    <t>INT00619</t>
  </si>
  <si>
    <t>INT00620</t>
  </si>
  <si>
    <t>CAN0611</t>
  </si>
  <si>
    <t>INT00621</t>
  </si>
  <si>
    <t>INT00622</t>
  </si>
  <si>
    <t>INT00623</t>
  </si>
  <si>
    <t>CAN0679</t>
  </si>
  <si>
    <t>INT00624</t>
  </si>
  <si>
    <t>CAN0283</t>
  </si>
  <si>
    <t>INT00625</t>
  </si>
  <si>
    <t>INT00626</t>
  </si>
  <si>
    <t>CAN0514</t>
  </si>
  <si>
    <t>INT00627</t>
  </si>
  <si>
    <t>INT00628</t>
  </si>
  <si>
    <t>CAN0724</t>
  </si>
  <si>
    <t>INT00629</t>
  </si>
  <si>
    <t>CAN0791</t>
  </si>
  <si>
    <t>INT00630</t>
  </si>
  <si>
    <t>CAN1101</t>
  </si>
  <si>
    <t>INT00631</t>
  </si>
  <si>
    <t>CAN1046</t>
  </si>
  <si>
    <t>INT00632</t>
  </si>
  <si>
    <t>CAN0506</t>
  </si>
  <si>
    <t>INT00633</t>
  </si>
  <si>
    <t>INT00634</t>
  </si>
  <si>
    <t>CAN0572</t>
  </si>
  <si>
    <t>INT00635</t>
  </si>
  <si>
    <t>INT00636</t>
  </si>
  <si>
    <t>INT00637</t>
  </si>
  <si>
    <t>INT00638</t>
  </si>
  <si>
    <t>CAN1087</t>
  </si>
  <si>
    <t>INT00639</t>
  </si>
  <si>
    <t>INT00640</t>
  </si>
  <si>
    <t>INT00641</t>
  </si>
  <si>
    <t>INT00642</t>
  </si>
  <si>
    <t>CAN0928</t>
  </si>
  <si>
    <t>INT00643</t>
  </si>
  <si>
    <t>INT00644</t>
  </si>
  <si>
    <t>CAN0379</t>
  </si>
  <si>
    <t>INT00645</t>
  </si>
  <si>
    <t>INT00646</t>
  </si>
  <si>
    <t>CAN1024</t>
  </si>
  <si>
    <t>INT00647</t>
  </si>
  <si>
    <t>INT00648</t>
  </si>
  <si>
    <t>CAN0296</t>
  </si>
  <si>
    <t>INT00649</t>
  </si>
  <si>
    <t>INT00650</t>
  </si>
  <si>
    <t>INT00651</t>
  </si>
  <si>
    <t>INT00652</t>
  </si>
  <si>
    <t>INT00653</t>
  </si>
  <si>
    <t>INT00654</t>
  </si>
  <si>
    <t>INT00655</t>
  </si>
  <si>
    <t>CAN0079</t>
  </si>
  <si>
    <t>INT00656</t>
  </si>
  <si>
    <t>INT00657</t>
  </si>
  <si>
    <t>CAN1075</t>
  </si>
  <si>
    <t>INT00658</t>
  </si>
  <si>
    <t>INT00659</t>
  </si>
  <si>
    <t>CAN0668</t>
  </si>
  <si>
    <t>INT00660</t>
  </si>
  <si>
    <t>CAN0603</t>
  </si>
  <si>
    <t>INT00661</t>
  </si>
  <si>
    <t>INT00662</t>
  </si>
  <si>
    <t>INT00663</t>
  </si>
  <si>
    <t>INT00664</t>
  </si>
  <si>
    <t>CAN0608</t>
  </si>
  <si>
    <t>INT00665</t>
  </si>
  <si>
    <t>INT00666</t>
  </si>
  <si>
    <t>CAN0527</t>
  </si>
  <si>
    <t>INT00667</t>
  </si>
  <si>
    <t>INT00668</t>
  </si>
  <si>
    <t>INT00669</t>
  </si>
  <si>
    <t>INT00670</t>
  </si>
  <si>
    <t>CAN0752</t>
  </si>
  <si>
    <t>INT00671</t>
  </si>
  <si>
    <t>CAN0919</t>
  </si>
  <si>
    <t>INT00672</t>
  </si>
  <si>
    <t>INT00673</t>
  </si>
  <si>
    <t>INT00674</t>
  </si>
  <si>
    <t>INT00675</t>
  </si>
  <si>
    <t>INT00676</t>
  </si>
  <si>
    <t>INT00677</t>
  </si>
  <si>
    <t>CAN0849</t>
  </si>
  <si>
    <t>INT00678</t>
  </si>
  <si>
    <t>INT00679</t>
  </si>
  <si>
    <t>INT00680</t>
  </si>
  <si>
    <t>INT00681</t>
  </si>
  <si>
    <t>CAN0762</t>
  </si>
  <si>
    <t>INT00682</t>
  </si>
  <si>
    <t>INT00683</t>
  </si>
  <si>
    <t>CAN1176</t>
  </si>
  <si>
    <t>INT00684</t>
  </si>
  <si>
    <t>INT00685</t>
  </si>
  <si>
    <t>CAN0164</t>
  </si>
  <si>
    <t>INT00686</t>
  </si>
  <si>
    <t>CAN0320</t>
  </si>
  <si>
    <t>INT00687</t>
  </si>
  <si>
    <t>INT00688</t>
  </si>
  <si>
    <t>INT00689</t>
  </si>
  <si>
    <t>INT00690</t>
  </si>
  <si>
    <t>CAN0105</t>
  </si>
  <si>
    <t>INT00691</t>
  </si>
  <si>
    <t>INT00692</t>
  </si>
  <si>
    <t>CAN0030</t>
  </si>
  <si>
    <t>INT00693</t>
  </si>
  <si>
    <t>INT00694</t>
  </si>
  <si>
    <t>CAN0912</t>
  </si>
  <si>
    <t>INT00695</t>
  </si>
  <si>
    <t>INT00696</t>
  </si>
  <si>
    <t>INT00697</t>
  </si>
  <si>
    <t>CAN0224</t>
  </si>
  <si>
    <t>INT00698</t>
  </si>
  <si>
    <t>INT00699</t>
  </si>
  <si>
    <t>CAN0279</t>
  </si>
  <si>
    <t>INT00700</t>
  </si>
  <si>
    <t>INT00701</t>
  </si>
  <si>
    <t>INT00702</t>
  </si>
  <si>
    <t>CAN0319</t>
  </si>
  <si>
    <t>INT00703</t>
  </si>
  <si>
    <t>INT00704</t>
  </si>
  <si>
    <t>INT00705</t>
  </si>
  <si>
    <t>INT00706</t>
  </si>
  <si>
    <t>INT00707</t>
  </si>
  <si>
    <t>CAN0088</t>
  </si>
  <si>
    <t>INT00708</t>
  </si>
  <si>
    <t>INT00709</t>
  </si>
  <si>
    <t>INT00710</t>
  </si>
  <si>
    <t>INT00711</t>
  </si>
  <si>
    <t>INT00712</t>
  </si>
  <si>
    <t>INT00713</t>
  </si>
  <si>
    <t>CAN1086</t>
  </si>
  <si>
    <t>INT00714</t>
  </si>
  <si>
    <t>CAN0942</t>
  </si>
  <si>
    <t>INT00715</t>
  </si>
  <si>
    <t>INT00716</t>
  </si>
  <si>
    <t>CAN0231</t>
  </si>
  <si>
    <t>INT00717</t>
  </si>
  <si>
    <t>INT00718</t>
  </si>
  <si>
    <t>INT00719</t>
  </si>
  <si>
    <t>INT00720</t>
  </si>
  <si>
    <t>CAN0898</t>
  </si>
  <si>
    <t>INT00721</t>
  </si>
  <si>
    <t>INT00722</t>
  </si>
  <si>
    <t>INT00723</t>
  </si>
  <si>
    <t>CAN0275</t>
  </si>
  <si>
    <t>INT00724</t>
  </si>
  <si>
    <t>CAN0820</t>
  </si>
  <si>
    <t>INT00725</t>
  </si>
  <si>
    <t>INT00726</t>
  </si>
  <si>
    <t>INT00727</t>
  </si>
  <si>
    <t>CAN0346</t>
  </si>
  <si>
    <t>INT00728</t>
  </si>
  <si>
    <t>CAN0447</t>
  </si>
  <si>
    <t>INT00729</t>
  </si>
  <si>
    <t>INT00730</t>
  </si>
  <si>
    <t>INT00731</t>
  </si>
  <si>
    <t>INT00732</t>
  </si>
  <si>
    <t>INT00733</t>
  </si>
  <si>
    <t>INT00734</t>
  </si>
  <si>
    <t>INT00735</t>
  </si>
  <si>
    <t>CAN0345</t>
  </si>
  <si>
    <t>INT00736</t>
  </si>
  <si>
    <t>CAN0550</t>
  </si>
  <si>
    <t>INT00737</t>
  </si>
  <si>
    <t>INT00738</t>
  </si>
  <si>
    <t>INT00739</t>
  </si>
  <si>
    <t>CAN0981</t>
  </si>
  <si>
    <t>INT00740</t>
  </si>
  <si>
    <t>CAN0587</t>
  </si>
  <si>
    <t>INT00741</t>
  </si>
  <si>
    <t>INT00742</t>
  </si>
  <si>
    <t>INT00743</t>
  </si>
  <si>
    <t>INT00744</t>
  </si>
  <si>
    <t>INT00745</t>
  </si>
  <si>
    <t>INT00746</t>
  </si>
  <si>
    <t>INT00747</t>
  </si>
  <si>
    <t>CAN0406</t>
  </si>
  <si>
    <t>INT00748</t>
  </si>
  <si>
    <t>INT00749</t>
  </si>
  <si>
    <t>INT00750</t>
  </si>
  <si>
    <t>INT00751</t>
  </si>
  <si>
    <t>CAN0575</t>
  </si>
  <si>
    <t>INT00752</t>
  </si>
  <si>
    <t>INT00753</t>
  </si>
  <si>
    <t>INT00754</t>
  </si>
  <si>
    <t>INT00755</t>
  </si>
  <si>
    <t>CAN0638</t>
  </si>
  <si>
    <t>INT00756</t>
  </si>
  <si>
    <t>INT00757</t>
  </si>
  <si>
    <t>INT00758</t>
  </si>
  <si>
    <t>CAN0983</t>
  </si>
  <si>
    <t>INT00759</t>
  </si>
  <si>
    <t>INT00760</t>
  </si>
  <si>
    <t>INT00761</t>
  </si>
  <si>
    <t>INT00762</t>
  </si>
  <si>
    <t>CAN0403</t>
  </si>
  <si>
    <t>INT00763</t>
  </si>
  <si>
    <t>INT00764</t>
  </si>
  <si>
    <t>INT00765</t>
  </si>
  <si>
    <t>INT00766</t>
  </si>
  <si>
    <t>INT00767</t>
  </si>
  <si>
    <t>INT00768</t>
  </si>
  <si>
    <t>INT00769</t>
  </si>
  <si>
    <t>CAN0887</t>
  </si>
  <si>
    <t>INT00770</t>
  </si>
  <si>
    <t>INT00771</t>
  </si>
  <si>
    <t>INT00772</t>
  </si>
  <si>
    <t>INT00773</t>
  </si>
  <si>
    <t>CAN0357</t>
  </si>
  <si>
    <t>INT00774</t>
  </si>
  <si>
    <t>INT00775</t>
  </si>
  <si>
    <t>INT00776</t>
  </si>
  <si>
    <t>CAN1104</t>
  </si>
  <si>
    <t>INT00777</t>
  </si>
  <si>
    <t>INT00778</t>
  </si>
  <si>
    <t>INT00779</t>
  </si>
  <si>
    <t>CAN0552</t>
  </si>
  <si>
    <t>INT00780</t>
  </si>
  <si>
    <t>INT00781</t>
  </si>
  <si>
    <t>INT00782</t>
  </si>
  <si>
    <t>INT00783</t>
  </si>
  <si>
    <t>CAN0999</t>
  </si>
  <si>
    <t>INT00784</t>
  </si>
  <si>
    <t>INT00785</t>
  </si>
  <si>
    <t>INT00786</t>
  </si>
  <si>
    <t>CAN0382</t>
  </si>
  <si>
    <t>INT00787</t>
  </si>
  <si>
    <t>INT00788</t>
  </si>
  <si>
    <t>CAN0463</t>
  </si>
  <si>
    <t>INT00789</t>
  </si>
  <si>
    <t>CAN0009</t>
  </si>
  <si>
    <t>INT00790</t>
  </si>
  <si>
    <t>INT00791</t>
  </si>
  <si>
    <t>CAN0482</t>
  </si>
  <si>
    <t>INT00792</t>
  </si>
  <si>
    <t>INT00793</t>
  </si>
  <si>
    <t>INT00794</t>
  </si>
  <si>
    <t>INT00795</t>
  </si>
  <si>
    <t>INT00796</t>
  </si>
  <si>
    <t>CAN0248</t>
  </si>
  <si>
    <t>INT00797</t>
  </si>
  <si>
    <t>CAN0551</t>
  </si>
  <si>
    <t>INT00798</t>
  </si>
  <si>
    <t>CAN0975</t>
  </si>
  <si>
    <t>INT00799</t>
  </si>
  <si>
    <t>CAN0133</t>
  </si>
  <si>
    <t>INT00800</t>
  </si>
  <si>
    <t>INT00801</t>
  </si>
  <si>
    <t>CAN0654</t>
  </si>
  <si>
    <t>INT00802</t>
  </si>
  <si>
    <t>INT00803</t>
  </si>
  <si>
    <t>INT00804</t>
  </si>
  <si>
    <t>INT00805</t>
  </si>
  <si>
    <t>CAN0602</t>
  </si>
  <si>
    <t>INT00806</t>
  </si>
  <si>
    <t>INT00807</t>
  </si>
  <si>
    <t>INT00808</t>
  </si>
  <si>
    <t>INT00809</t>
  </si>
  <si>
    <t>CAN0221</t>
  </si>
  <si>
    <t>INT00810</t>
  </si>
  <si>
    <t>INT00811</t>
  </si>
  <si>
    <t>INT00812</t>
  </si>
  <si>
    <t>INT00813</t>
  </si>
  <si>
    <t>CAN0010</t>
  </si>
  <si>
    <t>INT00814</t>
  </si>
  <si>
    <t>INT00815</t>
  </si>
  <si>
    <t>INT00816</t>
  </si>
  <si>
    <t>INT00817</t>
  </si>
  <si>
    <t>INT00818</t>
  </si>
  <si>
    <t>CAN0515</t>
  </si>
  <si>
    <t>INT00819</t>
  </si>
  <si>
    <t>CAN0407</t>
  </si>
  <si>
    <t>INT00820</t>
  </si>
  <si>
    <t>INT00821</t>
  </si>
  <si>
    <t>INT00822</t>
  </si>
  <si>
    <t>INT00823</t>
  </si>
  <si>
    <t>CAN0148</t>
  </si>
  <si>
    <t>INT00824</t>
  </si>
  <si>
    <t>CAN0074</t>
  </si>
  <si>
    <t>INT00825</t>
  </si>
  <si>
    <t>CAN0667</t>
  </si>
  <si>
    <t>INT00826</t>
  </si>
  <si>
    <t>CAN0251</t>
  </si>
  <si>
    <t>INT00827</t>
  </si>
  <si>
    <t>INT00828</t>
  </si>
  <si>
    <t>INT00829</t>
  </si>
  <si>
    <t>CAN0441</t>
  </si>
  <si>
    <t>INT00830</t>
  </si>
  <si>
    <t>INT00831</t>
  </si>
  <si>
    <t>INT00832</t>
  </si>
  <si>
    <t>CAN0794</t>
  </si>
  <si>
    <t>INT00833</t>
  </si>
  <si>
    <t>INT00834</t>
  </si>
  <si>
    <t>INT00835</t>
  </si>
  <si>
    <t>INT00836</t>
  </si>
  <si>
    <t>INT00837</t>
  </si>
  <si>
    <t>INT00838</t>
  </si>
  <si>
    <t>CAN1102</t>
  </si>
  <si>
    <t>INT00839</t>
  </si>
  <si>
    <t>INT00840</t>
  </si>
  <si>
    <t>INT00841</t>
  </si>
  <si>
    <t>INT00842</t>
  </si>
  <si>
    <t>INT00843</t>
  </si>
  <si>
    <t>CAN0055</t>
  </si>
  <si>
    <t>INT00844</t>
  </si>
  <si>
    <t>INT00845</t>
  </si>
  <si>
    <t>CAN0488</t>
  </si>
  <si>
    <t>INT00846</t>
  </si>
  <si>
    <t>INT00847</t>
  </si>
  <si>
    <t>INT00848</t>
  </si>
  <si>
    <t>INT00849</t>
  </si>
  <si>
    <t>INT00850</t>
  </si>
  <si>
    <t>INT00851</t>
  </si>
  <si>
    <t>INT00852</t>
  </si>
  <si>
    <t>CAN1032</t>
  </si>
  <si>
    <t>INT00853</t>
  </si>
  <si>
    <t>CAN1072</t>
  </si>
  <si>
    <t>INT00854</t>
  </si>
  <si>
    <t>INT00855</t>
  </si>
  <si>
    <t>CAN0652</t>
  </si>
  <si>
    <t>INT00856</t>
  </si>
  <si>
    <t>CAN0349</t>
  </si>
  <si>
    <t>INT00857</t>
  </si>
  <si>
    <t>INT00858</t>
  </si>
  <si>
    <t>CAN0285</t>
  </si>
  <si>
    <t>INT00859</t>
  </si>
  <si>
    <t>INT00860</t>
  </si>
  <si>
    <t>CAN0054</t>
  </si>
  <si>
    <t>INT00861</t>
  </si>
  <si>
    <t>INT00862</t>
  </si>
  <si>
    <t>INT00863</t>
  </si>
  <si>
    <t>INT00864</t>
  </si>
  <si>
    <t>CAN0315</t>
  </si>
  <si>
    <t>INT00865</t>
  </si>
  <si>
    <t>INT00866</t>
  </si>
  <si>
    <t>CAN1165</t>
  </si>
  <si>
    <t>INT00867</t>
  </si>
  <si>
    <t>INT00868</t>
  </si>
  <si>
    <t>INT00869</t>
  </si>
  <si>
    <t>CAN0917</t>
  </si>
  <si>
    <t>INT00870</t>
  </si>
  <si>
    <t>INT00871</t>
  </si>
  <si>
    <t>INT00872</t>
  </si>
  <si>
    <t>INT00873</t>
  </si>
  <si>
    <t>CAN0426</t>
  </si>
  <si>
    <t>INT00874</t>
  </si>
  <si>
    <t>CAN0886</t>
  </si>
  <si>
    <t>INT00875</t>
  </si>
  <si>
    <t>INT00876</t>
  </si>
  <si>
    <t>INT00877</t>
  </si>
  <si>
    <t>INT00878</t>
  </si>
  <si>
    <t>CAN0678</t>
  </si>
  <si>
    <t>INT00879</t>
  </si>
  <si>
    <t>INT00880</t>
  </si>
  <si>
    <t>CAN0528</t>
  </si>
  <si>
    <t>INT00881</t>
  </si>
  <si>
    <t>INT00882</t>
  </si>
  <si>
    <t>CAN0578</t>
  </si>
  <si>
    <t>INT00883</t>
  </si>
  <si>
    <t>INT00884</t>
  </si>
  <si>
    <t>CAN0082</t>
  </si>
  <si>
    <t>INT00885</t>
  </si>
  <si>
    <t>INT00886</t>
  </si>
  <si>
    <t>INT00887</t>
  </si>
  <si>
    <t>INT00888</t>
  </si>
  <si>
    <t>INT00889</t>
  </si>
  <si>
    <t>INT00890</t>
  </si>
  <si>
    <t>INT00891</t>
  </si>
  <si>
    <t>INT00892</t>
  </si>
  <si>
    <t>CAN0007</t>
  </si>
  <si>
    <t>INT00893</t>
  </si>
  <si>
    <t>INT00894</t>
  </si>
  <si>
    <t>INT00895</t>
  </si>
  <si>
    <t>INT00896</t>
  </si>
  <si>
    <t>CAN1146</t>
  </si>
  <si>
    <t>INT00897</t>
  </si>
  <si>
    <t>CAN0524</t>
  </si>
  <si>
    <t>INT00898</t>
  </si>
  <si>
    <t>INT00899</t>
  </si>
  <si>
    <t>INT00900</t>
  </si>
  <si>
    <t>INT00901</t>
  </si>
  <si>
    <t>CAN0486</t>
  </si>
  <si>
    <t>INT00902</t>
  </si>
  <si>
    <t>INT00903</t>
  </si>
  <si>
    <t>INT00904</t>
  </si>
  <si>
    <t>INT00905</t>
  </si>
  <si>
    <t>CAN0122</t>
  </si>
  <si>
    <t>INT00906</t>
  </si>
  <si>
    <t>CAN0904</t>
  </si>
  <si>
    <t>INT00907</t>
  </si>
  <si>
    <t>INT00908</t>
  </si>
  <si>
    <t>INT00909</t>
  </si>
  <si>
    <t>CAN0966</t>
  </si>
  <si>
    <t>INT00910</t>
  </si>
  <si>
    <t>CAN1066</t>
  </si>
  <si>
    <t>INT00911</t>
  </si>
  <si>
    <t>INT00912</t>
  </si>
  <si>
    <t>INT00913</t>
  </si>
  <si>
    <t>CAN0910</t>
  </si>
  <si>
    <t>INT00914</t>
  </si>
  <si>
    <t>INT00915</t>
  </si>
  <si>
    <t>INT00916</t>
  </si>
  <si>
    <t>CAN1049</t>
  </si>
  <si>
    <t>INT00917</t>
  </si>
  <si>
    <t>INT00918</t>
  </si>
  <si>
    <t>CAN0075</t>
  </si>
  <si>
    <t>INT00919</t>
  </si>
  <si>
    <t>CAN0095</t>
  </si>
  <si>
    <t>INT00920</t>
  </si>
  <si>
    <t>CAN0302</t>
  </si>
  <si>
    <t>INT00921</t>
  </si>
  <si>
    <t>INT00922</t>
  </si>
  <si>
    <t>INT00923</t>
  </si>
  <si>
    <t>INT00924</t>
  </si>
  <si>
    <t>CAN0592</t>
  </si>
  <si>
    <t>INT00925</t>
  </si>
  <si>
    <t>CAN0639</t>
  </si>
  <si>
    <t>INT00926</t>
  </si>
  <si>
    <t>INT00927</t>
  </si>
  <si>
    <t>INT00928</t>
  </si>
  <si>
    <t>INT00929</t>
  </si>
  <si>
    <t>INT00930</t>
  </si>
  <si>
    <t>INT00931</t>
  </si>
  <si>
    <t>CAN0771</t>
  </si>
  <si>
    <t>INT00932</t>
  </si>
  <si>
    <t>INT00933</t>
  </si>
  <si>
    <t>CAN0682</t>
  </si>
  <si>
    <t>INT00934</t>
  </si>
  <si>
    <t>INT00935</t>
  </si>
  <si>
    <t>CAN0793</t>
  </si>
  <si>
    <t>INT00936</t>
  </si>
  <si>
    <t>INT00937</t>
  </si>
  <si>
    <t>INT00938</t>
  </si>
  <si>
    <t>INT00939</t>
  </si>
  <si>
    <t>INT00940</t>
  </si>
  <si>
    <t>INT00941</t>
  </si>
  <si>
    <t>INT00942</t>
  </si>
  <si>
    <t>CAN1051</t>
  </si>
  <si>
    <t>INT00943</t>
  </si>
  <si>
    <t>INT00944</t>
  </si>
  <si>
    <t>CAN0325</t>
  </si>
  <si>
    <t>INT00945</t>
  </si>
  <si>
    <t>INT00946</t>
  </si>
  <si>
    <t>INT00947</t>
  </si>
  <si>
    <t>CAN0091</t>
  </si>
  <si>
    <t>INT00948</t>
  </si>
  <si>
    <t>INT00949</t>
  </si>
  <si>
    <t>INT00950</t>
  </si>
  <si>
    <t>INT00951</t>
  </si>
  <si>
    <t>INT00952</t>
  </si>
  <si>
    <t>INT00953</t>
  </si>
  <si>
    <t>CAN0211</t>
  </si>
  <si>
    <t>INT00954</t>
  </si>
  <si>
    <t>INT00955</t>
  </si>
  <si>
    <t>CAN0092</t>
  </si>
  <si>
    <t>INT00956</t>
  </si>
  <si>
    <t>CAN0260</t>
  </si>
  <si>
    <t>INT00957</t>
  </si>
  <si>
    <t>INT00958</t>
  </si>
  <si>
    <t>INT00959</t>
  </si>
  <si>
    <t>CAN0094</t>
  </si>
  <si>
    <t>INT00960</t>
  </si>
  <si>
    <t>INT00961</t>
  </si>
  <si>
    <t>CAN0507</t>
  </si>
  <si>
    <t>INT00962</t>
  </si>
  <si>
    <t>INT00963</t>
  </si>
  <si>
    <t>CAN0422</t>
  </si>
  <si>
    <t>INT00964</t>
  </si>
  <si>
    <t>INT00965</t>
  </si>
  <si>
    <t>INT00966</t>
  </si>
  <si>
    <t>INT00967</t>
  </si>
  <si>
    <t>INT00968</t>
  </si>
  <si>
    <t>INT00969</t>
  </si>
  <si>
    <t>CAN0539</t>
  </si>
  <si>
    <t>INT00970</t>
  </si>
  <si>
    <t>CAN0610</t>
  </si>
  <si>
    <t>INT00971</t>
  </si>
  <si>
    <t>CAN0307</t>
  </si>
  <si>
    <t>INT00972</t>
  </si>
  <si>
    <t>INT00973</t>
  </si>
  <si>
    <t>INT00974</t>
  </si>
  <si>
    <t>CAN0822</t>
  </si>
  <si>
    <t>INT00975</t>
  </si>
  <si>
    <t>INT00976</t>
  </si>
  <si>
    <t>INT00977</t>
  </si>
  <si>
    <t>INT00978</t>
  </si>
  <si>
    <t>INT00979</t>
  </si>
  <si>
    <t>CAN1003</t>
  </si>
  <si>
    <t>INT00980</t>
  </si>
  <si>
    <t>INT00981</t>
  </si>
  <si>
    <t>INT00982</t>
  </si>
  <si>
    <t>INT00983</t>
  </si>
  <si>
    <t>CAN0012</t>
  </si>
  <si>
    <t>INT00984</t>
  </si>
  <si>
    <t>INT00985</t>
  </si>
  <si>
    <t>INT00986</t>
  </si>
  <si>
    <t>CAN0017</t>
  </si>
  <si>
    <t>INT00987</t>
  </si>
  <si>
    <t>INT00988</t>
  </si>
  <si>
    <t>INT00989</t>
  </si>
  <si>
    <t>INT00990</t>
  </si>
  <si>
    <t>INT00991</t>
  </si>
  <si>
    <t>INT00992</t>
  </si>
  <si>
    <t>INT00993</t>
  </si>
  <si>
    <t>INT00994</t>
  </si>
  <si>
    <t>INT00995</t>
  </si>
  <si>
    <t>CAN0718</t>
  </si>
  <si>
    <t>INT00996</t>
  </si>
  <si>
    <t>CAN0533</t>
  </si>
  <si>
    <t>INT00997</t>
  </si>
  <si>
    <t>INT00998</t>
  </si>
  <si>
    <t>INT00999</t>
  </si>
  <si>
    <t>INT01000</t>
  </si>
  <si>
    <t>CAN1034</t>
  </si>
  <si>
    <t>INT01001</t>
  </si>
  <si>
    <t>INT01002</t>
  </si>
  <si>
    <t>CAN0145</t>
  </si>
  <si>
    <t>INT01003</t>
  </si>
  <si>
    <t>INT01004</t>
  </si>
  <si>
    <t>INT01005</t>
  </si>
  <si>
    <t>CAN0586</t>
  </si>
  <si>
    <t>INT01006</t>
  </si>
  <si>
    <t>CAN0366</t>
  </si>
  <si>
    <t>INT01007</t>
  </si>
  <si>
    <t>INT01008</t>
  </si>
  <si>
    <t>INT01009</t>
  </si>
  <si>
    <t>INT01010</t>
  </si>
  <si>
    <t>CAN0721</t>
  </si>
  <si>
    <t>INT01011</t>
  </si>
  <si>
    <t>INT01012</t>
  </si>
  <si>
    <t>INT01013</t>
  </si>
  <si>
    <t>INT01014</t>
  </si>
  <si>
    <t>CAN0631</t>
  </si>
  <si>
    <t>INT01015</t>
  </si>
  <si>
    <t>CAN0580</t>
  </si>
  <si>
    <t>INT01016</t>
  </si>
  <si>
    <t>INT01017</t>
  </si>
  <si>
    <t>INT01018</t>
  </si>
  <si>
    <t>INT01019</t>
  </si>
  <si>
    <t>INT01020</t>
  </si>
  <si>
    <t>INT01021</t>
  </si>
  <si>
    <t>INT01022</t>
  </si>
  <si>
    <t>INT01023</t>
  </si>
  <si>
    <t>CAN1039</t>
  </si>
  <si>
    <t>INT01024</t>
  </si>
  <si>
    <t>INT01025</t>
  </si>
  <si>
    <t>INT01026</t>
  </si>
  <si>
    <t>INT01027</t>
  </si>
  <si>
    <t>CAN0839</t>
  </si>
  <si>
    <t>INT01028</t>
  </si>
  <si>
    <t>CAN0372</t>
  </si>
  <si>
    <t>INT01029</t>
  </si>
  <si>
    <t>INT01030</t>
  </si>
  <si>
    <t>CAN0053</t>
  </si>
  <si>
    <t>INT01031</t>
  </si>
  <si>
    <t>INT01032</t>
  </si>
  <si>
    <t>CAN0554</t>
  </si>
  <si>
    <t>INT01033</t>
  </si>
  <si>
    <t>INT01034</t>
  </si>
  <si>
    <t>INT01035</t>
  </si>
  <si>
    <t>INT01036</t>
  </si>
  <si>
    <t>CAN1119</t>
  </si>
  <si>
    <t>INT01037</t>
  </si>
  <si>
    <t>INT01038</t>
  </si>
  <si>
    <t>INT01039</t>
  </si>
  <si>
    <t>CAN0583</t>
  </si>
  <si>
    <t>INT01040</t>
  </si>
  <si>
    <t>INT01041</t>
  </si>
  <si>
    <t>CAN0425</t>
  </si>
  <si>
    <t>INT01042</t>
  </si>
  <si>
    <t>INT01043</t>
  </si>
  <si>
    <t>CAN1065</t>
  </si>
  <si>
    <t>INT01044</t>
  </si>
  <si>
    <t>INT01045</t>
  </si>
  <si>
    <t>INT01046</t>
  </si>
  <si>
    <t>CAN0491</t>
  </si>
  <si>
    <t>INT01047</t>
  </si>
  <si>
    <t>INT01048</t>
  </si>
  <si>
    <t>CAN0119</t>
  </si>
  <si>
    <t>INT01049</t>
  </si>
  <si>
    <t>INT01050</t>
  </si>
  <si>
    <t>CAN0599</t>
  </si>
  <si>
    <t>INT01051</t>
  </si>
  <si>
    <t>INT01052</t>
  </si>
  <si>
    <t>INT01053</t>
  </si>
  <si>
    <t>INT01054</t>
  </si>
  <si>
    <t>INT01055</t>
  </si>
  <si>
    <t>INT01056</t>
  </si>
  <si>
    <t>CAN0934</t>
  </si>
  <si>
    <t>INT01057</t>
  </si>
  <si>
    <t>INT01058</t>
  </si>
  <si>
    <t>INT01059</t>
  </si>
  <si>
    <t>CAN1183</t>
  </si>
  <si>
    <t>INT01060</t>
  </si>
  <si>
    <t>CAN0183</t>
  </si>
  <si>
    <t>INT01061</t>
  </si>
  <si>
    <t>INT01062</t>
  </si>
  <si>
    <t>INT01063</t>
  </si>
  <si>
    <t>INT01064</t>
  </si>
  <si>
    <t>CAN0649</t>
  </si>
  <si>
    <t>INT01065</t>
  </si>
  <si>
    <t>INT01066</t>
  </si>
  <si>
    <t>INT01067</t>
  </si>
  <si>
    <t>CAN1139</t>
  </si>
  <si>
    <t>INT01068</t>
  </si>
  <si>
    <t>INT01069</t>
  </si>
  <si>
    <t>INT01070</t>
  </si>
  <si>
    <t>INT01071</t>
  </si>
  <si>
    <t>CAN0265</t>
  </si>
  <si>
    <t>INT01072</t>
  </si>
  <si>
    <t>INT01073</t>
  </si>
  <si>
    <t>CAN0369</t>
  </si>
  <si>
    <t>INT01074</t>
  </si>
  <si>
    <t>INT01075</t>
  </si>
  <si>
    <t>CAN0322</t>
  </si>
  <si>
    <t>INT01076</t>
  </si>
  <si>
    <t>INT01077</t>
  </si>
  <si>
    <t>INT01078</t>
  </si>
  <si>
    <t>INT01079</t>
  </si>
  <si>
    <t>INT01080</t>
  </si>
  <si>
    <t>INT01081</t>
  </si>
  <si>
    <t>CAN1151</t>
  </si>
  <si>
    <t>INT01082</t>
  </si>
  <si>
    <t>INT01083</t>
  </si>
  <si>
    <t>INT01084</t>
  </si>
  <si>
    <t>INT01085</t>
  </si>
  <si>
    <t>INT01086</t>
  </si>
  <si>
    <t>CAN0187</t>
  </si>
  <si>
    <t>INT01087</t>
  </si>
  <si>
    <t>INT01088</t>
  </si>
  <si>
    <t>CAN1059</t>
  </si>
  <si>
    <t>INT01089</t>
  </si>
  <si>
    <t>CAN0731</t>
  </si>
  <si>
    <t>INT01090</t>
  </si>
  <si>
    <t>INT01091</t>
  </si>
  <si>
    <t>INT01092</t>
  </si>
  <si>
    <t>CAN0879</t>
  </si>
  <si>
    <t>INT01093</t>
  </si>
  <si>
    <t>INT01094</t>
  </si>
  <si>
    <t>INT01095</t>
  </si>
  <si>
    <t>INT01096</t>
  </si>
  <si>
    <t>CAN0209</t>
  </si>
  <si>
    <t>INT01097</t>
  </si>
  <si>
    <t>CAN0810</t>
  </si>
  <si>
    <t>INT01098</t>
  </si>
  <si>
    <t>CAN0604</t>
  </si>
  <si>
    <t>INT01099</t>
  </si>
  <si>
    <t>INT01100</t>
  </si>
  <si>
    <t>INT01101</t>
  </si>
  <si>
    <t>CAN0621</t>
  </si>
  <si>
    <t>INT01102</t>
  </si>
  <si>
    <t>CAN0496</t>
  </si>
  <si>
    <t>INT01103</t>
  </si>
  <si>
    <t>INT01104</t>
  </si>
  <si>
    <t>CAN1191</t>
  </si>
  <si>
    <t>INT01105</t>
  </si>
  <si>
    <t>CAN0261</t>
  </si>
  <si>
    <t>INT01106</t>
  </si>
  <si>
    <t>INT01107</t>
  </si>
  <si>
    <t>CAN0230</t>
  </si>
  <si>
    <t>INT01108</t>
  </si>
  <si>
    <t>INT01109</t>
  </si>
  <si>
    <t>INT01110</t>
  </si>
  <si>
    <t>CAN0577</t>
  </si>
  <si>
    <t>INT01111</t>
  </si>
  <si>
    <t>INT01112</t>
  </si>
  <si>
    <t>INT01113</t>
  </si>
  <si>
    <t>CAN1144</t>
  </si>
  <si>
    <t>INT01114</t>
  </si>
  <si>
    <t>INT01115</t>
  </si>
  <si>
    <t>CAN1058</t>
  </si>
  <si>
    <t>INT01116</t>
  </si>
  <si>
    <t>INT01117</t>
  </si>
  <si>
    <t>INT01118</t>
  </si>
  <si>
    <t>INT01119</t>
  </si>
  <si>
    <t>INT01120</t>
  </si>
  <si>
    <t>INT01121</t>
  </si>
  <si>
    <t>INT01122</t>
  </si>
  <si>
    <t>CAN0901</t>
  </si>
  <si>
    <t>INT01123</t>
  </si>
  <si>
    <t>INT01124</t>
  </si>
  <si>
    <t>INT01125</t>
  </si>
  <si>
    <t>INT01126</t>
  </si>
  <si>
    <t>INT01127</t>
  </si>
  <si>
    <t>INT01128</t>
  </si>
  <si>
    <t>CAN0284</t>
  </si>
  <si>
    <t>INT01129</t>
  </si>
  <si>
    <t>INT01130</t>
  </si>
  <si>
    <t>CAN0035</t>
  </si>
  <si>
    <t>INT01131</t>
  </si>
  <si>
    <t>INT01132</t>
  </si>
  <si>
    <t>CAN0701</t>
  </si>
  <si>
    <t>INT01133</t>
  </si>
  <si>
    <t>INT01134</t>
  </si>
  <si>
    <t>INT01135</t>
  </si>
  <si>
    <t>INT01136</t>
  </si>
  <si>
    <t>CAN0951</t>
  </si>
  <si>
    <t>INT01137</t>
  </si>
  <si>
    <t>CAN0847</t>
  </si>
  <si>
    <t>INT01138</t>
  </si>
  <si>
    <t>INT01139</t>
  </si>
  <si>
    <t>INT01140</t>
  </si>
  <si>
    <t>INT01141</t>
  </si>
  <si>
    <t>CAN0809</t>
  </si>
  <si>
    <t>INT01142</t>
  </si>
  <si>
    <t>CAN0680</t>
  </si>
  <si>
    <t>INT01143</t>
  </si>
  <si>
    <t>INT01144</t>
  </si>
  <si>
    <t>INT01145</t>
  </si>
  <si>
    <t>INT01146</t>
  </si>
  <si>
    <t>INT01147</t>
  </si>
  <si>
    <t>CAN0015</t>
  </si>
  <si>
    <t>INT01148</t>
  </si>
  <si>
    <t>INT01149</t>
  </si>
  <si>
    <t>INT01150</t>
  </si>
  <si>
    <t>INT01151</t>
  </si>
  <si>
    <t>CAN0458</t>
  </si>
  <si>
    <t>INT01152</t>
  </si>
  <si>
    <t>INT01153</t>
  </si>
  <si>
    <t>INT01154</t>
  </si>
  <si>
    <t>CAN0373</t>
  </si>
  <si>
    <t>INT01155</t>
  </si>
  <si>
    <t>INT01156</t>
  </si>
  <si>
    <t>CAN0546</t>
  </si>
  <si>
    <t>INT01157</t>
  </si>
  <si>
    <t>INT01158</t>
  </si>
  <si>
    <t>CAN0152</t>
  </si>
  <si>
    <t>INT01159</t>
  </si>
  <si>
    <t>INT01160</t>
  </si>
  <si>
    <t>CAN0198</t>
  </si>
  <si>
    <t>INT01161</t>
  </si>
  <si>
    <t>INT01162</t>
  </si>
  <si>
    <t>INT01163</t>
  </si>
  <si>
    <t>CAN0400</t>
  </si>
  <si>
    <t>INT01164</t>
  </si>
  <si>
    <t>INT01165</t>
  </si>
  <si>
    <t>INT01166</t>
  </si>
  <si>
    <t>INT01167</t>
  </si>
  <si>
    <t>INT01168</t>
  </si>
  <si>
    <t>INT01169</t>
  </si>
  <si>
    <t>INT01170</t>
  </si>
  <si>
    <t>INT01171</t>
  </si>
  <si>
    <t>INT01172</t>
  </si>
  <si>
    <t>CAN0432</t>
  </si>
  <si>
    <t>INT01173</t>
  </si>
  <si>
    <t>CAN0567</t>
  </si>
  <si>
    <t>INT01174</t>
  </si>
  <si>
    <t>INT01175</t>
  </si>
  <si>
    <t>INT01176</t>
  </si>
  <si>
    <t>INT01177</t>
  </si>
  <si>
    <t>CAN0737</t>
  </si>
  <si>
    <t>INT01178</t>
  </si>
  <si>
    <t>INT01179</t>
  </si>
  <si>
    <t>INT01180</t>
  </si>
  <si>
    <t>CAN0948</t>
  </si>
  <si>
    <t>INT01181</t>
  </si>
  <si>
    <t>INT01182</t>
  </si>
  <si>
    <t>CAN0036</t>
  </si>
  <si>
    <t>INT01183</t>
  </si>
  <si>
    <t>CAN0899</t>
  </si>
  <si>
    <t>INT01184</t>
  </si>
  <si>
    <t>CAN0629</t>
  </si>
  <si>
    <t>INT01185</t>
  </si>
  <si>
    <t>INT01186</t>
  </si>
  <si>
    <t>CAN0460</t>
  </si>
  <si>
    <t>INT01187</t>
  </si>
  <si>
    <t>INT01188</t>
  </si>
  <si>
    <t>CAN0657</t>
  </si>
  <si>
    <t>INT01189</t>
  </si>
  <si>
    <t>INT01190</t>
  </si>
  <si>
    <t>INT01191</t>
  </si>
  <si>
    <t>INT01192</t>
  </si>
  <si>
    <t>INT01193</t>
  </si>
  <si>
    <t>CAN0677</t>
  </si>
  <si>
    <t>INT01194</t>
  </si>
  <si>
    <t>INT01195</t>
  </si>
  <si>
    <t>INT01196</t>
  </si>
  <si>
    <t>INT01197</t>
  </si>
  <si>
    <t>CAN0429</t>
  </si>
  <si>
    <t>INT01198</t>
  </si>
  <si>
    <t>INT01199</t>
  </si>
  <si>
    <t>INT01200</t>
  </si>
  <si>
    <t>CAN0875</t>
  </si>
  <si>
    <t>INT01201</t>
  </si>
  <si>
    <t>CAN0159</t>
  </si>
  <si>
    <t>INT01202</t>
  </si>
  <si>
    <t>INT01203</t>
  </si>
  <si>
    <t>CAN0994</t>
  </si>
  <si>
    <t>INT01204</t>
  </si>
  <si>
    <t>INT01205</t>
  </si>
  <si>
    <t>INT01206</t>
  </si>
  <si>
    <t>INT01207</t>
  </si>
  <si>
    <t>CAN0732</t>
  </si>
  <si>
    <t>INT01208</t>
  </si>
  <si>
    <t>INT01209</t>
  </si>
  <si>
    <t>INT01210</t>
  </si>
  <si>
    <t>INT01211</t>
  </si>
  <si>
    <t>CAN0594</t>
  </si>
  <si>
    <t>INT01212</t>
  </si>
  <si>
    <t>INT01213</t>
  </si>
  <si>
    <t>INT01214</t>
  </si>
  <si>
    <t>INT01215</t>
  </si>
  <si>
    <t>CAN0717</t>
  </si>
  <si>
    <t>INT01216</t>
  </si>
  <si>
    <t>INT01217</t>
  </si>
  <si>
    <t>CAN0190</t>
  </si>
  <si>
    <t>INT01218</t>
  </si>
  <si>
    <t>INT01219</t>
  </si>
  <si>
    <t>INT01220</t>
  </si>
  <si>
    <t>INT01221</t>
  </si>
  <si>
    <t>CAN0324</t>
  </si>
  <si>
    <t>INT01222</t>
  </si>
  <si>
    <t>INT01223</t>
  </si>
  <si>
    <t>INT01224</t>
  </si>
  <si>
    <t>CAN0356</t>
  </si>
  <si>
    <t>INT01225</t>
  </si>
  <si>
    <t>INT01226</t>
  </si>
  <si>
    <t>INT01227</t>
  </si>
  <si>
    <t>CAN1160</t>
  </si>
  <si>
    <t>INT01228</t>
  </si>
  <si>
    <t>INT01229</t>
  </si>
  <si>
    <t>CAN1167</t>
  </si>
  <si>
    <t>INT01230</t>
  </si>
  <si>
    <t>INT01231</t>
  </si>
  <si>
    <t>CAN0961</t>
  </si>
  <si>
    <t>INT01232</t>
  </si>
  <si>
    <t>INT01233</t>
  </si>
  <si>
    <t>CAN0412</t>
  </si>
  <si>
    <t>INT01234</t>
  </si>
  <si>
    <t>INT01235</t>
  </si>
  <si>
    <t>INT01236</t>
  </si>
  <si>
    <t>INT01237</t>
  </si>
  <si>
    <t>CAN0553</t>
  </si>
  <si>
    <t>INT01238</t>
  </si>
  <si>
    <t>INT01239</t>
  </si>
  <si>
    <t>INT01240</t>
  </si>
  <si>
    <t>CAN0268</t>
  </si>
  <si>
    <t>INT01241</t>
  </si>
  <si>
    <t>CAN0252</t>
  </si>
  <si>
    <t>INT01242</t>
  </si>
  <si>
    <t>INT01243</t>
  </si>
  <si>
    <t>INT01244</t>
  </si>
  <si>
    <t>CAN0541</t>
  </si>
  <si>
    <t>INT01245</t>
  </si>
  <si>
    <t>INT01246</t>
  </si>
  <si>
    <t>INT01247</t>
  </si>
  <si>
    <t>INT01248</t>
  </si>
  <si>
    <t>CAN0645</t>
  </si>
  <si>
    <t>INT01249</t>
  </si>
  <si>
    <t>INT01250</t>
  </si>
  <si>
    <t>CAN0617</t>
  </si>
  <si>
    <t>INT01251</t>
  </si>
  <si>
    <t>INT01252</t>
  </si>
  <si>
    <t>INT01253</t>
  </si>
  <si>
    <t>INT01254</t>
  </si>
  <si>
    <t>INT01255</t>
  </si>
  <si>
    <t>INT01256</t>
  </si>
  <si>
    <t>INT01257</t>
  </si>
  <si>
    <t>CAN0163</t>
  </si>
  <si>
    <t>INT01258</t>
  </si>
  <si>
    <t>CAN0301</t>
  </si>
  <si>
    <t>INT01259</t>
  </si>
  <si>
    <t>INT01260</t>
  </si>
  <si>
    <t>CAN0381</t>
  </si>
  <si>
    <t>INT01261</t>
  </si>
  <si>
    <t>INT01262</t>
  </si>
  <si>
    <t>INT01263</t>
  </si>
  <si>
    <t>CAN0964</t>
  </si>
  <si>
    <t>INT01264</t>
  </si>
  <si>
    <t>CAN0253</t>
  </si>
  <si>
    <t>INT01265</t>
  </si>
  <si>
    <t>INT01266</t>
  </si>
  <si>
    <t>INT01267</t>
  </si>
  <si>
    <t>CAN0686</t>
  </si>
  <si>
    <t>INT01268</t>
  </si>
  <si>
    <t>INT01269</t>
  </si>
  <si>
    <t>INT01270</t>
  </si>
  <si>
    <t>INT01271</t>
  </si>
  <si>
    <t>CAN0842</t>
  </si>
  <si>
    <t>INT01272</t>
  </si>
  <si>
    <t>CAN0930</t>
  </si>
  <si>
    <t>INT01273</t>
  </si>
  <si>
    <t>INT01274</t>
  </si>
  <si>
    <t>INT01275</t>
  </si>
  <si>
    <t>INT01276</t>
  </si>
  <si>
    <t>CAN0521</t>
  </si>
  <si>
    <t>INT01277</t>
  </si>
  <si>
    <t>INT01278</t>
  </si>
  <si>
    <t>CAN0281</t>
  </si>
  <si>
    <t>INT01279</t>
  </si>
  <si>
    <t>INT01280</t>
  </si>
  <si>
    <t>INT01281</t>
  </si>
  <si>
    <t>CAN0992</t>
  </si>
  <si>
    <t>INT01282</t>
  </si>
  <si>
    <t>INT01283</t>
  </si>
  <si>
    <t>INT01284</t>
  </si>
  <si>
    <t>INT01285</t>
  </si>
  <si>
    <t>CAN0935</t>
  </si>
  <si>
    <t>INT01286</t>
  </si>
  <si>
    <t>INT01287</t>
  </si>
  <si>
    <t>CAN1158</t>
  </si>
  <si>
    <t>INT01288</t>
  </si>
  <si>
    <t>INT01289</t>
  </si>
  <si>
    <t>INT01290</t>
  </si>
  <si>
    <t>CAN0214</t>
  </si>
  <si>
    <t>INT01291</t>
  </si>
  <si>
    <t>INT01292</t>
  </si>
  <si>
    <t>CAN1171</t>
  </si>
  <si>
    <t>INT01293</t>
  </si>
  <si>
    <t>INT01294</t>
  </si>
  <si>
    <t>CAN1017</t>
  </si>
  <si>
    <t>INT01295</t>
  </si>
  <si>
    <t>INT01296</t>
  </si>
  <si>
    <t>INT01297</t>
  </si>
  <si>
    <t>INT01298</t>
  </si>
  <si>
    <t>INT01299</t>
  </si>
  <si>
    <t>INT01300</t>
  </si>
  <si>
    <t>INT01301</t>
  </si>
  <si>
    <t>INT01302</t>
  </si>
  <si>
    <t>CAN1005</t>
  </si>
  <si>
    <t>INT01303</t>
  </si>
  <si>
    <t>INT01304</t>
  </si>
  <si>
    <t>INT01305</t>
  </si>
  <si>
    <t>INT01306</t>
  </si>
  <si>
    <t>INT01307</t>
  </si>
  <si>
    <t>INT01308</t>
  </si>
  <si>
    <t>CAN0178</t>
  </si>
  <si>
    <t>INT01309</t>
  </si>
  <si>
    <t>INT01310</t>
  </si>
  <si>
    <t>INT01311</t>
  </si>
  <si>
    <t>CAN1166</t>
  </si>
  <si>
    <t>INT01312</t>
  </si>
  <si>
    <t>INT01313</t>
  </si>
  <si>
    <t>CAN0996</t>
  </si>
  <si>
    <t>INT01314</t>
  </si>
  <si>
    <t>INT01315</t>
  </si>
  <si>
    <t>INT01316</t>
  </si>
  <si>
    <t>INT01317</t>
  </si>
  <si>
    <t>CAN0448</t>
  </si>
  <si>
    <t>INT01318</t>
  </si>
  <si>
    <t>INT01319</t>
  </si>
  <si>
    <t>INT01320</t>
  </si>
  <si>
    <t>INT01321</t>
  </si>
  <si>
    <t>INT01322</t>
  </si>
  <si>
    <t>INT01323</t>
  </si>
  <si>
    <t>CAN1036</t>
  </si>
  <si>
    <t>INT01324</t>
  </si>
  <si>
    <t>INT01325</t>
  </si>
  <si>
    <t>CAN0607</t>
  </si>
  <si>
    <t>INT01326</t>
  </si>
  <si>
    <t>INT01327</t>
  </si>
  <si>
    <t>CAN0046</t>
  </si>
  <si>
    <t>Adriana Jones</t>
  </si>
  <si>
    <t>INT01328</t>
  </si>
  <si>
    <t>INT01329</t>
  </si>
  <si>
    <t>CAN1181</t>
  </si>
  <si>
    <t>INT01330</t>
  </si>
  <si>
    <t>INT01331</t>
  </si>
  <si>
    <t>CAN0467</t>
  </si>
  <si>
    <t>INT01332</t>
  </si>
  <si>
    <t>INT01333</t>
  </si>
  <si>
    <t>CAN1185</t>
  </si>
  <si>
    <t>INT01334</t>
  </si>
  <si>
    <t>INT01335</t>
  </si>
  <si>
    <t>INT01336</t>
  </si>
  <si>
    <t>INT01337</t>
  </si>
  <si>
    <t>CAN1124</t>
  </si>
  <si>
    <t>INT01338</t>
  </si>
  <si>
    <t>INT01339</t>
  </si>
  <si>
    <t>INT01340</t>
  </si>
  <si>
    <t>INT01341</t>
  </si>
  <si>
    <t>INT01342</t>
  </si>
  <si>
    <t>INT01343</t>
  </si>
  <si>
    <t>INT01344</t>
  </si>
  <si>
    <t>INT01345</t>
  </si>
  <si>
    <t>CAN0063</t>
  </si>
  <si>
    <t>INT01346</t>
  </si>
  <si>
    <t>INT01347</t>
  </si>
  <si>
    <t>INT01348</t>
  </si>
  <si>
    <t>CAN0965</t>
  </si>
  <si>
    <t>INT01349</t>
  </si>
  <si>
    <t>INT01350</t>
  </si>
  <si>
    <t>INT01351</t>
  </si>
  <si>
    <t>INT01352</t>
  </si>
  <si>
    <t>INT01353</t>
  </si>
  <si>
    <t>INT01354</t>
  </si>
  <si>
    <t>INT01355</t>
  </si>
  <si>
    <t>INT01356</t>
  </si>
  <si>
    <t>CAN0949</t>
  </si>
  <si>
    <t>INT01357</t>
  </si>
  <si>
    <t>INT01358</t>
  </si>
  <si>
    <t>INT01359</t>
  </si>
  <si>
    <t>CAN0395</t>
  </si>
  <si>
    <t>INT01360</t>
  </si>
  <si>
    <t>INT01361</t>
  </si>
  <si>
    <t>INT01362</t>
  </si>
  <si>
    <t>CAN1182</t>
  </si>
  <si>
    <t>INT01363</t>
  </si>
  <si>
    <t>INT01364</t>
  </si>
  <si>
    <t>CAN0795</t>
  </si>
  <si>
    <t>INT01365</t>
  </si>
  <si>
    <t>CAN0561</t>
  </si>
  <si>
    <t>INT01366</t>
  </si>
  <si>
    <t>CAN0845</t>
  </si>
  <si>
    <t>INT01367</t>
  </si>
  <si>
    <t>INT01368</t>
  </si>
  <si>
    <t>INT01369</t>
  </si>
  <si>
    <t>INT01370</t>
  </si>
  <si>
    <t>CAN1152</t>
  </si>
  <si>
    <t>INT01371</t>
  </si>
  <si>
    <t>INT01372</t>
  </si>
  <si>
    <t>INT01373</t>
  </si>
  <si>
    <t>CAN0084</t>
  </si>
  <si>
    <t>INT01374</t>
  </si>
  <si>
    <t>INT01375</t>
  </si>
  <si>
    <t>INT01376</t>
  </si>
  <si>
    <t>INT01377</t>
  </si>
  <si>
    <t>CAN0597</t>
  </si>
  <si>
    <t>INT01378</t>
  </si>
  <si>
    <t>INT01379</t>
  </si>
  <si>
    <t>INT01380</t>
  </si>
  <si>
    <t>CAN0709</t>
  </si>
  <si>
    <t>INT01381</t>
  </si>
  <si>
    <t>INT01382</t>
  </si>
  <si>
    <t>INT01383</t>
  </si>
  <si>
    <t>INT01384</t>
  </si>
  <si>
    <t>CAN0138</t>
  </si>
  <si>
    <t>INT01385</t>
  </si>
  <si>
    <t>INT01386</t>
  </si>
  <si>
    <t>INT01387</t>
  </si>
  <si>
    <t>CAN0070</t>
  </si>
  <si>
    <t>INT01388</t>
  </si>
  <si>
    <t>INT01389</t>
  </si>
  <si>
    <t>CAN0784</t>
  </si>
  <si>
    <t>INT01390</t>
  </si>
  <si>
    <t>INT01391</t>
  </si>
  <si>
    <t>CAN1142</t>
  </si>
  <si>
    <t>INT01392</t>
  </si>
  <si>
    <t>INT01393</t>
  </si>
  <si>
    <t>INT01394</t>
  </si>
  <si>
    <t>INT01395</t>
  </si>
  <si>
    <t>CAN0914</t>
  </si>
  <si>
    <t>INT01396</t>
  </si>
  <si>
    <t>INT01397</t>
  </si>
  <si>
    <t>INT01398</t>
  </si>
  <si>
    <t>INT01399</t>
  </si>
  <si>
    <t>INT01400</t>
  </si>
  <si>
    <t>CAN0247</t>
  </si>
  <si>
    <t>INT01401</t>
  </si>
  <si>
    <t>CAN0895</t>
  </si>
  <si>
    <t>INT01402</t>
  </si>
  <si>
    <t>INT01403</t>
  </si>
  <si>
    <t>INT01404</t>
  </si>
  <si>
    <t>CAN0605</t>
  </si>
  <si>
    <t>INT01405</t>
  </si>
  <si>
    <t>CAN0127</t>
  </si>
  <si>
    <t>INT01406</t>
  </si>
  <si>
    <t>INT01407</t>
  </si>
  <si>
    <t>INT01408</t>
  </si>
  <si>
    <t>INT01409</t>
  </si>
  <si>
    <t>CAN0272</t>
  </si>
  <si>
    <t>INT01410</t>
  </si>
  <si>
    <t>CAN0149</t>
  </si>
  <si>
    <t>INT01411</t>
  </si>
  <si>
    <t>CAN0227</t>
  </si>
  <si>
    <t>INT01412</t>
  </si>
  <si>
    <t>CAN0341</t>
  </si>
  <si>
    <t>INT01413</t>
  </si>
  <si>
    <t>CAN1027</t>
  </si>
  <si>
    <t>INT01414</t>
  </si>
  <si>
    <t>INT01415</t>
  </si>
  <si>
    <t>INT01416</t>
  </si>
  <si>
    <t>INT01417</t>
  </si>
  <si>
    <t>CAN0156</t>
  </si>
  <si>
    <t>INT01418</t>
  </si>
  <si>
    <t>INT01419</t>
  </si>
  <si>
    <t>INT01420</t>
  </si>
  <si>
    <t>INT01421</t>
  </si>
  <si>
    <t>CAN0769</t>
  </si>
  <si>
    <t>INT01422</t>
  </si>
  <si>
    <t>INT01423</t>
  </si>
  <si>
    <t>CAN0918</t>
  </si>
  <si>
    <t>INT01424</t>
  </si>
  <si>
    <t>INT01425</t>
  </si>
  <si>
    <t>CAN0419</t>
  </si>
  <si>
    <t>INT01426</t>
  </si>
  <si>
    <t>INT01427</t>
  </si>
  <si>
    <t>CAN0234</t>
  </si>
  <si>
    <t>INT01428</t>
  </si>
  <si>
    <t>INT01429</t>
  </si>
  <si>
    <t>INT01430</t>
  </si>
  <si>
    <t>INT01431</t>
  </si>
  <si>
    <t>INT01432</t>
  </si>
  <si>
    <t>CAN0978</t>
  </si>
  <si>
    <t>INT01433</t>
  </si>
  <si>
    <t>INT01434</t>
  </si>
  <si>
    <t>CAN0388</t>
  </si>
  <si>
    <t>INT01435</t>
  </si>
  <si>
    <t>INT01436</t>
  </si>
  <si>
    <t>INT01437</t>
  </si>
  <si>
    <t>INT01438</t>
  </si>
  <si>
    <t>CAN0557</t>
  </si>
  <si>
    <t>INT01439</t>
  </si>
  <si>
    <t>CAN0189</t>
  </si>
  <si>
    <t>INT01440</t>
  </si>
  <si>
    <t>INT01441</t>
  </si>
  <si>
    <t>CAN0340</t>
  </si>
  <si>
    <t>INT01442</t>
  </si>
  <si>
    <t>INT01443</t>
  </si>
  <si>
    <t>INT01444</t>
  </si>
  <si>
    <t>CAN1002</t>
  </si>
  <si>
    <t>INT01445</t>
  </si>
  <si>
    <t>INT01446</t>
  </si>
  <si>
    <t>INT01447</t>
  </si>
  <si>
    <t>INT01448</t>
  </si>
  <si>
    <t>INT01449</t>
  </si>
  <si>
    <t>CAN0692</t>
  </si>
  <si>
    <t>INT01450</t>
  </si>
  <si>
    <t>INT01451</t>
  </si>
  <si>
    <t>CAN1097</t>
  </si>
  <si>
    <t>INT01452</t>
  </si>
  <si>
    <t>INT01453</t>
  </si>
  <si>
    <t>INT01454</t>
  </si>
  <si>
    <t>CAN1079</t>
  </si>
  <si>
    <t>INT01455</t>
  </si>
  <si>
    <t>INT01456</t>
  </si>
  <si>
    <t>CAN0616</t>
  </si>
  <si>
    <t>INT01457</t>
  </si>
  <si>
    <t>CAN0171</t>
  </si>
  <si>
    <t>INT01458</t>
  </si>
  <si>
    <t>INT01459</t>
  </si>
  <si>
    <t>CAN0186</t>
  </si>
  <si>
    <t>INT01460</t>
  </si>
  <si>
    <t>CAN0018</t>
  </si>
  <si>
    <t>INT01461</t>
  </si>
  <si>
    <t>CAN0153</t>
  </si>
  <si>
    <t>INT01462</t>
  </si>
  <si>
    <t>INT01463</t>
  </si>
  <si>
    <t>INT01464</t>
  </si>
  <si>
    <t>INT01465</t>
  </si>
  <si>
    <t>CAN0339</t>
  </si>
  <si>
    <t>INT01466</t>
  </si>
  <si>
    <t>INT01467</t>
  </si>
  <si>
    <t>INT01468</t>
  </si>
  <si>
    <t>CAN1033</t>
  </si>
  <si>
    <t>INT01469</t>
  </si>
  <si>
    <t>INT01470</t>
  </si>
  <si>
    <t>INT01471</t>
  </si>
  <si>
    <t>CAN0548</t>
  </si>
  <si>
    <t>INT01472</t>
  </si>
  <si>
    <t>INT01473</t>
  </si>
  <si>
    <t>INT01474</t>
  </si>
  <si>
    <t>CAN0473</t>
  </si>
  <si>
    <t>INT01475</t>
  </si>
  <si>
    <t>INT01476</t>
  </si>
  <si>
    <t>INT01477</t>
  </si>
  <si>
    <t>INT01478</t>
  </si>
  <si>
    <t>CAN0902</t>
  </si>
  <si>
    <t>INT01479</t>
  </si>
  <si>
    <t>CAN0135</t>
  </si>
  <si>
    <t>INT01480</t>
  </si>
  <si>
    <t>CAN0474</t>
  </si>
  <si>
    <t>INT01481</t>
  </si>
  <si>
    <t>INT01482</t>
  </si>
  <si>
    <t>INT01483</t>
  </si>
  <si>
    <t>INT01484</t>
  </si>
  <si>
    <t>CAN0423</t>
  </si>
  <si>
    <t>INT01485</t>
  </si>
  <si>
    <t>INT01486</t>
  </si>
  <si>
    <t>CAN0909</t>
  </si>
  <si>
    <t>INT01487</t>
  </si>
  <si>
    <t>INT01488</t>
  </si>
  <si>
    <t>CAN0922</t>
  </si>
  <si>
    <t>INT01489</t>
  </si>
  <si>
    <t>INT01490</t>
  </si>
  <si>
    <t>INT01491</t>
  </si>
  <si>
    <t>CAN0882</t>
  </si>
  <si>
    <t>INT01492</t>
  </si>
  <si>
    <t>INT01493</t>
  </si>
  <si>
    <t>INT01494</t>
  </si>
  <si>
    <t>INT01495</t>
  </si>
  <si>
    <t>CAN0757</t>
  </si>
  <si>
    <t>INT01496</t>
  </si>
  <si>
    <t>INT01497</t>
  </si>
  <si>
    <t>CAN0479</t>
  </si>
  <si>
    <t>INT01498</t>
  </si>
  <si>
    <t>CAN0086</t>
  </si>
  <si>
    <t>INT01499</t>
  </si>
  <si>
    <t>INT01500</t>
  </si>
  <si>
    <t>INT01501</t>
  </si>
  <si>
    <t>INT01502</t>
  </si>
  <si>
    <t>INT01503</t>
  </si>
  <si>
    <t>INT01504</t>
  </si>
  <si>
    <t>INT01505</t>
  </si>
  <si>
    <t>CAN0483</t>
  </si>
  <si>
    <t>INT01506</t>
  </si>
  <si>
    <t>CAN0508</t>
  </si>
  <si>
    <t>INT01507</t>
  </si>
  <si>
    <t>CAN0335</t>
  </si>
  <si>
    <t>INT01508</t>
  </si>
  <si>
    <t>CAN0361</t>
  </si>
  <si>
    <t>INT01509</t>
  </si>
  <si>
    <t>INT01510</t>
  </si>
  <si>
    <t>CAN0078</t>
  </si>
  <si>
    <t>INT01511</t>
  </si>
  <si>
    <t>INT01512</t>
  </si>
  <si>
    <t>INT01513</t>
  </si>
  <si>
    <t>INT01514</t>
  </si>
  <si>
    <t>CAN0997</t>
  </si>
  <si>
    <t>INT01515</t>
  </si>
  <si>
    <t>INT01516</t>
  </si>
  <si>
    <t>INT01517</t>
  </si>
  <si>
    <t>CAN0085</t>
  </si>
  <si>
    <t>INT01518</t>
  </si>
  <si>
    <t>INT01519</t>
  </si>
  <si>
    <t>CAN0110</t>
  </si>
  <si>
    <t>INT01520</t>
  </si>
  <si>
    <t>INT01521</t>
  </si>
  <si>
    <t>INT01522</t>
  </si>
  <si>
    <t>INT01523</t>
  </si>
  <si>
    <t>CAN0436</t>
  </si>
  <si>
    <t>INT01524</t>
  </si>
  <si>
    <t>INT01525</t>
  </si>
  <si>
    <t>INT01526</t>
  </si>
  <si>
    <t>INT01527</t>
  </si>
  <si>
    <t>INT01528</t>
  </si>
  <si>
    <t>CAN0619</t>
  </si>
  <si>
    <t>INT01529</t>
  </si>
  <si>
    <t>INT01530</t>
  </si>
  <si>
    <t>INT01531</t>
  </si>
  <si>
    <t>CAN0740</t>
  </si>
  <si>
    <t>INT01532</t>
  </si>
  <si>
    <t>INT01533</t>
  </si>
  <si>
    <t>INT01534</t>
  </si>
  <si>
    <t>CAN0475</t>
  </si>
  <si>
    <t>INT01535</t>
  </si>
  <si>
    <t>INT01536</t>
  </si>
  <si>
    <t>INT01537</t>
  </si>
  <si>
    <t>INT01538</t>
  </si>
  <si>
    <t>CAN1192</t>
  </si>
  <si>
    <t>INT01539</t>
  </si>
  <si>
    <t>INT01540</t>
  </si>
  <si>
    <t>INT01541</t>
  </si>
  <si>
    <t>CAN0601</t>
  </si>
  <si>
    <t>INT01542</t>
  </si>
  <si>
    <t>INT01543</t>
  </si>
  <si>
    <t>INT01544</t>
  </si>
  <si>
    <t>INT01545</t>
  </si>
  <si>
    <t>INT01546</t>
  </si>
  <si>
    <t>INT01547</t>
  </si>
  <si>
    <t>CAN1041</t>
  </si>
  <si>
    <t>INT01548</t>
  </si>
  <si>
    <t>INT01549</t>
  </si>
  <si>
    <t>CAN0172</t>
  </si>
  <si>
    <t>INT01550</t>
  </si>
  <si>
    <t>INT01551</t>
  </si>
  <si>
    <t>CAN1004</t>
  </si>
  <si>
    <t>INT01552</t>
  </si>
  <si>
    <t>CAN0282</t>
  </si>
  <si>
    <t>INT01553</t>
  </si>
  <si>
    <t>INT01554</t>
  </si>
  <si>
    <t>INT01555</t>
  </si>
  <si>
    <t>CAN0288</t>
  </si>
  <si>
    <t>INT01556</t>
  </si>
  <si>
    <t>INT01557</t>
  </si>
  <si>
    <t>CAN0913</t>
  </si>
  <si>
    <t>INT01558</t>
  </si>
  <si>
    <t>INT01559</t>
  </si>
  <si>
    <t>INT01560</t>
  </si>
  <si>
    <t>CAN0219</t>
  </si>
  <si>
    <t>INT01561</t>
  </si>
  <si>
    <t>CAN0884</t>
  </si>
  <si>
    <t>INT01562</t>
  </si>
  <si>
    <t>INT01563</t>
  </si>
  <si>
    <t>INT01564</t>
  </si>
  <si>
    <t>CAN1173</t>
  </si>
  <si>
    <t>INT01565</t>
  </si>
  <si>
    <t>INT01566</t>
  </si>
  <si>
    <t>CAN0749</t>
  </si>
  <si>
    <t>INT01567</t>
  </si>
  <si>
    <t>INT01568</t>
  </si>
  <si>
    <t>INT01569</t>
  </si>
  <si>
    <t>CAN1154</t>
  </si>
  <si>
    <t>INT01570</t>
  </si>
  <si>
    <t>INT01571</t>
  </si>
  <si>
    <t>INT01572</t>
  </si>
  <si>
    <t>INT01573</t>
  </si>
  <si>
    <t>INT01574</t>
  </si>
  <si>
    <t>INT01575</t>
  </si>
  <si>
    <t>INT01576</t>
  </si>
  <si>
    <t>CAN0244</t>
  </si>
  <si>
    <t>INT01577</t>
  </si>
  <si>
    <t>INT01578</t>
  </si>
  <si>
    <t>INT01579</t>
  </si>
  <si>
    <t>INT01580</t>
  </si>
  <si>
    <t>CAN1057</t>
  </si>
  <si>
    <t>INT01581</t>
  </si>
  <si>
    <t>INT01582</t>
  </si>
  <si>
    <t>CAN0746</t>
  </si>
  <si>
    <t>INT01583</t>
  </si>
  <si>
    <t>INT01584</t>
  </si>
  <si>
    <t>INT01585</t>
  </si>
  <si>
    <t>INT01586</t>
  </si>
  <si>
    <t>CAN0840</t>
  </si>
  <si>
    <t>INT01587</t>
  </si>
  <si>
    <t>CAN0228</t>
  </si>
  <si>
    <t>INT01588</t>
  </si>
  <si>
    <t>INT01589</t>
  </si>
  <si>
    <t>INT01590</t>
  </si>
  <si>
    <t>CAN0529</t>
  </si>
  <si>
    <t>INT01591</t>
  </si>
  <si>
    <t>INT01592</t>
  </si>
  <si>
    <t>CAN0859</t>
  </si>
  <si>
    <t>INT01593</t>
  </si>
  <si>
    <t>CAN0061</t>
  </si>
  <si>
    <t>INT01594</t>
  </si>
  <si>
    <t>INT01595</t>
  </si>
  <si>
    <t>CAN1077</t>
  </si>
  <si>
    <t>INT01596</t>
  </si>
  <si>
    <t>CAN0330</t>
  </si>
  <si>
    <t>INT01597</t>
  </si>
  <si>
    <t>INT01598</t>
  </si>
  <si>
    <t>CAN0502</t>
  </si>
  <si>
    <t>INT01599</t>
  </si>
  <si>
    <t>INT01600</t>
  </si>
  <si>
    <t>INT01601</t>
  </si>
  <si>
    <t>CAN1008</t>
  </si>
  <si>
    <t>INT01602</t>
  </si>
  <si>
    <t>CAN1118</t>
  </si>
  <si>
    <t>INT01603</t>
  </si>
  <si>
    <t>INT01604</t>
  </si>
  <si>
    <t>CAN0001</t>
  </si>
  <si>
    <t>INT01605</t>
  </si>
  <si>
    <t>INT01606</t>
  </si>
  <si>
    <t>INT01607</t>
  </si>
  <si>
    <t>INT01608</t>
  </si>
  <si>
    <t>INT01609</t>
  </si>
  <si>
    <t>INT01610</t>
  </si>
  <si>
    <t>CAN0031</t>
  </si>
  <si>
    <t>INT01611</t>
  </si>
  <si>
    <t>INT01612</t>
  </si>
  <si>
    <t>INT01613</t>
  </si>
  <si>
    <t>INT01614</t>
  </si>
  <si>
    <t>INT01615</t>
  </si>
  <si>
    <t>INT01616</t>
  </si>
  <si>
    <t>CAN0453</t>
  </si>
  <si>
    <t>INT01617</t>
  </si>
  <si>
    <t>INT01618</t>
  </si>
  <si>
    <t>INT01619</t>
  </si>
  <si>
    <t>INT01620</t>
  </si>
  <si>
    <t>INT01621</t>
  </si>
  <si>
    <t>CAN0480</t>
  </si>
  <si>
    <t>INT01622</t>
  </si>
  <si>
    <t>CAN0489</t>
  </si>
  <si>
    <t>INT01623</t>
  </si>
  <si>
    <t>INT01624</t>
  </si>
  <si>
    <t>INT01625</t>
  </si>
  <si>
    <t>CAN0872</t>
  </si>
  <si>
    <t>INT01626</t>
  </si>
  <si>
    <t>INT01627</t>
  </si>
  <si>
    <t>INT01628</t>
  </si>
  <si>
    <t>INT01629</t>
  </si>
  <si>
    <t>INT01630</t>
  </si>
  <si>
    <t>INT01631</t>
  </si>
  <si>
    <t>INT01632</t>
  </si>
  <si>
    <t>INT01633</t>
  </si>
  <si>
    <t>INT01634</t>
  </si>
  <si>
    <t>INT01635</t>
  </si>
  <si>
    <t>INT01636</t>
  </si>
  <si>
    <t>INT01637</t>
  </si>
  <si>
    <t>CAN0973</t>
  </si>
  <si>
    <t>INT01638</t>
  </si>
  <si>
    <t>CAN0421</t>
  </si>
  <si>
    <t>INT01639</t>
  </si>
  <si>
    <t>INT01640</t>
  </si>
  <si>
    <t>INT01641</t>
  </si>
  <si>
    <t>INT01642</t>
  </si>
  <si>
    <t>CAN0799</t>
  </si>
  <si>
    <t>INT01643</t>
  </si>
  <si>
    <t>INT01644</t>
  </si>
  <si>
    <t>INT01645</t>
  </si>
  <si>
    <t>INT01646</t>
  </si>
  <si>
    <t>INT01647</t>
  </si>
  <si>
    <t>CAN1074</t>
  </si>
  <si>
    <t>INT01648</t>
  </si>
  <si>
    <t>INT01649</t>
  </si>
  <si>
    <t>CAN0363</t>
  </si>
  <si>
    <t>INT01650</t>
  </si>
  <si>
    <t>INT01651</t>
  </si>
  <si>
    <t>INT01652</t>
  </si>
  <si>
    <t>INT01653</t>
  </si>
  <si>
    <t>CAN0633</t>
  </si>
  <si>
    <t>INT01654</t>
  </si>
  <si>
    <t>INT01655</t>
  </si>
  <si>
    <t>CAN0623</t>
  </si>
  <si>
    <t>INT01656</t>
  </si>
  <si>
    <t>CAN0443</t>
  </si>
  <si>
    <t>INT01657</t>
  </si>
  <si>
    <t>INT01658</t>
  </si>
  <si>
    <t>INT01659</t>
  </si>
  <si>
    <t>INT01660</t>
  </si>
  <si>
    <t>INT01661</t>
  </si>
  <si>
    <t>CAN0931</t>
  </si>
  <si>
    <t>INT01662</t>
  </si>
  <si>
    <t>INT01663</t>
  </si>
  <si>
    <t>CAN0485</t>
  </si>
  <si>
    <t>INT01664</t>
  </si>
  <si>
    <t>INT01665</t>
  </si>
  <si>
    <t>INT01666</t>
  </si>
  <si>
    <t>INT01667</t>
  </si>
  <si>
    <t>INT01668</t>
  </si>
  <si>
    <t>CAN0775</t>
  </si>
  <si>
    <t>INT01669</t>
  </si>
  <si>
    <t>CAN0871</t>
  </si>
  <si>
    <t>INT01670</t>
  </si>
  <si>
    <t>INT01671</t>
  </si>
  <si>
    <t>CAN0805</t>
  </si>
  <si>
    <t>INT01672</t>
  </si>
  <si>
    <t>INT01673</t>
  </si>
  <si>
    <t>CAN0648</t>
  </si>
  <si>
    <t>INT01674</t>
  </si>
  <si>
    <t>INT01675</t>
  </si>
  <si>
    <t>CAN0609</t>
  </si>
  <si>
    <t>INT01676</t>
  </si>
  <si>
    <t>CAN0818</t>
  </si>
  <si>
    <t>INT01677</t>
  </si>
  <si>
    <t>INT01678</t>
  </si>
  <si>
    <t>INT01679</t>
  </si>
  <si>
    <t>CAN0212</t>
  </si>
  <si>
    <t>INT01680</t>
  </si>
  <si>
    <t>CAN0864</t>
  </si>
  <si>
    <t>INT01681</t>
  </si>
  <si>
    <t>INT01682</t>
  </si>
  <si>
    <t>INT01683</t>
  </si>
  <si>
    <t>INT01684</t>
  </si>
  <si>
    <t>INT01685</t>
  </si>
  <si>
    <t>INT01686</t>
  </si>
  <si>
    <t>CAN0306</t>
  </si>
  <si>
    <t>INT01687</t>
  </si>
  <si>
    <t>INT01688</t>
  </si>
  <si>
    <t>INT01689</t>
  </si>
  <si>
    <t>INT01690</t>
  </si>
  <si>
    <t>CAN0513</t>
  </si>
  <si>
    <t>INT01691</t>
  </si>
  <si>
    <t>INT01692</t>
  </si>
  <si>
    <t>INT01693</t>
  </si>
  <si>
    <t>CAN0613</t>
  </si>
  <si>
    <t>INT01694</t>
  </si>
  <si>
    <t>INT01695</t>
  </si>
  <si>
    <t>INT01696</t>
  </si>
  <si>
    <t>INT01697</t>
  </si>
  <si>
    <t>INT01698</t>
  </si>
  <si>
    <t>INT01699</t>
  </si>
  <si>
    <t>INT01700</t>
  </si>
  <si>
    <t>INT01701</t>
  </si>
  <si>
    <t>INT01702</t>
  </si>
  <si>
    <t>INT01703</t>
  </si>
  <si>
    <t>CAN0955</t>
  </si>
  <si>
    <t>INT01704</t>
  </si>
  <si>
    <t>INT01705</t>
  </si>
  <si>
    <t>INT01706</t>
  </si>
  <si>
    <t>INT01707</t>
  </si>
  <si>
    <t>CAN0417</t>
  </si>
  <si>
    <t>INT01708</t>
  </si>
  <si>
    <t>INT01709</t>
  </si>
  <si>
    <t>CAN0016</t>
  </si>
  <si>
    <t>INT01710</t>
  </si>
  <si>
    <t>INT01711</t>
  </si>
  <si>
    <t>CAN0337</t>
  </si>
  <si>
    <t>INT01712</t>
  </si>
  <si>
    <t>INT01713</t>
  </si>
  <si>
    <t>INT01714</t>
  </si>
  <si>
    <t>CAN0394</t>
  </si>
  <si>
    <t>INT01715</t>
  </si>
  <si>
    <t>INT01716</t>
  </si>
  <si>
    <t>INT01717</t>
  </si>
  <si>
    <t>INT01718</t>
  </si>
  <si>
    <t>INT01719</t>
  </si>
  <si>
    <t>CAN0713</t>
  </si>
  <si>
    <t>INT01720</t>
  </si>
  <si>
    <t>INT01721</t>
  </si>
  <si>
    <t>INT01722</t>
  </si>
  <si>
    <t>INT01723</t>
  </si>
  <si>
    <t>INT01724</t>
  </si>
  <si>
    <t>INT01725</t>
  </si>
  <si>
    <t>CAN0696</t>
  </si>
  <si>
    <t>INT01726</t>
  </si>
  <si>
    <t>INT01727</t>
  </si>
  <si>
    <t>INT01728</t>
  </si>
  <si>
    <t>INT01729</t>
  </si>
  <si>
    <t>INT01730</t>
  </si>
  <si>
    <t>INT01731</t>
  </si>
  <si>
    <t>INT01732</t>
  </si>
  <si>
    <t>CAN0378</t>
  </si>
  <si>
    <t>INT01733</t>
  </si>
  <si>
    <t>INT01734</t>
  </si>
  <si>
    <t>CAN0329</t>
  </si>
  <si>
    <t>INT01735</t>
  </si>
  <si>
    <t>CAN0726</t>
  </si>
  <si>
    <t>INT01736</t>
  </si>
  <si>
    <t>INT01737</t>
  </si>
  <si>
    <t>CAN0540</t>
  </si>
  <si>
    <t>INT01738</t>
  </si>
  <si>
    <t>CAN0239</t>
  </si>
  <si>
    <t>INT01739</t>
  </si>
  <si>
    <t>INT01740</t>
  </si>
  <si>
    <t>INT01741</t>
  </si>
  <si>
    <t>CAN0838</t>
  </si>
  <si>
    <t>INT01742</t>
  </si>
  <si>
    <t>INT01743</t>
  </si>
  <si>
    <t>CAN0959</t>
  </si>
  <si>
    <t>INT01744</t>
  </si>
  <si>
    <t>INT01745</t>
  </si>
  <si>
    <t>INT01746</t>
  </si>
  <si>
    <t>INT01747</t>
  </si>
  <si>
    <t>INT01748</t>
  </si>
  <si>
    <t>CAN0831</t>
  </si>
  <si>
    <t>INT01749</t>
  </si>
  <si>
    <t>INT01750</t>
  </si>
  <si>
    <t>INT01751</t>
  </si>
  <si>
    <t>INT01752</t>
  </si>
  <si>
    <t>CAN0656</t>
  </si>
  <si>
    <t>INT01753</t>
  </si>
  <si>
    <t>INT01754</t>
  </si>
  <si>
    <t>INT01755</t>
  </si>
  <si>
    <t>INT01756</t>
  </si>
  <si>
    <t>CAN0662</t>
  </si>
  <si>
    <t>INT01757</t>
  </si>
  <si>
    <t>INT01758</t>
  </si>
  <si>
    <t>CAN0093</t>
  </si>
  <si>
    <t>INT01759</t>
  </si>
  <si>
    <t>INT01760</t>
  </si>
  <si>
    <t>CAN0144</t>
  </si>
  <si>
    <t>INT01761</t>
  </si>
  <si>
    <t>INT01762</t>
  </si>
  <si>
    <t>CAN0137</t>
  </si>
  <si>
    <t>INT01763</t>
  </si>
  <si>
    <t>INT01764</t>
  </si>
  <si>
    <t>INT01765</t>
  </si>
  <si>
    <t>CAN0405</t>
  </si>
  <si>
    <t>INT01766</t>
  </si>
  <si>
    <t>INT01767</t>
  </si>
  <si>
    <t>INT01768</t>
  </si>
  <si>
    <t>CAN0787</t>
  </si>
  <si>
    <t>INT01769</t>
  </si>
  <si>
    <t>CAN0780</t>
  </si>
  <si>
    <t>INT01770</t>
  </si>
  <si>
    <t>INT01771</t>
  </si>
  <si>
    <t>CAN0869</t>
  </si>
  <si>
    <t>INT01772</t>
  </si>
  <si>
    <t>INT01773</t>
  </si>
  <si>
    <t>CAN0940</t>
  </si>
  <si>
    <t>INT01774</t>
  </si>
  <si>
    <t>CAN0090</t>
  </si>
  <si>
    <t>INT01775</t>
  </si>
  <si>
    <t>INT01776</t>
  </si>
  <si>
    <t>INT01777</t>
  </si>
  <si>
    <t>INT01778</t>
  </si>
  <si>
    <t>INT01779</t>
  </si>
  <si>
    <t>INT01780</t>
  </si>
  <si>
    <t>CAN0206</t>
  </si>
  <si>
    <t>INT01781</t>
  </si>
  <si>
    <t>INT01782</t>
  </si>
  <si>
    <t>INT01783</t>
  </si>
  <si>
    <t>CAN1089</t>
  </si>
  <si>
    <t>INT01784</t>
  </si>
  <si>
    <t>CAN0387</t>
  </si>
  <si>
    <t>INT01785</t>
  </si>
  <si>
    <t>INT01786</t>
  </si>
  <si>
    <t>INT01787</t>
  </si>
  <si>
    <t>INT01788</t>
  </si>
  <si>
    <t>CAN0581</t>
  </si>
  <si>
    <t>INT01789</t>
  </si>
  <si>
    <t>INT01790</t>
  </si>
  <si>
    <t>INT01791</t>
  </si>
  <si>
    <t>CAN0169</t>
  </si>
  <si>
    <t>INT01792</t>
  </si>
  <si>
    <t>CAN0522</t>
  </si>
  <si>
    <t>INT01793</t>
  </si>
  <si>
    <t>INT01794</t>
  </si>
  <si>
    <t>CAN0376</t>
  </si>
  <si>
    <t>INT01795</t>
  </si>
  <si>
    <t>INT01796</t>
  </si>
  <si>
    <t>CAN0789</t>
  </si>
  <si>
    <t>INT01797</t>
  </si>
  <si>
    <t>INT01798</t>
  </si>
  <si>
    <t>INT01799</t>
  </si>
  <si>
    <t>CAN0277</t>
  </si>
  <si>
    <t>INT01800</t>
  </si>
  <si>
    <t>INT01801</t>
  </si>
  <si>
    <t>CAN0457</t>
  </si>
  <si>
    <t>INT01802</t>
  </si>
  <si>
    <t>CAN0556</t>
  </si>
  <si>
    <t>INT01803</t>
  </si>
  <si>
    <t>CAN1019</t>
  </si>
  <si>
    <t>INT01804</t>
  </si>
  <si>
    <t>CAN1012</t>
  </si>
  <si>
    <t>INT01805</t>
  </si>
  <si>
    <t>INT01806</t>
  </si>
  <si>
    <t>INT01807</t>
  </si>
  <si>
    <t>CAN0971</t>
  </si>
  <si>
    <t>INT01808</t>
  </si>
  <si>
    <t>INT01809</t>
  </si>
  <si>
    <t>CAN0926</t>
  </si>
  <si>
    <t>INT01810</t>
  </si>
  <si>
    <t>INT01811</t>
  </si>
  <si>
    <t>CAN0691</t>
  </si>
  <si>
    <t>INT01812</t>
  </si>
  <si>
    <t>CAN0813</t>
  </si>
  <si>
    <t>INT01813</t>
  </si>
  <si>
    <t>CAN0748</t>
  </si>
  <si>
    <t>INT01814</t>
  </si>
  <si>
    <t>INT01815</t>
  </si>
  <si>
    <t>INT01816</t>
  </si>
  <si>
    <t>CAN0536</t>
  </si>
  <si>
    <t>INT01817</t>
  </si>
  <si>
    <t>INT01818</t>
  </si>
  <si>
    <t>INT01819</t>
  </si>
  <si>
    <t>INT01820</t>
  </si>
  <si>
    <t>INT01821</t>
  </si>
  <si>
    <t>INT01822</t>
  </si>
  <si>
    <t>INT01823</t>
  </si>
  <si>
    <t>INT01824</t>
  </si>
  <si>
    <t>INT01825</t>
  </si>
  <si>
    <t>INT01826</t>
  </si>
  <si>
    <t>INT01827</t>
  </si>
  <si>
    <t>INT01828</t>
  </si>
  <si>
    <t>CAN0173</t>
  </si>
  <si>
    <t>INT01829</t>
  </si>
  <si>
    <t>INT01830</t>
  </si>
  <si>
    <t>INT01831</t>
  </si>
  <si>
    <t>INT01832</t>
  </si>
  <si>
    <t>INT01833</t>
  </si>
  <si>
    <t>INT01834</t>
  </si>
  <si>
    <t>CAN0710</t>
  </si>
  <si>
    <t>INT01835</t>
  </si>
  <si>
    <t>INT01836</t>
  </si>
  <si>
    <t>CAN0635</t>
  </si>
  <si>
    <t>INT01837</t>
  </si>
  <si>
    <t>INT01838</t>
  </si>
  <si>
    <t>INT01839</t>
  </si>
  <si>
    <t>CAN0241</t>
  </si>
  <si>
    <t>INT01840</t>
  </si>
  <si>
    <t>INT01841</t>
  </si>
  <si>
    <t>CAN0862</t>
  </si>
  <si>
    <t>INT01842</t>
  </si>
  <si>
    <t>INT01843</t>
  </si>
  <si>
    <t>INT01844</t>
  </si>
  <si>
    <t>INT01845</t>
  </si>
  <si>
    <t>CAN0377</t>
  </si>
  <si>
    <t>INT01846</t>
  </si>
  <si>
    <t>INT01847</t>
  </si>
  <si>
    <t>INT01848</t>
  </si>
  <si>
    <t>CAN0836</t>
  </si>
  <si>
    <t>INT01849</t>
  </si>
  <si>
    <t>INT01850</t>
  </si>
  <si>
    <t>INT01851</t>
  </si>
  <si>
    <t>CAN0985</t>
  </si>
  <si>
    <t>INT01852</t>
  </si>
  <si>
    <t>INT01853</t>
  </si>
  <si>
    <t>INT01854</t>
  </si>
  <si>
    <t>INT01855</t>
  </si>
  <si>
    <t>INT01856</t>
  </si>
  <si>
    <t>INT01857</t>
  </si>
  <si>
    <t>INT01858</t>
  </si>
  <si>
    <t>INT01859</t>
  </si>
  <si>
    <t>INT01860</t>
  </si>
  <si>
    <t>INT01861</t>
  </si>
  <si>
    <t>CAN0355</t>
  </si>
  <si>
    <t>INT01862</t>
  </si>
  <si>
    <t>INT01863</t>
  </si>
  <si>
    <t>CAN1029</t>
  </si>
  <si>
    <t>INT01864</t>
  </si>
  <si>
    <t>INT01865</t>
  </si>
  <si>
    <t>INT01866</t>
  </si>
  <si>
    <t>CAN0543</t>
  </si>
  <si>
    <t>INT01867</t>
  </si>
  <si>
    <t>INT01868</t>
  </si>
  <si>
    <t>INT01869</t>
  </si>
  <si>
    <t>INT01870</t>
  </si>
  <si>
    <t>INT01871</t>
  </si>
  <si>
    <t>CAN1095</t>
  </si>
  <si>
    <t>INT01872</t>
  </si>
  <si>
    <t>CAN0334</t>
  </si>
  <si>
    <t>INT01873</t>
  </si>
  <si>
    <t>INT01874</t>
  </si>
  <si>
    <t>INT01875</t>
  </si>
  <si>
    <t>INT01876</t>
  </si>
  <si>
    <t>INT01877</t>
  </si>
  <si>
    <t>INT01878</t>
  </si>
  <si>
    <t>INT01879</t>
  </si>
  <si>
    <t>INT01880</t>
  </si>
  <si>
    <t>INT01881</t>
  </si>
  <si>
    <t>CAN0734</t>
  </si>
  <si>
    <t>INT01882</t>
  </si>
  <si>
    <t>INT01883</t>
  </si>
  <si>
    <t>INT01884</t>
  </si>
  <si>
    <t>INT01885</t>
  </si>
  <si>
    <t>INT01886</t>
  </si>
  <si>
    <t>INT01887</t>
  </si>
  <si>
    <t>INT01888</t>
  </si>
  <si>
    <t>INT01889</t>
  </si>
  <si>
    <t>INT01890</t>
  </si>
  <si>
    <t>CAN0042</t>
  </si>
  <si>
    <t>INT01891</t>
  </si>
  <si>
    <t>INT01892</t>
  </si>
  <si>
    <t>INT01893</t>
  </si>
  <si>
    <t>INT01894</t>
  </si>
  <si>
    <t>INT01895</t>
  </si>
  <si>
    <t>INT01896</t>
  </si>
  <si>
    <t>CAN0944</t>
  </si>
  <si>
    <t>INT01897</t>
  </si>
  <si>
    <t>CAN0750</t>
  </si>
  <si>
    <t>INT01898</t>
  </si>
  <si>
    <t>INT01899</t>
  </si>
  <si>
    <t>INT01900</t>
  </si>
  <si>
    <t>INT01901</t>
  </si>
  <si>
    <t>INT01902</t>
  </si>
  <si>
    <t>INT01903</t>
  </si>
  <si>
    <t>CAN0772</t>
  </si>
  <si>
    <t>INT01904</t>
  </si>
  <si>
    <t>INT01905</t>
  </si>
  <si>
    <t>CAN0445</t>
  </si>
  <si>
    <t>INT01906</t>
  </si>
  <si>
    <t>INT01907</t>
  </si>
  <si>
    <t>CAN0290</t>
  </si>
  <si>
    <t>INT01908</t>
  </si>
  <si>
    <t>INT01909</t>
  </si>
  <si>
    <t>CAN1130</t>
  </si>
  <si>
    <t>INT01910</t>
  </si>
  <si>
    <t>INT01911</t>
  </si>
  <si>
    <t>INT01912</t>
  </si>
  <si>
    <t>CAN0225</t>
  </si>
  <si>
    <t>INT01913</t>
  </si>
  <si>
    <t>INT01914</t>
  </si>
  <si>
    <t>CAN0367</t>
  </si>
  <si>
    <t>INT01915</t>
  </si>
  <si>
    <t>INT01916</t>
  </si>
  <si>
    <t>CAN0215</t>
  </si>
  <si>
    <t>INT01917</t>
  </si>
  <si>
    <t>INT01918</t>
  </si>
  <si>
    <t>CAN0071</t>
  </si>
  <si>
    <t>INT01919</t>
  </si>
  <si>
    <t>CAN0274</t>
  </si>
  <si>
    <t>INT01920</t>
  </si>
  <si>
    <t>INT01921</t>
  </si>
  <si>
    <t>INT01922</t>
  </si>
  <si>
    <t>INT01923</t>
  </si>
  <si>
    <t>CAN0102</t>
  </si>
  <si>
    <t>INT01924</t>
  </si>
  <si>
    <t>CAN0796</t>
  </si>
  <si>
    <t>INT01925</t>
  </si>
  <si>
    <t>CAN0943</t>
  </si>
  <si>
    <t>INT01926</t>
  </si>
  <si>
    <t>INT01927</t>
  </si>
  <si>
    <t>INT01928</t>
  </si>
  <si>
    <t>CAN0385</t>
  </si>
  <si>
    <t>INT01929</t>
  </si>
  <si>
    <t>INT01930</t>
  </si>
  <si>
    <t>INT01931</t>
  </si>
  <si>
    <t>INT01932</t>
  </si>
  <si>
    <t>INT01933</t>
  </si>
  <si>
    <t>CAN0364</t>
  </si>
  <si>
    <t>INT01934</t>
  </si>
  <si>
    <t>INT01935</t>
  </si>
  <si>
    <t>INT01936</t>
  </si>
  <si>
    <t>CAN0555</t>
  </si>
  <si>
    <t>INT01937</t>
  </si>
  <si>
    <t>INT01938</t>
  </si>
  <si>
    <t>CAN0264</t>
  </si>
  <si>
    <t>INT01939</t>
  </si>
  <si>
    <t>CAN0837</t>
  </si>
  <si>
    <t>INT01940</t>
  </si>
  <si>
    <t>INT01941</t>
  </si>
  <si>
    <t>CAN0640</t>
  </si>
  <si>
    <t>INT01942</t>
  </si>
  <si>
    <t>INT01943</t>
  </si>
  <si>
    <t>INT01944</t>
  </si>
  <si>
    <t>INT01945</t>
  </si>
  <si>
    <t>CAN0588</t>
  </si>
  <si>
    <t>INT01946</t>
  </si>
  <si>
    <t>INT01947</t>
  </si>
  <si>
    <t>INT01948</t>
  </si>
  <si>
    <t>CAN0106</t>
  </si>
  <si>
    <t>INT01949</t>
  </si>
  <si>
    <t>INT01950</t>
  </si>
  <si>
    <t>INT01951</t>
  </si>
  <si>
    <t>INT01952</t>
  </si>
  <si>
    <t>CAN1107</t>
  </si>
  <si>
    <t>INT01953</t>
  </si>
  <si>
    <t>INT01954</t>
  </si>
  <si>
    <t>CAN0353</t>
  </si>
  <si>
    <t>INT01955</t>
  </si>
  <si>
    <t>INT01956</t>
  </si>
  <si>
    <t>INT01957</t>
  </si>
  <si>
    <t>INT01958</t>
  </si>
  <si>
    <t>CAN0503</t>
  </si>
  <si>
    <t>INT01959</t>
  </si>
  <si>
    <t>INT01960</t>
  </si>
  <si>
    <t>INT01961</t>
  </si>
  <si>
    <t>INT01962</t>
  </si>
  <si>
    <t>CAN0761</t>
  </si>
  <si>
    <t>INT01963</t>
  </si>
  <si>
    <t>INT01964</t>
  </si>
  <si>
    <t>INT01965</t>
  </si>
  <si>
    <t>INT01966</t>
  </si>
  <si>
    <t>CAN1001</t>
  </si>
  <si>
    <t>INT01967</t>
  </si>
  <si>
    <t>INT01968</t>
  </si>
  <si>
    <t>INT01969</t>
  </si>
  <si>
    <t>INT01970</t>
  </si>
  <si>
    <t>INT01971</t>
  </si>
  <si>
    <t>INT01972</t>
  </si>
  <si>
    <t>INT01973</t>
  </si>
  <si>
    <t>INT01974</t>
  </si>
  <si>
    <t>CAN1200</t>
  </si>
  <si>
    <t>INT01975</t>
  </si>
  <si>
    <t>INT01976</t>
  </si>
  <si>
    <t>INT01977</t>
  </si>
  <si>
    <t>INT01978</t>
  </si>
  <si>
    <t>INT01979</t>
  </si>
  <si>
    <t>INT01980</t>
  </si>
  <si>
    <t>INT01981</t>
  </si>
  <si>
    <t>INT01982</t>
  </si>
  <si>
    <t>CAN1177</t>
  </si>
  <si>
    <t>INT01983</t>
  </si>
  <si>
    <t>INT01984</t>
  </si>
  <si>
    <t>INT01985</t>
  </si>
  <si>
    <t>CAN0434</t>
  </si>
  <si>
    <t>INT01986</t>
  </si>
  <si>
    <t>INT01987</t>
  </si>
  <si>
    <t>CAN0014</t>
  </si>
  <si>
    <t>INT01988</t>
  </si>
  <si>
    <t>CAN0083</t>
  </si>
  <si>
    <t>INT01989</t>
  </si>
  <si>
    <t>INT01990</t>
  </si>
  <si>
    <t>INT01991</t>
  </si>
  <si>
    <t>INT01992</t>
  </si>
  <si>
    <t>INT01993</t>
  </si>
  <si>
    <t>INT01994</t>
  </si>
  <si>
    <t>INT01995</t>
  </si>
  <si>
    <t>INT01996</t>
  </si>
  <si>
    <t>INT01997</t>
  </si>
  <si>
    <t>CAN1195</t>
  </si>
  <si>
    <t>INT01998</t>
  </si>
  <si>
    <t>INT01999</t>
  </si>
  <si>
    <t>INT02000</t>
  </si>
  <si>
    <t>CAN0452</t>
  </si>
  <si>
    <t>INT02001</t>
  </si>
  <si>
    <t>INT02002</t>
  </si>
  <si>
    <t>INT02003</t>
  </si>
  <si>
    <t>INT02004</t>
  </si>
  <si>
    <t>INT02005</t>
  </si>
  <si>
    <t>CAN0451</t>
  </si>
  <si>
    <t>INT02006</t>
  </si>
  <si>
    <t>INT02007</t>
  </si>
  <si>
    <t>INT02008</t>
  </si>
  <si>
    <t>INT02009</t>
  </si>
  <si>
    <t>INT02010</t>
  </si>
  <si>
    <t>INT02011</t>
  </si>
  <si>
    <t>INT02012</t>
  </si>
  <si>
    <t>CAN0868</t>
  </si>
  <si>
    <t>INT02013</t>
  </si>
  <si>
    <t>INT02014</t>
  </si>
  <si>
    <t>INT02015</t>
  </si>
  <si>
    <t>INT02016</t>
  </si>
  <si>
    <t>CAN0765</t>
  </si>
  <si>
    <t>INT02017</t>
  </si>
  <si>
    <t>INT02018</t>
  </si>
  <si>
    <t>INT02019</t>
  </si>
  <si>
    <t>CAN0391</t>
  </si>
  <si>
    <t>INT02020</t>
  </si>
  <si>
    <t>INT02021</t>
  </si>
  <si>
    <t>INT02022</t>
  </si>
  <si>
    <t>INT02023</t>
  </si>
  <si>
    <t>CAN1175</t>
  </si>
  <si>
    <t>INT02024</t>
  </si>
  <si>
    <t>INT02025</t>
  </si>
  <si>
    <t>CAN0595</t>
  </si>
  <si>
    <t>INT02026</t>
  </si>
  <si>
    <t>INT02027</t>
  </si>
  <si>
    <t>INT02028</t>
  </si>
  <si>
    <t>CAN0107</t>
  </si>
  <si>
    <t>INT02029</t>
  </si>
  <si>
    <t>CAN0154</t>
  </si>
  <si>
    <t>INT02030</t>
  </si>
  <si>
    <t>INT02031</t>
  </si>
  <si>
    <t>INT02032</t>
  </si>
  <si>
    <t>CAN1157</t>
  </si>
  <si>
    <t>INT02033</t>
  </si>
  <si>
    <t>INT02034</t>
  </si>
  <si>
    <t>INT02035</t>
  </si>
  <si>
    <t>INT02036</t>
  </si>
  <si>
    <t>CAN0892</t>
  </si>
  <si>
    <t>INT02037</t>
  </si>
  <si>
    <t>INT02038</t>
  </si>
  <si>
    <t>INT02039</t>
  </si>
  <si>
    <t>INT02040</t>
  </si>
  <si>
    <t>CAN0041</t>
  </si>
  <si>
    <t>INT02041</t>
  </si>
  <si>
    <t>INT02042</t>
  </si>
  <si>
    <t>INT02043</t>
  </si>
  <si>
    <t>CAN0056</t>
  </si>
  <si>
    <t>INT02044</t>
  </si>
  <si>
    <t>INT02045</t>
  </si>
  <si>
    <t>CAN0450</t>
  </si>
  <si>
    <t>INT02046</t>
  </si>
  <si>
    <t>INT02047</t>
  </si>
  <si>
    <t>INT02048</t>
  </si>
  <si>
    <t>CAN0906</t>
  </si>
  <si>
    <t>INT02049</t>
  </si>
  <si>
    <t>INT02050</t>
  </si>
  <si>
    <t>CAN0962</t>
  </si>
  <si>
    <t>INT02051</t>
  </si>
  <si>
    <t>INT02052</t>
  </si>
  <si>
    <t>INT02053</t>
  </si>
  <si>
    <t>INT02054</t>
  </si>
  <si>
    <t>INT02055</t>
  </si>
  <si>
    <t>INT02056</t>
  </si>
  <si>
    <t>CAN0003</t>
  </si>
  <si>
    <t>INT02057</t>
  </si>
  <si>
    <t>INT02058</t>
  </si>
  <si>
    <t>CAN0574</t>
  </si>
  <si>
    <t>INT02059</t>
  </si>
  <si>
    <t>INT02060</t>
  </si>
  <si>
    <t>CAN1060</t>
  </si>
  <si>
    <t>INT02061</t>
  </si>
  <si>
    <t>CAN0547</t>
  </si>
  <si>
    <t>INT02062</t>
  </si>
  <si>
    <t>CAN0890</t>
  </si>
  <si>
    <t>INT02063</t>
  </si>
  <si>
    <t>CAN0990</t>
  </si>
  <si>
    <t>INT02064</t>
  </si>
  <si>
    <t>CAN0903</t>
  </si>
  <si>
    <t>INT02065</t>
  </si>
  <si>
    <t>CAN0318</t>
  </si>
  <si>
    <t>INT02066</t>
  </si>
  <si>
    <t>INT02067</t>
  </si>
  <si>
    <t>CAN0471</t>
  </si>
  <si>
    <t>INT02068</t>
  </si>
  <si>
    <t>INT02069</t>
  </si>
  <si>
    <t>INT02070</t>
  </si>
  <si>
    <t>CAN0415</t>
  </si>
  <si>
    <t>INT02071</t>
  </si>
  <si>
    <t>INT02072</t>
  </si>
  <si>
    <t>INT02073</t>
  </si>
  <si>
    <t>INT02074</t>
  </si>
  <si>
    <t>CAN0025</t>
  </si>
  <si>
    <t>INT02075</t>
  </si>
  <si>
    <t>INT02076</t>
  </si>
  <si>
    <t>INT02077</t>
  </si>
  <si>
    <t>INT02078</t>
  </si>
  <si>
    <t>CAN0233</t>
  </si>
  <si>
    <t>INT02079</t>
  </si>
  <si>
    <t>CAN0032</t>
  </si>
  <si>
    <t>INT02080</t>
  </si>
  <si>
    <t>INT02081</t>
  </si>
  <si>
    <t>INT02082</t>
  </si>
  <si>
    <t>CAN0880</t>
  </si>
  <si>
    <t>INT02083</t>
  </si>
  <si>
    <t>INT02084</t>
  </si>
  <si>
    <t>CAN0455</t>
  </si>
  <si>
    <t>INT02085</t>
  </si>
  <si>
    <t>INT02086</t>
  </si>
  <si>
    <t>INT02087</t>
  </si>
  <si>
    <t>CAN1106</t>
  </si>
  <si>
    <t>INT02088</t>
  </si>
  <si>
    <t>INT02089</t>
  </si>
  <si>
    <t>INT02090</t>
  </si>
  <si>
    <t>INT02091</t>
  </si>
  <si>
    <t>CAN0736</t>
  </si>
  <si>
    <t>INT02092</t>
  </si>
  <si>
    <t>INT02093</t>
  </si>
  <si>
    <t>INT02094</t>
  </si>
  <si>
    <t>INT02095</t>
  </si>
  <si>
    <t>CAN0687</t>
  </si>
  <si>
    <t>INT02096</t>
  </si>
  <si>
    <t>CAN0263</t>
  </si>
  <si>
    <t>INT02097</t>
  </si>
  <si>
    <t>INT02098</t>
  </si>
  <si>
    <t>INT02099</t>
  </si>
  <si>
    <t>CAN0181</t>
  </si>
  <si>
    <t>INT02100</t>
  </si>
  <si>
    <t>CAN0829</t>
  </si>
  <si>
    <t>INT02101</t>
  </si>
  <si>
    <t>INT02102</t>
  </si>
  <si>
    <t>INT02103</t>
  </si>
  <si>
    <t>CAN0956</t>
  </si>
  <si>
    <t>INT02104</t>
  </si>
  <si>
    <t>INT02105</t>
  </si>
  <si>
    <t>INT02106</t>
  </si>
  <si>
    <t>INT02107</t>
  </si>
  <si>
    <t>INT02108</t>
  </si>
  <si>
    <t>INT02109</t>
  </si>
  <si>
    <t>INT02110</t>
  </si>
  <si>
    <t>INT02111</t>
  </si>
  <si>
    <t>CAN0438</t>
  </si>
  <si>
    <t>INT02112</t>
  </si>
  <si>
    <t>INT02113</t>
  </si>
  <si>
    <t>INT02114</t>
  </si>
  <si>
    <t>CAN0492</t>
  </si>
  <si>
    <t>INT02115</t>
  </si>
  <si>
    <t>INT02116</t>
  </si>
  <si>
    <t>INT02117</t>
  </si>
  <si>
    <t>CAN1022</t>
  </si>
  <si>
    <t>INT02118</t>
  </si>
  <si>
    <t>INT02119</t>
  </si>
  <si>
    <t>INT02120</t>
  </si>
  <si>
    <t>INT02121</t>
  </si>
  <si>
    <t>INT02122</t>
  </si>
  <si>
    <t>CAN0538</t>
  </si>
  <si>
    <t>INT02123</t>
  </si>
  <si>
    <t>INT02124</t>
  </si>
  <si>
    <t>INT02125</t>
  </si>
  <si>
    <t>INT02126</t>
  </si>
  <si>
    <t>INT02127</t>
  </si>
  <si>
    <t>INT02128</t>
  </si>
  <si>
    <t>CAN0431</t>
  </si>
  <si>
    <t>INT02129</t>
  </si>
  <si>
    <t>INT02130</t>
  </si>
  <si>
    <t>INT02131</t>
  </si>
  <si>
    <t>INT02132</t>
  </si>
  <si>
    <t>CAN0192</t>
  </si>
  <si>
    <t>INT02133</t>
  </si>
  <si>
    <t>INT02134</t>
  </si>
  <si>
    <t>INT02135</t>
  </si>
  <si>
    <t>CAN0505</t>
  </si>
  <si>
    <t>INT02136</t>
  </si>
  <si>
    <t>INT02137</t>
  </si>
  <si>
    <t>CAN0305</t>
  </si>
  <si>
    <t>INT02138</t>
  </si>
  <si>
    <t>INT02139</t>
  </si>
  <si>
    <t>INT02140</t>
  </si>
  <si>
    <t>CAN0073</t>
  </si>
  <si>
    <t>INT02141</t>
  </si>
  <si>
    <t>INT02142</t>
  </si>
  <si>
    <t>CAN0711</t>
  </si>
  <si>
    <t>INT02143</t>
  </si>
  <si>
    <t>INT02144</t>
  </si>
  <si>
    <t>CAN0487</t>
  </si>
  <si>
    <t>INT02145</t>
  </si>
  <si>
    <t>INT02146</t>
  </si>
  <si>
    <t>INT02147</t>
  </si>
  <si>
    <t>INT02148</t>
  </si>
  <si>
    <t>INT02149</t>
  </si>
  <si>
    <t>INT02150</t>
  </si>
  <si>
    <t>CAN0753</t>
  </si>
  <si>
    <t>INT02151</t>
  </si>
  <si>
    <t>INT02152</t>
  </si>
  <si>
    <t>INT02153</t>
  </si>
  <si>
    <t>INT02154</t>
  </si>
  <si>
    <t>CAN0846</t>
  </si>
  <si>
    <t>INT02155</t>
  </si>
  <si>
    <t>INT02156</t>
  </si>
  <si>
    <t>INT02157</t>
  </si>
  <si>
    <t>INT02158</t>
  </si>
  <si>
    <t>INT02159</t>
  </si>
  <si>
    <t>CAN0465</t>
  </si>
  <si>
    <t>INT02160</t>
  </si>
  <si>
    <t>INT02161</t>
  </si>
  <si>
    <t>INT02162</t>
  </si>
  <si>
    <t>INT02163</t>
  </si>
  <si>
    <t>INT02164</t>
  </si>
  <si>
    <t>INT02165</t>
  </si>
  <si>
    <t>INT02166</t>
  </si>
  <si>
    <t>INT02167</t>
  </si>
  <si>
    <t>CAN0478</t>
  </si>
  <si>
    <t>INT02168</t>
  </si>
  <si>
    <t>INT02169</t>
  </si>
  <si>
    <t>CAN0671</t>
  </si>
  <si>
    <t>INT02170</t>
  </si>
  <si>
    <t>CAN1071</t>
  </si>
  <si>
    <t>INT02171</t>
  </si>
  <si>
    <t>INT02172</t>
  </si>
  <si>
    <t>CAN0963</t>
  </si>
  <si>
    <t>INT02173</t>
  </si>
  <si>
    <t>INT02174</t>
  </si>
  <si>
    <t>CAN0708</t>
  </si>
  <si>
    <t>INT02175</t>
  </si>
  <si>
    <t>INT02176</t>
  </si>
  <si>
    <t>INT02177</t>
  </si>
  <si>
    <t>CAN1133</t>
  </si>
  <si>
    <t>INT02178</t>
  </si>
  <si>
    <t>INT02179</t>
  </si>
  <si>
    <t>INT02180</t>
  </si>
  <si>
    <t>CAN0352</t>
  </si>
  <si>
    <t>INT02181</t>
  </si>
  <si>
    <t>INT02182</t>
  </si>
  <si>
    <t>INT02183</t>
  </si>
  <si>
    <t>CAN1043</t>
  </si>
  <si>
    <t>INT02184</t>
  </si>
  <si>
    <t>INT02185</t>
  </si>
  <si>
    <t>CAN1109</t>
  </si>
  <si>
    <t>INT02186</t>
  </si>
  <si>
    <t>INT02187</t>
  </si>
  <si>
    <t>CAN0936</t>
  </si>
  <si>
    <t>INT02188</t>
  </si>
  <si>
    <t>INT02189</t>
  </si>
  <si>
    <t>INT02190</t>
  </si>
  <si>
    <t>INT02191</t>
  </si>
  <si>
    <t>CAN0245</t>
  </si>
  <si>
    <t>INT02192</t>
  </si>
  <si>
    <t>INT02193</t>
  </si>
  <si>
    <t>INT02194</t>
  </si>
  <si>
    <t>INT02195</t>
  </si>
  <si>
    <t>INT02196</t>
  </si>
  <si>
    <t>CAN0745</t>
  </si>
  <si>
    <t>INT02197</t>
  </si>
  <si>
    <t>INT02198</t>
  </si>
  <si>
    <t>INT02199</t>
  </si>
  <si>
    <t>CAN0707</t>
  </si>
  <si>
    <t>INT02200</t>
  </si>
  <si>
    <t>CAN0579</t>
  </si>
  <si>
    <t>INT02201</t>
  </si>
  <si>
    <t>INT02202</t>
  </si>
  <si>
    <t>INT02203</t>
  </si>
  <si>
    <t>INT02204</t>
  </si>
  <si>
    <t>CAN0332</t>
  </si>
  <si>
    <t>INT02205</t>
  </si>
  <si>
    <t>CAN0476</t>
  </si>
  <si>
    <t>INT02206</t>
  </si>
  <si>
    <t>INT02207</t>
  </si>
  <si>
    <t>INT02208</t>
  </si>
  <si>
    <t>CAN1150</t>
  </si>
  <si>
    <t>INT02209</t>
  </si>
  <si>
    <t>INT02210</t>
  </si>
  <si>
    <t>INT02211</t>
  </si>
  <si>
    <t>CAN1011</t>
  </si>
  <si>
    <t>INT02212</t>
  </si>
  <si>
    <t>INT02213</t>
  </si>
  <si>
    <t>INT02214</t>
  </si>
  <si>
    <t>INT02215</t>
  </si>
  <si>
    <t>CAN0773</t>
  </si>
  <si>
    <t>INT02216</t>
  </si>
  <si>
    <t>CAN0674</t>
  </si>
  <si>
    <t>INT02217</t>
  </si>
  <si>
    <t>CAN0614</t>
  </si>
  <si>
    <t>INT02218</t>
  </si>
  <si>
    <t>INT02219</t>
  </si>
  <si>
    <t>CAN0900</t>
  </si>
  <si>
    <t>INT02220</t>
  </si>
  <si>
    <t>INT02221</t>
  </si>
  <si>
    <t>CAN0076</t>
  </si>
  <si>
    <t>INT02222</t>
  </si>
  <si>
    <t>INT02223</t>
  </si>
  <si>
    <t>INT02224</t>
  </si>
  <si>
    <t>CAN0205</t>
  </si>
  <si>
    <t>INT02225</t>
  </si>
  <si>
    <t>INT02226</t>
  </si>
  <si>
    <t>INT02227</t>
  </si>
  <si>
    <t>CAN0323</t>
  </si>
  <si>
    <t>INT02228</t>
  </si>
  <si>
    <t>CAN0062</t>
  </si>
  <si>
    <t>INT02229</t>
  </si>
  <si>
    <t>INT02230</t>
  </si>
  <si>
    <t>INT02231</t>
  </si>
  <si>
    <t>CAN0824</t>
  </si>
  <si>
    <t>INT02232</t>
  </si>
  <si>
    <t>INT02233</t>
  </si>
  <si>
    <t>INT02234</t>
  </si>
  <si>
    <t>INT02235</t>
  </si>
  <si>
    <t>CAN0327</t>
  </si>
  <si>
    <t>INT02236</t>
  </si>
  <si>
    <t>INT02237</t>
  </si>
  <si>
    <t>CAN0764</t>
  </si>
  <si>
    <t>INT02238</t>
  </si>
  <si>
    <t>INT02239</t>
  </si>
  <si>
    <t>INT02240</t>
  </si>
  <si>
    <t>INT02241</t>
  </si>
  <si>
    <t>INT02242</t>
  </si>
  <si>
    <t>INT02243</t>
  </si>
  <si>
    <t>CAN0207</t>
  </si>
  <si>
    <t>INT02244</t>
  </si>
  <si>
    <t>INT02245</t>
  </si>
  <si>
    <t>CAN0641</t>
  </si>
  <si>
    <t>INT02246</t>
  </si>
  <si>
    <t>INT02247</t>
  </si>
  <si>
    <t>INT02248</t>
  </si>
  <si>
    <t>INT02249</t>
  </si>
  <si>
    <t>CAN1055</t>
  </si>
  <si>
    <t>INT02250</t>
  </si>
  <si>
    <t>CAN0420</t>
  </si>
  <si>
    <t>INT02251</t>
  </si>
  <si>
    <t>INT02252</t>
  </si>
  <si>
    <t>CAN0199</t>
  </si>
  <si>
    <t>INT02253</t>
  </si>
  <si>
    <t>INT02254</t>
  </si>
  <si>
    <t>INT02255</t>
  </si>
  <si>
    <t>INT02256</t>
  </si>
  <si>
    <t>CAN0559</t>
  </si>
  <si>
    <t>INT02257</t>
  </si>
  <si>
    <t>INT02258</t>
  </si>
  <si>
    <t>INT02259</t>
  </si>
  <si>
    <t>INT02260</t>
  </si>
  <si>
    <t>INT02261</t>
  </si>
  <si>
    <t>INT02262</t>
  </si>
  <si>
    <t>CAN0568</t>
  </si>
  <si>
    <t>INT02263</t>
  </si>
  <si>
    <t>INT02264</t>
  </si>
  <si>
    <t>INT02265</t>
  </si>
  <si>
    <t>CAN1030</t>
  </si>
  <si>
    <t>INT02266</t>
  </si>
  <si>
    <t>INT02267</t>
  </si>
  <si>
    <t>CAN1085</t>
  </si>
  <si>
    <t>INT02268</t>
  </si>
  <si>
    <t>INT02269</t>
  </si>
  <si>
    <t>CAN0240</t>
  </si>
  <si>
    <t>INT02270</t>
  </si>
  <si>
    <t>CAN0929</t>
  </si>
  <si>
    <t>INT02271</t>
  </si>
  <si>
    <t>INT02272</t>
  </si>
  <si>
    <t>CAN0273</t>
  </si>
  <si>
    <t>INT02273</t>
  </si>
  <si>
    <t>INT02274</t>
  </si>
  <si>
    <t>INT02275</t>
  </si>
  <si>
    <t>INT02276</t>
  </si>
  <si>
    <t>INT02277</t>
  </si>
  <si>
    <t>CAN0160</t>
  </si>
  <si>
    <t>INT02278</t>
  </si>
  <si>
    <t>CAN0896</t>
  </si>
  <si>
    <t>INT02279</t>
  </si>
  <si>
    <t>INT02280</t>
  </si>
  <si>
    <t>INT02281</t>
  </si>
  <si>
    <t>INT02282</t>
  </si>
  <si>
    <t>CAN1091</t>
  </si>
  <si>
    <t>INT02283</t>
  </si>
  <si>
    <t>INT02284</t>
  </si>
  <si>
    <t>CAN1014</t>
  </si>
  <si>
    <t>INT02285</t>
  </si>
  <si>
    <t>CAN0123</t>
  </si>
  <si>
    <t>INT02286</t>
  </si>
  <si>
    <t>CAN1094</t>
  </si>
  <si>
    <t>INT02287</t>
  </si>
  <si>
    <t>INT02288</t>
  </si>
  <si>
    <t>INT02289</t>
  </si>
  <si>
    <t>CAN0573</t>
  </si>
  <si>
    <t>INT02290</t>
  </si>
  <si>
    <t>CAN0481</t>
  </si>
  <si>
    <t>INT02291</t>
  </si>
  <si>
    <t>INT02292</t>
  </si>
  <si>
    <t>INT02293</t>
  </si>
  <si>
    <t>INT02294</t>
  </si>
  <si>
    <t>CAN1047</t>
  </si>
  <si>
    <t>INT02295</t>
  </si>
  <si>
    <t>INT02296</t>
  </si>
  <si>
    <t>INT02297</t>
  </si>
  <si>
    <t>INT02298</t>
  </si>
  <si>
    <t>CAN0870</t>
  </si>
  <si>
    <t>INT02299</t>
  </si>
  <si>
    <t>INT02300</t>
  </si>
  <si>
    <t>INT02301</t>
  </si>
  <si>
    <t>INT02302</t>
  </si>
  <si>
    <t>CAN0049</t>
  </si>
  <si>
    <t>INT02303</t>
  </si>
  <si>
    <t>INT02304</t>
  </si>
  <si>
    <t>INT02305</t>
  </si>
  <si>
    <t>CAN1026</t>
  </si>
  <si>
    <t>INT02306</t>
  </si>
  <si>
    <t>INT02307</t>
  </si>
  <si>
    <t>INT02308</t>
  </si>
  <si>
    <t>CAN0937</t>
  </si>
  <si>
    <t>INT02309</t>
  </si>
  <si>
    <t>INT02310</t>
  </si>
  <si>
    <t>INT02311</t>
  </si>
  <si>
    <t>INT02312</t>
  </si>
  <si>
    <t>INT02313</t>
  </si>
  <si>
    <t>INT02314</t>
  </si>
  <si>
    <t>CAN0182</t>
  </si>
  <si>
    <t>INT02315</t>
  </si>
  <si>
    <t>INT02316</t>
  </si>
  <si>
    <t>INT02317</t>
  </si>
  <si>
    <t>CAN0058</t>
  </si>
  <si>
    <t>INT02318</t>
  </si>
  <si>
    <t>INT02319</t>
  </si>
  <si>
    <t>INT02320</t>
  </si>
  <si>
    <t>INT02321</t>
  </si>
  <si>
    <t>INT02322</t>
  </si>
  <si>
    <t>CAN0517</t>
  </si>
  <si>
    <t>INT02323</t>
  </si>
  <si>
    <t>INT02324</t>
  </si>
  <si>
    <t>INT02325</t>
  </si>
  <si>
    <t>INT02326</t>
  </si>
  <si>
    <t>INT02327</t>
  </si>
  <si>
    <t>CAN0766</t>
  </si>
  <si>
    <t>INT02328</t>
  </si>
  <si>
    <t>CAN0270</t>
  </si>
  <si>
    <t>INT02329</t>
  </si>
  <si>
    <t>INT02330</t>
  </si>
  <si>
    <t>INT02331</t>
  </si>
  <si>
    <t>INT02332</t>
  </si>
  <si>
    <t>CAN0440</t>
  </si>
  <si>
    <t>INT02333</t>
  </si>
  <si>
    <t>INT02334</t>
  </si>
  <si>
    <t>INT02335</t>
  </si>
  <si>
    <t>CAN0779</t>
  </si>
  <si>
    <t>INT02336</t>
  </si>
  <si>
    <t>James Smith</t>
  </si>
  <si>
    <t>INT02337</t>
  </si>
  <si>
    <t>INT02338</t>
  </si>
  <si>
    <t>CAN1135</t>
  </si>
  <si>
    <t>INT02339</t>
  </si>
  <si>
    <t>CAN0730</t>
  </si>
  <si>
    <t>INT02340</t>
  </si>
  <si>
    <t>INT02341</t>
  </si>
  <si>
    <t>INT02342</t>
  </si>
  <si>
    <t>INT02343</t>
  </si>
  <si>
    <t>INT02344</t>
  </si>
  <si>
    <t>CAN0897</t>
  </si>
  <si>
    <t>INT02345</t>
  </si>
  <si>
    <t>INT02346</t>
  </si>
  <si>
    <t>INT02347</t>
  </si>
  <si>
    <t>INT02348</t>
  </si>
  <si>
    <t>INT02349</t>
  </si>
  <si>
    <t>INT02350</t>
  </si>
  <si>
    <t>INT02351</t>
  </si>
  <si>
    <t>INT02352</t>
  </si>
  <si>
    <t>INT02353</t>
  </si>
  <si>
    <t>INT02354</t>
  </si>
  <si>
    <t>INT02355</t>
  </si>
  <si>
    <t>INT02356</t>
  </si>
  <si>
    <t>CAN1199</t>
  </si>
  <si>
    <t>INT02357</t>
  </si>
  <si>
    <t>INT02358</t>
  </si>
  <si>
    <t>CAN0854</t>
  </si>
  <si>
    <t>INT02359</t>
  </si>
  <si>
    <t>INT02360</t>
  </si>
  <si>
    <t>INT02361</t>
  </si>
  <si>
    <t>CAN0354</t>
  </si>
  <si>
    <t>INT02362</t>
  </si>
  <si>
    <t>INT02363</t>
  </si>
  <si>
    <t>INT02364</t>
  </si>
  <si>
    <t>CAN0827</t>
  </si>
  <si>
    <t>INT02365</t>
  </si>
  <si>
    <t>INT02366</t>
  </si>
  <si>
    <t>INT02367</t>
  </si>
  <si>
    <t>INT02368</t>
  </si>
  <si>
    <t>INT02369</t>
  </si>
  <si>
    <t>INT02370</t>
  </si>
  <si>
    <t>CAN0526</t>
  </si>
  <si>
    <t>INT02371</t>
  </si>
  <si>
    <t>INT02372</t>
  </si>
  <si>
    <t>CAN0439</t>
  </si>
  <si>
    <t>INT02373</t>
  </si>
  <si>
    <t>CAN0589</t>
  </si>
  <si>
    <t>INT02374</t>
  </si>
  <si>
    <t>INT02375</t>
  </si>
  <si>
    <t>INT02376</t>
  </si>
  <si>
    <t>CAN0024</t>
  </si>
  <si>
    <t>INT02377</t>
  </si>
  <si>
    <t>INT02378</t>
  </si>
  <si>
    <t>CAN0309</t>
  </si>
  <si>
    <t>INT02379</t>
  </si>
  <si>
    <t>INT02380</t>
  </si>
  <si>
    <t>CAN1143</t>
  </si>
  <si>
    <t>INT02381</t>
  </si>
  <si>
    <t>INT02382</t>
  </si>
  <si>
    <t>INT02383</t>
  </si>
  <si>
    <t>INT02384</t>
  </si>
  <si>
    <t>CAN0442</t>
  </si>
  <si>
    <t>INT02385</t>
  </si>
  <si>
    <t>INT02386</t>
  </si>
  <si>
    <t>INT02387</t>
  </si>
  <si>
    <t>CAN0878</t>
  </si>
  <si>
    <t>INT02388</t>
  </si>
  <si>
    <t>INT02389</t>
  </si>
  <si>
    <t>INT02390</t>
  </si>
  <si>
    <t>INT02391</t>
  </si>
  <si>
    <t>INT02392</t>
  </si>
  <si>
    <t>INT02393</t>
  </si>
  <si>
    <t>INT02394</t>
  </si>
  <si>
    <t>INT02395</t>
  </si>
  <si>
    <t>CAN0461</t>
  </si>
  <si>
    <t>INT02396</t>
  </si>
  <si>
    <t>INT02397</t>
  </si>
  <si>
    <t>INT02398</t>
  </si>
  <si>
    <t>INT02399</t>
  </si>
  <si>
    <t>INT02400</t>
  </si>
  <si>
    <t>INT02401</t>
  </si>
  <si>
    <t>CAN0132</t>
  </si>
  <si>
    <t>INT02402</t>
  </si>
  <si>
    <t>INT02403</t>
  </si>
  <si>
    <t>INT02404</t>
  </si>
  <si>
    <t>INT02405</t>
  </si>
  <si>
    <t>CAN0295</t>
  </si>
  <si>
    <t>INT02406</t>
  </si>
  <si>
    <t>INT02407</t>
  </si>
  <si>
    <t>INT02408</t>
  </si>
  <si>
    <t>CAN0397</t>
  </si>
  <si>
    <t>INT02409</t>
  </si>
  <si>
    <t>CAN0620</t>
  </si>
  <si>
    <t>INT02410</t>
  </si>
  <si>
    <t>INT02411</t>
  </si>
  <si>
    <t>INT02412</t>
  </si>
  <si>
    <t>INT02413</t>
  </si>
  <si>
    <t>CAN0039</t>
  </si>
  <si>
    <t>INT02414</t>
  </si>
  <si>
    <t>INT02415</t>
  </si>
  <si>
    <t>INT02416</t>
  </si>
  <si>
    <t>INT02417</t>
  </si>
  <si>
    <t>INT02418</t>
  </si>
  <si>
    <t>INT02419</t>
  </si>
  <si>
    <t>INT02420</t>
  </si>
  <si>
    <t>INT02421</t>
  </si>
  <si>
    <t>CAN1061</t>
  </si>
  <si>
    <t>INT02422</t>
  </si>
  <si>
    <t>INT02423</t>
  </si>
  <si>
    <t>CAN0907</t>
  </si>
  <si>
    <t>INT02424</t>
  </si>
  <si>
    <t>INT02425</t>
  </si>
  <si>
    <t>CAN0911</t>
  </si>
  <si>
    <t>INT02426</t>
  </si>
  <si>
    <t>INT02427</t>
  </si>
  <si>
    <t>INT02428</t>
  </si>
  <si>
    <t>CAN0832</t>
  </si>
  <si>
    <t>INT02429</t>
  </si>
  <si>
    <t>INT02430</t>
  </si>
  <si>
    <t>CAN0782</t>
  </si>
  <si>
    <t>INT02431</t>
  </si>
  <si>
    <t>INT02432</t>
  </si>
  <si>
    <t>INT02433</t>
  </si>
  <si>
    <t>CAN0834</t>
  </si>
  <si>
    <t>INT02434</t>
  </si>
  <si>
    <t>INT02435</t>
  </si>
  <si>
    <t>CAN0021</t>
  </si>
  <si>
    <t>INT02436</t>
  </si>
  <si>
    <t>INT02437</t>
  </si>
  <si>
    <t>CAN0223</t>
  </si>
  <si>
    <t>INT02438</t>
  </si>
  <si>
    <t>INT02439</t>
  </si>
  <si>
    <t>INT02440</t>
  </si>
  <si>
    <t>CAN0518</t>
  </si>
  <si>
    <t>INT02441</t>
  </si>
  <si>
    <t>INT02442</t>
  </si>
  <si>
    <t>INT02443</t>
  </si>
  <si>
    <t>INT02444</t>
  </si>
  <si>
    <t>CAN1196</t>
  </si>
  <si>
    <t>INT02445</t>
  </si>
  <si>
    <t>INT02446</t>
  </si>
  <si>
    <t>INT02447</t>
  </si>
  <si>
    <t>INT02448</t>
  </si>
  <si>
    <t>INT02449</t>
  </si>
  <si>
    <t>INT02450</t>
  </si>
  <si>
    <t>CAN0673</t>
  </si>
  <si>
    <t>INT02451</t>
  </si>
  <si>
    <t>INT02452</t>
  </si>
  <si>
    <t>INT02453</t>
  </si>
  <si>
    <t>CAN0570</t>
  </si>
  <si>
    <t>INT02454</t>
  </si>
  <si>
    <t>INT02455</t>
  </si>
  <si>
    <t>CAN0776</t>
  </si>
  <si>
    <t>INT02456</t>
  </si>
  <si>
    <t>INT02457</t>
  </si>
  <si>
    <t>INT02458</t>
  </si>
  <si>
    <t>INT02459</t>
  </si>
  <si>
    <t>CAN0998</t>
  </si>
  <si>
    <t>INT02460</t>
  </si>
  <si>
    <t>CAN0722</t>
  </si>
  <si>
    <t>INT02461</t>
  </si>
  <si>
    <t>INT02462</t>
  </si>
  <si>
    <t>CAN0817</t>
  </si>
  <si>
    <t>INT02463</t>
  </si>
  <si>
    <t>INT02464</t>
  </si>
  <si>
    <t>INT02465</t>
  </si>
  <si>
    <t>INT02466</t>
  </si>
  <si>
    <t>CAN0168</t>
  </si>
  <si>
    <t>INT02467</t>
  </si>
  <si>
    <t>INT02468</t>
  </si>
  <si>
    <t>INT02469</t>
  </si>
  <si>
    <t>CAN0993</t>
  </si>
  <si>
    <t>INT02470</t>
  </si>
  <si>
    <t>CAN0706</t>
  </si>
  <si>
    <t>INT02471</t>
  </si>
  <si>
    <t>INT02472</t>
  </si>
  <si>
    <t>INT02473</t>
  </si>
  <si>
    <t>CAN0774</t>
  </si>
  <si>
    <t>INT02474</t>
  </si>
  <si>
    <t>CAN0304</t>
  </si>
  <si>
    <t>INT02475</t>
  </si>
  <si>
    <t>INT02476</t>
  </si>
  <si>
    <t>INT02477</t>
  </si>
  <si>
    <t>INT02478</t>
  </si>
  <si>
    <t>CAN0222</t>
  </si>
  <si>
    <t>INT02479</t>
  </si>
  <si>
    <t>INT02480</t>
  </si>
  <si>
    <t>INT02481</t>
  </si>
  <si>
    <t>INT02482</t>
  </si>
  <si>
    <t>INT02483</t>
  </si>
  <si>
    <t>INT02484</t>
  </si>
  <si>
    <t>CAN0735</t>
  </si>
  <si>
    <t>INT02485</t>
  </si>
  <si>
    <t>INT02486</t>
  </si>
  <si>
    <t>INT02487</t>
  </si>
  <si>
    <t>CAN0044</t>
  </si>
  <si>
    <t>INT02488</t>
  </si>
  <si>
    <t>INT02489</t>
  </si>
  <si>
    <t>CAN1098</t>
  </si>
  <si>
    <t>INT02490</t>
  </si>
  <si>
    <t>INT02491</t>
  </si>
  <si>
    <t>CAN0970</t>
  </si>
  <si>
    <t>INT02492</t>
  </si>
  <si>
    <t>INT02493</t>
  </si>
  <si>
    <t>CAN0175</t>
  </si>
  <si>
    <t>INT02494</t>
  </si>
  <si>
    <t>INT02495</t>
  </si>
  <si>
    <t>INT02496</t>
  </si>
  <si>
    <t>INT02497</t>
  </si>
  <si>
    <t>CAN0811</t>
  </si>
  <si>
    <t>INT02498</t>
  </si>
  <si>
    <t>INT02499</t>
  </si>
  <si>
    <t>INT02500</t>
  </si>
  <si>
    <t>INT02501</t>
  </si>
  <si>
    <t>CAN0995</t>
  </si>
  <si>
    <t>INT02502</t>
  </si>
  <si>
    <t>CAN0098</t>
  </si>
  <si>
    <t>INT02503</t>
  </si>
  <si>
    <t>INT02504</t>
  </si>
  <si>
    <t>CAN1134</t>
  </si>
  <si>
    <t>INT02505</t>
  </si>
  <si>
    <t>INT02506</t>
  </si>
  <si>
    <t>CAN0596</t>
  </si>
  <si>
    <t>INT02507</t>
  </si>
  <si>
    <t>INT02508</t>
  </si>
  <si>
    <t>INT02509</t>
  </si>
  <si>
    <t>CAN0362</t>
  </si>
  <si>
    <t>INT02510</t>
  </si>
  <si>
    <t>INT02511</t>
  </si>
  <si>
    <t>INT02512</t>
  </si>
  <si>
    <t>INT02513</t>
  </si>
  <si>
    <t>CAN0350</t>
  </si>
  <si>
    <t>INT02514</t>
  </si>
  <si>
    <t>CAN1122</t>
  </si>
  <si>
    <t>INT02515</t>
  </si>
  <si>
    <t>INT02516</t>
  </si>
  <si>
    <t>CAN1164</t>
  </si>
  <si>
    <t>INT02517</t>
  </si>
  <si>
    <t>INT02518</t>
  </si>
  <si>
    <t>CAN0444</t>
  </si>
  <si>
    <t>INT02519</t>
  </si>
  <si>
    <t>INT02520</t>
  </si>
  <si>
    <t>CAN0374</t>
  </si>
  <si>
    <t>INT02521</t>
  </si>
  <si>
    <t>INT02522</t>
  </si>
  <si>
    <t>INT02523</t>
  </si>
  <si>
    <t>CAN0269</t>
  </si>
  <si>
    <t>INT02524</t>
  </si>
  <si>
    <t>INT02525</t>
  </si>
  <si>
    <t>INT02526</t>
  </si>
  <si>
    <t>CAN0853</t>
  </si>
  <si>
    <t>INT02527</t>
  </si>
  <si>
    <t>INT02528</t>
  </si>
  <si>
    <t>INT02529</t>
  </si>
  <si>
    <t>INT02530</t>
  </si>
  <si>
    <t>INT02531</t>
  </si>
  <si>
    <t>INT02532</t>
  </si>
  <si>
    <t>CAN0939</t>
  </si>
  <si>
    <t>INT02533</t>
  </si>
  <si>
    <t>INT02534</t>
  </si>
  <si>
    <t>INT02535</t>
  </si>
  <si>
    <t>CAN0531</t>
  </si>
  <si>
    <t>INT02536</t>
  </si>
  <si>
    <t>INT02537</t>
  </si>
  <si>
    <t>Role</t>
  </si>
  <si>
    <t>Hiring_Manager</t>
  </si>
  <si>
    <t>Recruiter_ID</t>
  </si>
  <si>
    <t>Positions_Open</t>
  </si>
  <si>
    <t>Priority</t>
  </si>
  <si>
    <t>Location</t>
  </si>
  <si>
    <t>Posted_Date</t>
  </si>
  <si>
    <t>Sophia Fuentes</t>
  </si>
  <si>
    <t>REC015</t>
  </si>
  <si>
    <t>Low</t>
  </si>
  <si>
    <t>Chennai, Tamil Nadu</t>
  </si>
  <si>
    <t>Open</t>
  </si>
  <si>
    <t>Amy Lam</t>
  </si>
  <si>
    <t>REC005</t>
  </si>
  <si>
    <t>Medium</t>
  </si>
  <si>
    <t>Gurugram, Haryana</t>
  </si>
  <si>
    <t>Closed</t>
  </si>
  <si>
    <t>Gregory Diaz</t>
  </si>
  <si>
    <t>REC010</t>
  </si>
  <si>
    <t>Keith Benton</t>
  </si>
  <si>
    <t>High</t>
  </si>
  <si>
    <t>Ahmedabad, Gujarat</t>
  </si>
  <si>
    <t>John Miller</t>
  </si>
  <si>
    <t>REC009</t>
  </si>
  <si>
    <t>Chandigarh, Chandigarh</t>
  </si>
  <si>
    <t>Shelly Yates</t>
  </si>
  <si>
    <t>Delhi, Delhi</t>
  </si>
  <si>
    <t>Aaron Barnes</t>
  </si>
  <si>
    <t>Jaipur, Rajasthan</t>
  </si>
  <si>
    <t>REC008</t>
  </si>
  <si>
    <t>Noida, Uttar Pradesh</t>
  </si>
  <si>
    <t>On Hold</t>
  </si>
  <si>
    <t>Kaylee Williamson</t>
  </si>
  <si>
    <t>REC004</t>
  </si>
  <si>
    <t>Pune, Maharashtra</t>
  </si>
  <si>
    <t>Theresa Wells</t>
  </si>
  <si>
    <t>Kochi, Kerala</t>
  </si>
  <si>
    <t>John Williams</t>
  </si>
  <si>
    <t>REC006</t>
  </si>
  <si>
    <t>Hyderabad, Telangana</t>
  </si>
  <si>
    <t>Grant Baker</t>
  </si>
  <si>
    <t>REC001</t>
  </si>
  <si>
    <t>Emily Dominguez</t>
  </si>
  <si>
    <t>REC014</t>
  </si>
  <si>
    <t>James Barnett</t>
  </si>
  <si>
    <t>Donna Baird</t>
  </si>
  <si>
    <t>Joel Jackson</t>
  </si>
  <si>
    <t>James Garcia</t>
  </si>
  <si>
    <t>Lauren Bryant</t>
  </si>
  <si>
    <t>Indore, Madhya Pradesh</t>
  </si>
  <si>
    <t>Amy Jones</t>
  </si>
  <si>
    <t>REC013</t>
  </si>
  <si>
    <t>Kelly Golden</t>
  </si>
  <si>
    <t>Jason Sherman</t>
  </si>
  <si>
    <t>Pamela Berry</t>
  </si>
  <si>
    <t>Kolkata, West Bengal</t>
  </si>
  <si>
    <t>David Myers</t>
  </si>
  <si>
    <t>Angela Cole</t>
  </si>
  <si>
    <t>REC007</t>
  </si>
  <si>
    <t>Samuel Kaiser</t>
  </si>
  <si>
    <t>REC003</t>
  </si>
  <si>
    <t>Mumbai, Maharashtra</t>
  </si>
  <si>
    <t>Bengaluru, Karnataka</t>
  </si>
  <si>
    <t>Lisa Hernandez</t>
  </si>
  <si>
    <t>REC002</t>
  </si>
  <si>
    <t>Jack Johnson</t>
  </si>
  <si>
    <t>REC011</t>
  </si>
  <si>
    <t>Anthony Tate</t>
  </si>
  <si>
    <t>Operations Manager</t>
  </si>
  <si>
    <t>Offer_ID</t>
  </si>
  <si>
    <t>Offer_Date</t>
  </si>
  <si>
    <t>Offered_CTC</t>
  </si>
  <si>
    <t>Candidate_Response</t>
  </si>
  <si>
    <t>Joining_Date</t>
  </si>
  <si>
    <t>Offer_Status</t>
  </si>
  <si>
    <t>OFF0002</t>
  </si>
  <si>
    <t>Accepted</t>
  </si>
  <si>
    <t>Offer Accepted</t>
  </si>
  <si>
    <t>OFF0003</t>
  </si>
  <si>
    <t>OFF0004</t>
  </si>
  <si>
    <t>OFF0005</t>
  </si>
  <si>
    <t>OFF0006</t>
  </si>
  <si>
    <t>OFF0007</t>
  </si>
  <si>
    <t>OFF0008</t>
  </si>
  <si>
    <t>OFF0011</t>
  </si>
  <si>
    <t>OFF0012</t>
  </si>
  <si>
    <t>OFF0013</t>
  </si>
  <si>
    <t>OFF0014</t>
  </si>
  <si>
    <t>OFF0015</t>
  </si>
  <si>
    <t>OFF0016</t>
  </si>
  <si>
    <t>OFF0019</t>
  </si>
  <si>
    <t>OFF0020</t>
  </si>
  <si>
    <t>OFF0022</t>
  </si>
  <si>
    <t>OFF0023</t>
  </si>
  <si>
    <t>OFF0024</t>
  </si>
  <si>
    <t>OFF0025</t>
  </si>
  <si>
    <t>OFF0026</t>
  </si>
  <si>
    <t>OFF0027</t>
  </si>
  <si>
    <t>OFF0030</t>
  </si>
  <si>
    <t>OFF0031</t>
  </si>
  <si>
    <t>OFF0032</t>
  </si>
  <si>
    <t>OFF0033</t>
  </si>
  <si>
    <t>OFF0034</t>
  </si>
  <si>
    <t>OFF0035</t>
  </si>
  <si>
    <t>OFF0037</t>
  </si>
  <si>
    <t>OFF0038</t>
  </si>
  <si>
    <t>OFF0039</t>
  </si>
  <si>
    <t>OFF0040</t>
  </si>
  <si>
    <t>OFF0041</t>
  </si>
  <si>
    <t>OFF0042</t>
  </si>
  <si>
    <t>OFF0043</t>
  </si>
  <si>
    <t>OFF0044</t>
  </si>
  <si>
    <t>OFF0046</t>
  </si>
  <si>
    <t>OFF0047</t>
  </si>
  <si>
    <t>OFF0048</t>
  </si>
  <si>
    <t>OFF0049</t>
  </si>
  <si>
    <t>OFF0050</t>
  </si>
  <si>
    <t>OFF0051</t>
  </si>
  <si>
    <t>OFF0052</t>
  </si>
  <si>
    <t>OFF0053</t>
  </si>
  <si>
    <t>OFF0054</t>
  </si>
  <si>
    <t>OFF0055</t>
  </si>
  <si>
    <t>OFF0056</t>
  </si>
  <si>
    <t>OFF0057</t>
  </si>
  <si>
    <t>OFF0059</t>
  </si>
  <si>
    <t>OFF0060</t>
  </si>
  <si>
    <t>OFF0063</t>
  </si>
  <si>
    <t>OFF0064</t>
  </si>
  <si>
    <t>OFF0065</t>
  </si>
  <si>
    <t>OFF0067</t>
  </si>
  <si>
    <t>OFF0068</t>
  </si>
  <si>
    <t>OFF0069</t>
  </si>
  <si>
    <t>OFF0070</t>
  </si>
  <si>
    <t>OFF0071</t>
  </si>
  <si>
    <t>OFF0072</t>
  </si>
  <si>
    <t>OFF0073</t>
  </si>
  <si>
    <t>OFF0074</t>
  </si>
  <si>
    <t>OFF0075</t>
  </si>
  <si>
    <t>OFF0076</t>
  </si>
  <si>
    <t>OFF0077</t>
  </si>
  <si>
    <t>OFF0078</t>
  </si>
  <si>
    <t>OFF0080</t>
  </si>
  <si>
    <t>OFF0081</t>
  </si>
  <si>
    <t>OFF0082</t>
  </si>
  <si>
    <t>OFF0084</t>
  </si>
  <si>
    <t>OFF0085</t>
  </si>
  <si>
    <t>OFF0087</t>
  </si>
  <si>
    <t>OFF0089</t>
  </si>
  <si>
    <t>OFF0090</t>
  </si>
  <si>
    <t>OFF0091</t>
  </si>
  <si>
    <t>OFF0093</t>
  </si>
  <si>
    <t>OFF0094</t>
  </si>
  <si>
    <t>OFF0095</t>
  </si>
  <si>
    <t>OFF0096</t>
  </si>
  <si>
    <t>OFF0097</t>
  </si>
  <si>
    <t>OFF0098</t>
  </si>
  <si>
    <t>OFF0100</t>
  </si>
  <si>
    <t>OFF0102</t>
  </si>
  <si>
    <t>OFF0103</t>
  </si>
  <si>
    <t>OFF0107</t>
  </si>
  <si>
    <t>OFF0108</t>
  </si>
  <si>
    <t>OFF0111</t>
  </si>
  <si>
    <t>OFF0113</t>
  </si>
  <si>
    <t>OFF0114</t>
  </si>
  <si>
    <t>OFF0115</t>
  </si>
  <si>
    <t>OFF0116</t>
  </si>
  <si>
    <t>OFF0117</t>
  </si>
  <si>
    <t>OFF0118</t>
  </si>
  <si>
    <t>OFF0119</t>
  </si>
  <si>
    <t>OFF0120</t>
  </si>
  <si>
    <t>OFF0121</t>
  </si>
  <si>
    <t>OFF0122</t>
  </si>
  <si>
    <t>OFF0123</t>
  </si>
  <si>
    <t>OFF0124</t>
  </si>
  <si>
    <t>OFF0126</t>
  </si>
  <si>
    <t>OFF0127</t>
  </si>
  <si>
    <t>OFF0131</t>
  </si>
  <si>
    <t>OFF0132</t>
  </si>
  <si>
    <t>OFF0134</t>
  </si>
  <si>
    <t>OFF0135</t>
  </si>
  <si>
    <t>OFF0137</t>
  </si>
  <si>
    <t>OFF0138</t>
  </si>
  <si>
    <t>OFF0139</t>
  </si>
  <si>
    <t>OFF0140</t>
  </si>
  <si>
    <t>OFF0143</t>
  </si>
  <si>
    <t>OFF0144</t>
  </si>
  <si>
    <t>OFF0146</t>
  </si>
  <si>
    <t>OFF0147</t>
  </si>
  <si>
    <t>OFF0148</t>
  </si>
  <si>
    <t>OFF0150</t>
  </si>
  <si>
    <t>OFF0151</t>
  </si>
  <si>
    <t>OFF0152</t>
  </si>
  <si>
    <t>OFF0153</t>
  </si>
  <si>
    <t>OFF0154</t>
  </si>
  <si>
    <t>OFF0155</t>
  </si>
  <si>
    <t>OFF0157</t>
  </si>
  <si>
    <t>OFF0159</t>
  </si>
  <si>
    <t>OFF0160</t>
  </si>
  <si>
    <t>OFF0161</t>
  </si>
  <si>
    <t>OFF0162</t>
  </si>
  <si>
    <t>OFF0164</t>
  </si>
  <si>
    <t>OFF0165</t>
  </si>
  <si>
    <t>OFF0166</t>
  </si>
  <si>
    <t>OFF0167</t>
  </si>
  <si>
    <t>OFF0168</t>
  </si>
  <si>
    <t>OFF0169</t>
  </si>
  <si>
    <t>OFF0171</t>
  </si>
  <si>
    <t>OFF0172</t>
  </si>
  <si>
    <t>OFF0173</t>
  </si>
  <si>
    <t>OFF0175</t>
  </si>
  <si>
    <t>OFF0177</t>
  </si>
  <si>
    <t>OFF0178</t>
  </si>
  <si>
    <t>OFF0179</t>
  </si>
  <si>
    <t>OFF0180</t>
  </si>
  <si>
    <t>OFF0181</t>
  </si>
  <si>
    <t>OFF0182</t>
  </si>
  <si>
    <t>OFF0183</t>
  </si>
  <si>
    <t>OFF0185</t>
  </si>
  <si>
    <t>OFF0186</t>
  </si>
  <si>
    <t>OFF0188</t>
  </si>
  <si>
    <t>OFF0189</t>
  </si>
  <si>
    <t>OFF0190</t>
  </si>
  <si>
    <t>OFF0191</t>
  </si>
  <si>
    <t>OFF0194</t>
  </si>
  <si>
    <t>OFF0195</t>
  </si>
  <si>
    <t>OFF0197</t>
  </si>
  <si>
    <t>OFF0199</t>
  </si>
  <si>
    <t>OFF0200</t>
  </si>
  <si>
    <t>OFF0201</t>
  </si>
  <si>
    <t>OFF0203</t>
  </si>
  <si>
    <t>OFF0204</t>
  </si>
  <si>
    <t>OFF0205</t>
  </si>
  <si>
    <t>OFF0206</t>
  </si>
  <si>
    <t>OFF0207</t>
  </si>
  <si>
    <t>OFF0208</t>
  </si>
  <si>
    <t>OFF0209</t>
  </si>
  <si>
    <t>OFF0210</t>
  </si>
  <si>
    <t>OFF0211</t>
  </si>
  <si>
    <t>OFF0212</t>
  </si>
  <si>
    <t>OFF0213</t>
  </si>
  <si>
    <t>OFF0214</t>
  </si>
  <si>
    <t>OFF0216</t>
  </si>
  <si>
    <t>OFF0218</t>
  </si>
  <si>
    <t>OFF0219</t>
  </si>
  <si>
    <t>OFF0220</t>
  </si>
  <si>
    <t>OFF0221</t>
  </si>
  <si>
    <t>OFF0222</t>
  </si>
  <si>
    <t>OFF0225</t>
  </si>
  <si>
    <t>OFF0226</t>
  </si>
  <si>
    <t>OFF0227</t>
  </si>
  <si>
    <t>OFF0228</t>
  </si>
  <si>
    <t>OFF0230</t>
  </si>
  <si>
    <t>OFF0232</t>
  </si>
  <si>
    <t>OFF0233</t>
  </si>
  <si>
    <t>OFF0234</t>
  </si>
  <si>
    <t>OFF0235</t>
  </si>
  <si>
    <t>OFF0237</t>
  </si>
  <si>
    <t>OFF0238</t>
  </si>
  <si>
    <t>OFF0239</t>
  </si>
  <si>
    <t>OFF0240</t>
  </si>
  <si>
    <t>OFF0241</t>
  </si>
  <si>
    <t>OFF0242</t>
  </si>
  <si>
    <t>OFF0243</t>
  </si>
  <si>
    <t>OFF0244</t>
  </si>
  <si>
    <t>OFF0245</t>
  </si>
  <si>
    <t>OFF0246</t>
  </si>
  <si>
    <t>OFF0247</t>
  </si>
  <si>
    <t>OFF0250</t>
  </si>
  <si>
    <t>OFF0251</t>
  </si>
  <si>
    <t>OFF0252</t>
  </si>
  <si>
    <t>OFF0253</t>
  </si>
  <si>
    <t>OFF0254</t>
  </si>
  <si>
    <t>OFF0255</t>
  </si>
  <si>
    <t>OFF0257</t>
  </si>
  <si>
    <t>OFF0258</t>
  </si>
  <si>
    <t>OFF0260</t>
  </si>
  <si>
    <t>OFF0261</t>
  </si>
  <si>
    <t>OFF0262</t>
  </si>
  <si>
    <t>OFF0263</t>
  </si>
  <si>
    <t>OFF0265</t>
  </si>
  <si>
    <t>OFF0266</t>
  </si>
  <si>
    <t>OFF0267</t>
  </si>
  <si>
    <t>OFF0269</t>
  </si>
  <si>
    <t>OFF0270</t>
  </si>
  <si>
    <t>OFF0272</t>
  </si>
  <si>
    <t>OFF0273</t>
  </si>
  <si>
    <t>OFF0274</t>
  </si>
  <si>
    <t>OFF0275</t>
  </si>
  <si>
    <t>OFF0276</t>
  </si>
  <si>
    <t>OFF0277</t>
  </si>
  <si>
    <t>OFF0279</t>
  </si>
  <si>
    <t>OFF0280</t>
  </si>
  <si>
    <t>OFF0281</t>
  </si>
  <si>
    <t>OFF0282</t>
  </si>
  <si>
    <t>OFF0283</t>
  </si>
  <si>
    <t>OFF0285</t>
  </si>
  <si>
    <t>OFF0286</t>
  </si>
  <si>
    <t>OFF0287</t>
  </si>
  <si>
    <t>OFF0288</t>
  </si>
  <si>
    <t>OFF0290</t>
  </si>
  <si>
    <t>OFF0292</t>
  </si>
  <si>
    <t>OFF0296</t>
  </si>
  <si>
    <t>OFF0297</t>
  </si>
  <si>
    <t>OFF0299</t>
  </si>
  <si>
    <t>OFF0300</t>
  </si>
  <si>
    <t>OFF0301</t>
  </si>
  <si>
    <t>OFF0302</t>
  </si>
  <si>
    <t>OFF0304</t>
  </si>
  <si>
    <t>Monthly_Target</t>
  </si>
  <si>
    <t>Annual_Target</t>
  </si>
  <si>
    <t>Date</t>
  </si>
  <si>
    <t>Month</t>
  </si>
  <si>
    <t>Quarter</t>
  </si>
  <si>
    <t>Year</t>
  </si>
  <si>
    <t>Month_Name</t>
  </si>
  <si>
    <t>Week_Number</t>
  </si>
  <si>
    <t>Q1</t>
  </si>
  <si>
    <t>January</t>
  </si>
  <si>
    <t>February</t>
  </si>
  <si>
    <t>March</t>
  </si>
  <si>
    <t>Q2</t>
  </si>
  <si>
    <t>April</t>
  </si>
  <si>
    <t>May</t>
  </si>
  <si>
    <t>June</t>
  </si>
  <si>
    <t>Q3</t>
  </si>
  <si>
    <t>July</t>
  </si>
  <si>
    <t>August</t>
  </si>
  <si>
    <t>September</t>
  </si>
  <si>
    <t>Q4</t>
  </si>
  <si>
    <t>October</t>
  </si>
  <si>
    <t>November</t>
  </si>
  <si>
    <t>December</t>
  </si>
  <si>
    <t>First_Name</t>
  </si>
  <si>
    <t>Last_Name</t>
  </si>
  <si>
    <t>Gender</t>
  </si>
  <si>
    <t>Age</t>
  </si>
  <si>
    <t>Email</t>
  </si>
  <si>
    <t>Phone</t>
  </si>
  <si>
    <t>City</t>
  </si>
  <si>
    <t>State</t>
  </si>
  <si>
    <t>Highest_Education</t>
  </si>
  <si>
    <t>Experience_Years</t>
  </si>
  <si>
    <t>Current_CTC</t>
  </si>
  <si>
    <t>Expected_CTC</t>
  </si>
  <si>
    <t>Notice_Period</t>
  </si>
  <si>
    <t>Source</t>
  </si>
  <si>
    <t>Applied_Date</t>
  </si>
  <si>
    <t>Albert</t>
  </si>
  <si>
    <t>King</t>
  </si>
  <si>
    <t>Female</t>
  </si>
  <si>
    <t>albert.king71@gmail.com</t>
  </si>
  <si>
    <t>Hyderabad</t>
  </si>
  <si>
    <t>Telangana</t>
  </si>
  <si>
    <t>B.Tech</t>
  </si>
  <si>
    <t>15 Days</t>
  </si>
  <si>
    <t>LinkedIn</t>
  </si>
  <si>
    <t>William</t>
  </si>
  <si>
    <t>Mayer</t>
  </si>
  <si>
    <t>Male</t>
  </si>
  <si>
    <t>william.mayer61@gmail.com</t>
  </si>
  <si>
    <t>Kolkata</t>
  </si>
  <si>
    <t>West Bengal</t>
  </si>
  <si>
    <t>M.Tech</t>
  </si>
  <si>
    <t>60 Days</t>
  </si>
  <si>
    <t>Nathan</t>
  </si>
  <si>
    <t>Beard</t>
  </si>
  <si>
    <t>nathan.beard76@gmail.com</t>
  </si>
  <si>
    <t>Noida</t>
  </si>
  <si>
    <t>Uttar Pradesh</t>
  </si>
  <si>
    <t>Referral</t>
  </si>
  <si>
    <t>Andrea</t>
  </si>
  <si>
    <t>Roy</t>
  </si>
  <si>
    <t>andrea.roy20@gmail.com</t>
  </si>
  <si>
    <t>Indore</t>
  </si>
  <si>
    <t>Madhya Pradesh</t>
  </si>
  <si>
    <t>MBA</t>
  </si>
  <si>
    <t>30 Days</t>
  </si>
  <si>
    <t>Naukri</t>
  </si>
  <si>
    <t>Jose</t>
  </si>
  <si>
    <t>Daniels</t>
  </si>
  <si>
    <t>jose.daniels93@gmail.com</t>
  </si>
  <si>
    <t>Pune</t>
  </si>
  <si>
    <t>Maharashtra</t>
  </si>
  <si>
    <t>CAN0006</t>
  </si>
  <si>
    <t>Brown</t>
  </si>
  <si>
    <t>william.brown65@gmail.com</t>
  </si>
  <si>
    <t>Indeed</t>
  </si>
  <si>
    <t>Rebecca</t>
  </si>
  <si>
    <t>Reed</t>
  </si>
  <si>
    <t>rebecca.reed92@gmail.com</t>
  </si>
  <si>
    <t>Jaipur</t>
  </si>
  <si>
    <t>Rajasthan</t>
  </si>
  <si>
    <t>Immediate</t>
  </si>
  <si>
    <t>Robert</t>
  </si>
  <si>
    <t>Bailey</t>
  </si>
  <si>
    <t>robert.bailey58@gmail.com</t>
  </si>
  <si>
    <t>Bengaluru</t>
  </si>
  <si>
    <t>Karnataka</t>
  </si>
  <si>
    <t>Stacey</t>
  </si>
  <si>
    <t>Gardner</t>
  </si>
  <si>
    <t>stacey.gardner9@gmail.com</t>
  </si>
  <si>
    <t>BBA</t>
  </si>
  <si>
    <t>Amy</t>
  </si>
  <si>
    <t>Holmes</t>
  </si>
  <si>
    <t>amy.holmes10@gmail.com</t>
  </si>
  <si>
    <t>Walk-In</t>
  </si>
  <si>
    <t>Karl</t>
  </si>
  <si>
    <t>Crawford</t>
  </si>
  <si>
    <t>karl.crawford10@gmail.com</t>
  </si>
  <si>
    <t>Katherine</t>
  </si>
  <si>
    <t>Gibbs</t>
  </si>
  <si>
    <t>katherine.gibbs43@gmail.com</t>
  </si>
  <si>
    <t>Craig</t>
  </si>
  <si>
    <t>Turner</t>
  </si>
  <si>
    <t>craig.turner87@gmail.com</t>
  </si>
  <si>
    <t>Stephanie</t>
  </si>
  <si>
    <t>Paul</t>
  </si>
  <si>
    <t>stephanie.paul16@gmail.com</t>
  </si>
  <si>
    <t>B.Sc</t>
  </si>
  <si>
    <t>Betty</t>
  </si>
  <si>
    <t>Smith</t>
  </si>
  <si>
    <t>betty.smith58@gmail.com</t>
  </si>
  <si>
    <t>Matthew</t>
  </si>
  <si>
    <t>Roth</t>
  </si>
  <si>
    <t>matthew.roth34@gmail.com</t>
  </si>
  <si>
    <t>Kevin</t>
  </si>
  <si>
    <t>Lopez</t>
  </si>
  <si>
    <t>kevin.lopez63@gmail.com</t>
  </si>
  <si>
    <t>Mindy</t>
  </si>
  <si>
    <t>Holland</t>
  </si>
  <si>
    <t>mindy.holland49@gmail.com</t>
  </si>
  <si>
    <t>Mumbai</t>
  </si>
  <si>
    <t>M.Sc</t>
  </si>
  <si>
    <t>Brittany</t>
  </si>
  <si>
    <t>Cooper</t>
  </si>
  <si>
    <t>brittany.cooper26@gmail.com</t>
  </si>
  <si>
    <t>MCA</t>
  </si>
  <si>
    <t>Mark</t>
  </si>
  <si>
    <t>Savage</t>
  </si>
  <si>
    <t>mark.savage55@gmail.com</t>
  </si>
  <si>
    <t>Chennai</t>
  </si>
  <si>
    <t>Tamil Nadu</t>
  </si>
  <si>
    <t>Campus Hiring</t>
  </si>
  <si>
    <t>Richard</t>
  </si>
  <si>
    <t>Arias</t>
  </si>
  <si>
    <t>richard.arias32@gmail.com</t>
  </si>
  <si>
    <t>Ryan</t>
  </si>
  <si>
    <t>Thomas</t>
  </si>
  <si>
    <t>ryan.thomas81@gmail.com</t>
  </si>
  <si>
    <t>Kramer</t>
  </si>
  <si>
    <t>william.kramer97@gmail.com</t>
  </si>
  <si>
    <t>Mr.</t>
  </si>
  <si>
    <t>mr..thomas44@gmail.com</t>
  </si>
  <si>
    <t>Patricia</t>
  </si>
  <si>
    <t>Brennan</t>
  </si>
  <si>
    <t>patricia.brennan72@gmail.com</t>
  </si>
  <si>
    <t>Charles</t>
  </si>
  <si>
    <t>Fischer</t>
  </si>
  <si>
    <t>charles.fischer58@gmail.com</t>
  </si>
  <si>
    <t>Chandigarh</t>
  </si>
  <si>
    <t>Lauren</t>
  </si>
  <si>
    <t>lauren.bailey41@gmail.com</t>
  </si>
  <si>
    <t>Gurugram</t>
  </si>
  <si>
    <t>Haryana</t>
  </si>
  <si>
    <t>CAN0028</t>
  </si>
  <si>
    <t>Jamie</t>
  </si>
  <si>
    <t>Jones</t>
  </si>
  <si>
    <t>jamie.jones96@gmail.com</t>
  </si>
  <si>
    <t>B.Com</t>
  </si>
  <si>
    <t>Fletcher</t>
  </si>
  <si>
    <t>mark.fletcher65@gmail.com</t>
  </si>
  <si>
    <t>Company Website</t>
  </si>
  <si>
    <t>MD</t>
  </si>
  <si>
    <t>robert.md58@gmail.com</t>
  </si>
  <si>
    <t>Isaac</t>
  </si>
  <si>
    <t>Mcdonald</t>
  </si>
  <si>
    <t>isaac.mcdonald61@gmail.com</t>
  </si>
  <si>
    <t>Delhi</t>
  </si>
  <si>
    <t>Wallace</t>
  </si>
  <si>
    <t>matthew.wallace32@gmail.com</t>
  </si>
  <si>
    <t>90 Days</t>
  </si>
  <si>
    <t>Nicole</t>
  </si>
  <si>
    <t>Mason</t>
  </si>
  <si>
    <t>nicole.mason98@gmail.com</t>
  </si>
  <si>
    <t>Cody</t>
  </si>
  <si>
    <t>cody.smith39@gmail.com</t>
  </si>
  <si>
    <t>Chad</t>
  </si>
  <si>
    <t>Vargas</t>
  </si>
  <si>
    <t>chad.vargas75@gmail.com</t>
  </si>
  <si>
    <t>Kerry</t>
  </si>
  <si>
    <t>Cook</t>
  </si>
  <si>
    <t>kerry.cook41@gmail.com</t>
  </si>
  <si>
    <t>Kochi</t>
  </si>
  <si>
    <t>Kerala</t>
  </si>
  <si>
    <t>Eric</t>
  </si>
  <si>
    <t>Blair</t>
  </si>
  <si>
    <t>eric.blair40@gmail.com</t>
  </si>
  <si>
    <t>Darlene</t>
  </si>
  <si>
    <t>Roberson</t>
  </si>
  <si>
    <t>darlene.roberson48@gmail.com</t>
  </si>
  <si>
    <t>Adam</t>
  </si>
  <si>
    <t>Townsend</t>
  </si>
  <si>
    <t>adam.townsend38@gmail.com</t>
  </si>
  <si>
    <t>Claire</t>
  </si>
  <si>
    <t>claire.beard29@gmail.com</t>
  </si>
  <si>
    <t>Cox</t>
  </si>
  <si>
    <t>kevin.cox86@gmail.com</t>
  </si>
  <si>
    <t>Ahmedabad</t>
  </si>
  <si>
    <t>Gujarat</t>
  </si>
  <si>
    <t>Laura</t>
  </si>
  <si>
    <t>Graves</t>
  </si>
  <si>
    <t>laura.graves91@gmail.com</t>
  </si>
  <si>
    <t>James</t>
  </si>
  <si>
    <t>james.brown43@gmail.com</t>
  </si>
  <si>
    <t>Kimberly</t>
  </si>
  <si>
    <t>Wright</t>
  </si>
  <si>
    <t>kimberly.wright43@gmail.com</t>
  </si>
  <si>
    <t>Sharon</t>
  </si>
  <si>
    <t>Williams</t>
  </si>
  <si>
    <t>sharon.williams98@gmail.com</t>
  </si>
  <si>
    <t>Jessica</t>
  </si>
  <si>
    <t>Andrade</t>
  </si>
  <si>
    <t>jessica.andrade26@gmail.com</t>
  </si>
  <si>
    <t>Joseph</t>
  </si>
  <si>
    <t>Gordon</t>
  </si>
  <si>
    <t>joseph.gordon32@gmail.com</t>
  </si>
  <si>
    <t>Max</t>
  </si>
  <si>
    <t>Rivera</t>
  </si>
  <si>
    <t>max.rivera96@gmail.com</t>
  </si>
  <si>
    <t>Tara</t>
  </si>
  <si>
    <t>tara.rivera92@gmail.com</t>
  </si>
  <si>
    <t>Franklin</t>
  </si>
  <si>
    <t>thomas.franklin9@gmail.com</t>
  </si>
  <si>
    <t>Jodi</t>
  </si>
  <si>
    <t>jodi.brown56@gmail.com</t>
  </si>
  <si>
    <t>CAN0052</t>
  </si>
  <si>
    <t>Krystal</t>
  </si>
  <si>
    <t>Sanders</t>
  </si>
  <si>
    <t>krystal.sanders99@gmail.com</t>
  </si>
  <si>
    <t>mark.cook26@gmail.com</t>
  </si>
  <si>
    <t>Martin</t>
  </si>
  <si>
    <t>Carey</t>
  </si>
  <si>
    <t>martin.carey55@gmail.com</t>
  </si>
  <si>
    <t>Patrick</t>
  </si>
  <si>
    <t>White</t>
  </si>
  <si>
    <t>patrick.white23@gmail.com</t>
  </si>
  <si>
    <t>laura.md38@gmail.com</t>
  </si>
  <si>
    <t>Baker</t>
  </si>
  <si>
    <t>brittany.baker31@gmail.com</t>
  </si>
  <si>
    <t>Daniel</t>
  </si>
  <si>
    <t>daniel.baker30@gmail.com</t>
  </si>
  <si>
    <t>Christopher</t>
  </si>
  <si>
    <t>David</t>
  </si>
  <si>
    <t>christopher.david48@gmail.com</t>
  </si>
  <si>
    <t>Megan</t>
  </si>
  <si>
    <t>Gutierrez</t>
  </si>
  <si>
    <t>megan.gutierrez10@gmail.com</t>
  </si>
  <si>
    <t>Henry</t>
  </si>
  <si>
    <t>april.henry77@gmail.com</t>
  </si>
  <si>
    <t>Justin</t>
  </si>
  <si>
    <t>Harding</t>
  </si>
  <si>
    <t>justin.harding94@gmail.com</t>
  </si>
  <si>
    <t>Sullivan</t>
  </si>
  <si>
    <t>robert.sullivan10@gmail.com</t>
  </si>
  <si>
    <t>Morgan</t>
  </si>
  <si>
    <t>jodi.morgan20@gmail.com</t>
  </si>
  <si>
    <t>Carter</t>
  </si>
  <si>
    <t>david.carter54@gmail.com</t>
  </si>
  <si>
    <t>Elizabeth</t>
  </si>
  <si>
    <t>Russell</t>
  </si>
  <si>
    <t>elizabeth.russell51@gmail.com</t>
  </si>
  <si>
    <t>jessica.kramer47@gmail.com</t>
  </si>
  <si>
    <t>Keith</t>
  </si>
  <si>
    <t>keith.williams80@gmail.com</t>
  </si>
  <si>
    <t>Cristina</t>
  </si>
  <si>
    <t>cristina.holmes63@gmail.com</t>
  </si>
  <si>
    <t>Joel</t>
  </si>
  <si>
    <t>Franco</t>
  </si>
  <si>
    <t>joel.franco62@gmail.com</t>
  </si>
  <si>
    <t>Tyler</t>
  </si>
  <si>
    <t>Martinez</t>
  </si>
  <si>
    <t>tyler.martinez21@gmail.com</t>
  </si>
  <si>
    <t>Christina</t>
  </si>
  <si>
    <t>Garrett</t>
  </si>
  <si>
    <t>christina.garrett28@gmail.com</t>
  </si>
  <si>
    <t>Terry</t>
  </si>
  <si>
    <t>Cole</t>
  </si>
  <si>
    <t>terry.cole72@gmail.com</t>
  </si>
  <si>
    <t>Katie</t>
  </si>
  <si>
    <t>Richardson</t>
  </si>
  <si>
    <t>katie.richardson40@gmail.com</t>
  </si>
  <si>
    <t>Kristina</t>
  </si>
  <si>
    <t>Scott</t>
  </si>
  <si>
    <t>kristina.scott3@gmail.com</t>
  </si>
  <si>
    <t>PhD</t>
  </si>
  <si>
    <t>Dana</t>
  </si>
  <si>
    <t>Sheppard</t>
  </si>
  <si>
    <t>dana.sheppard61@gmail.com</t>
  </si>
  <si>
    <t>Natasha</t>
  </si>
  <si>
    <t>Wall</t>
  </si>
  <si>
    <t>natasha.wall6@gmail.com</t>
  </si>
  <si>
    <t>Peter</t>
  </si>
  <si>
    <t>Davis</t>
  </si>
  <si>
    <t>peter.davis65@gmail.com</t>
  </si>
  <si>
    <t>CA</t>
  </si>
  <si>
    <t>Kurt</t>
  </si>
  <si>
    <t>Huff</t>
  </si>
  <si>
    <t>kurt.huff25@gmail.com</t>
  </si>
  <si>
    <t>Alexander</t>
  </si>
  <si>
    <t>Montgomery</t>
  </si>
  <si>
    <t>alexander.montgomery45@gmail.com</t>
  </si>
  <si>
    <t>CAN0081</t>
  </si>
  <si>
    <t>Gabriel</t>
  </si>
  <si>
    <t>Curry</t>
  </si>
  <si>
    <t>gabriel.curry65@gmail.com</t>
  </si>
  <si>
    <t>Larry</t>
  </si>
  <si>
    <t>Madden</t>
  </si>
  <si>
    <t>larry.madden21@gmail.com</t>
  </si>
  <si>
    <t>christopher.martin68@gmail.com</t>
  </si>
  <si>
    <t>sharon.white14@gmail.com</t>
  </si>
  <si>
    <t>Jonathan</t>
  </si>
  <si>
    <t>Jr.</t>
  </si>
  <si>
    <t>jonathan.jr.47@gmail.com</t>
  </si>
  <si>
    <t>Ellis</t>
  </si>
  <si>
    <t>craig.ellis33@gmail.com</t>
  </si>
  <si>
    <t>Kelley</t>
  </si>
  <si>
    <t>robert.kelley29@gmail.com</t>
  </si>
  <si>
    <t>Christy</t>
  </si>
  <si>
    <t>Hernandez</t>
  </si>
  <si>
    <t>christy.hernandez79@gmail.com</t>
  </si>
  <si>
    <t>CAN0089</t>
  </si>
  <si>
    <t>Jill</t>
  </si>
  <si>
    <t>Robertson</t>
  </si>
  <si>
    <t>jill.robertson53@gmail.com</t>
  </si>
  <si>
    <t>John</t>
  </si>
  <si>
    <t>Fritz</t>
  </si>
  <si>
    <t>john.fritz32@gmail.com</t>
  </si>
  <si>
    <t>Allison</t>
  </si>
  <si>
    <t>Hall</t>
  </si>
  <si>
    <t>allison.hall34@gmail.com</t>
  </si>
  <si>
    <t>Jason</t>
  </si>
  <si>
    <t>Aguilar</t>
  </si>
  <si>
    <t>jason.aguilar67@gmail.com</t>
  </si>
  <si>
    <t>Ortiz</t>
  </si>
  <si>
    <t>james.ortiz21@gmail.com</t>
  </si>
  <si>
    <t>Khan</t>
  </si>
  <si>
    <t>lauren.khan67@gmail.com</t>
  </si>
  <si>
    <t>Regina</t>
  </si>
  <si>
    <t>Mckenzie</t>
  </si>
  <si>
    <t>regina.mckenzie81@gmail.com</t>
  </si>
  <si>
    <t>Bryan</t>
  </si>
  <si>
    <t>cody.bryan60@gmail.com</t>
  </si>
  <si>
    <t>Caitlin</t>
  </si>
  <si>
    <t>caitlin.jones43@gmail.com</t>
  </si>
  <si>
    <t>Michael</t>
  </si>
  <si>
    <t>Hines</t>
  </si>
  <si>
    <t>michael.hines88@gmail.com</t>
  </si>
  <si>
    <t>Kara</t>
  </si>
  <si>
    <t>Griffith</t>
  </si>
  <si>
    <t>kara.griffith65@gmail.com</t>
  </si>
  <si>
    <t>George</t>
  </si>
  <si>
    <t>Graham</t>
  </si>
  <si>
    <t>george.graham50@gmail.com</t>
  </si>
  <si>
    <t>Kathryn</t>
  </si>
  <si>
    <t>kathryn.wallace69@gmail.com</t>
  </si>
  <si>
    <t>Lisa</t>
  </si>
  <si>
    <t>Drake</t>
  </si>
  <si>
    <t>lisa.drake40@gmail.com</t>
  </si>
  <si>
    <t>Julia</t>
  </si>
  <si>
    <t>julia.martin14@gmail.com</t>
  </si>
  <si>
    <t>CAN0104</t>
  </si>
  <si>
    <t>Rhodes</t>
  </si>
  <si>
    <t>amy.rhodes82@gmail.com</t>
  </si>
  <si>
    <t>Amanda</t>
  </si>
  <si>
    <t>amanda.white69@gmail.com</t>
  </si>
  <si>
    <t>Gloria</t>
  </si>
  <si>
    <t>Cochran</t>
  </si>
  <si>
    <t>gloria.cochran15@gmail.com</t>
  </si>
  <si>
    <t>Monica</t>
  </si>
  <si>
    <t>Garcia</t>
  </si>
  <si>
    <t>monica.garcia62@gmail.com</t>
  </si>
  <si>
    <t>CAN0108</t>
  </si>
  <si>
    <t>Dale</t>
  </si>
  <si>
    <t>Gill</t>
  </si>
  <si>
    <t>dale.gill45@gmail.com</t>
  </si>
  <si>
    <t>CAN0109</t>
  </si>
  <si>
    <t>Pace</t>
  </si>
  <si>
    <t>kevin.pace37@gmail.com</t>
  </si>
  <si>
    <t>Jenny</t>
  </si>
  <si>
    <t>jenny.ryan7@gmail.com</t>
  </si>
  <si>
    <t>Christine</t>
  </si>
  <si>
    <t>Kelly</t>
  </si>
  <si>
    <t>christine.kelly68@gmail.com</t>
  </si>
  <si>
    <t>CAN0112</t>
  </si>
  <si>
    <t>Tonya</t>
  </si>
  <si>
    <t>tonya.rivera24@gmail.com</t>
  </si>
  <si>
    <t>Beck</t>
  </si>
  <si>
    <t>amanda.beck90@gmail.com</t>
  </si>
  <si>
    <t>CAN0114</t>
  </si>
  <si>
    <t>Breanna</t>
  </si>
  <si>
    <t>breanna.martinez14@gmail.com</t>
  </si>
  <si>
    <t>Andrew</t>
  </si>
  <si>
    <t>Hicks</t>
  </si>
  <si>
    <t>andrew.hicks83@gmail.com</t>
  </si>
  <si>
    <t>Paula</t>
  </si>
  <si>
    <t>Dixon</t>
  </si>
  <si>
    <t>Other</t>
  </si>
  <si>
    <t>paula.dixon81@gmail.com</t>
  </si>
  <si>
    <t>Jeremiah</t>
  </si>
  <si>
    <t>Moss</t>
  </si>
  <si>
    <t>jeremiah.moss42@gmail.com</t>
  </si>
  <si>
    <t>Nicholas</t>
  </si>
  <si>
    <t>nicholas.jones99@gmail.com</t>
  </si>
  <si>
    <t>Deborah</t>
  </si>
  <si>
    <t>deborah.lopez39@gmail.com</t>
  </si>
  <si>
    <t>Johnson</t>
  </si>
  <si>
    <t>elizabeth.johnson45@gmail.com</t>
  </si>
  <si>
    <t>Ashley</t>
  </si>
  <si>
    <t>ashley.baker85@gmail.com</t>
  </si>
  <si>
    <t>james.king14@gmail.com</t>
  </si>
  <si>
    <t>Susan</t>
  </si>
  <si>
    <t>Bowers</t>
  </si>
  <si>
    <t>susan.bowers56@gmail.com</t>
  </si>
  <si>
    <t>Maxwell</t>
  </si>
  <si>
    <t>mr..maxwell1@gmail.com</t>
  </si>
  <si>
    <t>Bautista</t>
  </si>
  <si>
    <t>richard.bautista86@gmail.com</t>
  </si>
  <si>
    <t>Kathleen</t>
  </si>
  <si>
    <t>Porter</t>
  </si>
  <si>
    <t>kathleen.porter16@gmail.com</t>
  </si>
  <si>
    <t>Derrick</t>
  </si>
  <si>
    <t>Conley</t>
  </si>
  <si>
    <t>derrick.conley81@gmail.com</t>
  </si>
  <si>
    <t>Shields</t>
  </si>
  <si>
    <t>larry.shields24@gmail.com</t>
  </si>
  <si>
    <t>Alvarado</t>
  </si>
  <si>
    <t>michael.alvarado28@gmail.com</t>
  </si>
  <si>
    <t>Cruz</t>
  </si>
  <si>
    <t>nicholas.cruz27@gmail.com</t>
  </si>
  <si>
    <t>christine.baker59@gmail.com</t>
  </si>
  <si>
    <t>Ronnie</t>
  </si>
  <si>
    <t>Green</t>
  </si>
  <si>
    <t>ronnie.green8@gmail.com</t>
  </si>
  <si>
    <t>Young</t>
  </si>
  <si>
    <t>amanda.young46@gmail.com</t>
  </si>
  <si>
    <t>ashley.jones51@gmail.com</t>
  </si>
  <si>
    <t>Angela</t>
  </si>
  <si>
    <t>Bartlett</t>
  </si>
  <si>
    <t>angela.bartlett72@gmail.com</t>
  </si>
  <si>
    <t>Samantha</t>
  </si>
  <si>
    <t>Mejia</t>
  </si>
  <si>
    <t>samantha.mejia38@gmail.com</t>
  </si>
  <si>
    <t>Cynthia</t>
  </si>
  <si>
    <t>Murray</t>
  </si>
  <si>
    <t>cynthia.murray49@gmail.com</t>
  </si>
  <si>
    <t>Gray</t>
  </si>
  <si>
    <t>kathryn.gray84@gmail.com</t>
  </si>
  <si>
    <t>Logan</t>
  </si>
  <si>
    <t>Zimmerman</t>
  </si>
  <si>
    <t>logan.zimmerman39@gmail.com</t>
  </si>
  <si>
    <t>Gerald</t>
  </si>
  <si>
    <t>Tran</t>
  </si>
  <si>
    <t>gerald.tran82@gmail.com</t>
  </si>
  <si>
    <t>jessica.smith19@gmail.com</t>
  </si>
  <si>
    <t>Dr.</t>
  </si>
  <si>
    <t>Briggs</t>
  </si>
  <si>
    <t>dr..briggs89@gmail.com</t>
  </si>
  <si>
    <t>Hamilton</t>
  </si>
  <si>
    <t>andrea.hamilton89@gmail.com</t>
  </si>
  <si>
    <t>lisa.gray30@gmail.com</t>
  </si>
  <si>
    <t>Maria</t>
  </si>
  <si>
    <t>Duke</t>
  </si>
  <si>
    <t>maria.duke64@gmail.com</t>
  </si>
  <si>
    <t>Jennifer</t>
  </si>
  <si>
    <t>jennifer.shields86@gmail.com</t>
  </si>
  <si>
    <t>robert.baker82@gmail.com</t>
  </si>
  <si>
    <t>patricia.andrade63@gmail.com</t>
  </si>
  <si>
    <t>michael.murray47@gmail.com</t>
  </si>
  <si>
    <t>CAN0150</t>
  </si>
  <si>
    <t>Aaron</t>
  </si>
  <si>
    <t>Ramirez</t>
  </si>
  <si>
    <t>aaron.ramirez71@gmail.com</t>
  </si>
  <si>
    <t>Brandi</t>
  </si>
  <si>
    <t>Hill</t>
  </si>
  <si>
    <t>brandi.hill45@gmail.com</t>
  </si>
  <si>
    <t>Beth</t>
  </si>
  <si>
    <t>beth.gordon82@gmail.com</t>
  </si>
  <si>
    <t>Adkins</t>
  </si>
  <si>
    <t>jennifer.adkins39@gmail.com</t>
  </si>
  <si>
    <t>Leslie</t>
  </si>
  <si>
    <t>Cooley</t>
  </si>
  <si>
    <t>leslie.cooley70@gmail.com</t>
  </si>
  <si>
    <t>Maureen</t>
  </si>
  <si>
    <t>Valenzuela</t>
  </si>
  <si>
    <t>maureen.valenzuela6@gmail.com</t>
  </si>
  <si>
    <t>richard.cook13@gmail.com</t>
  </si>
  <si>
    <t>Steven</t>
  </si>
  <si>
    <t>Cabrera</t>
  </si>
  <si>
    <t>steven.cabrera24@gmail.com</t>
  </si>
  <si>
    <t>CAN0158</t>
  </si>
  <si>
    <t>Ross</t>
  </si>
  <si>
    <t>daniel.ross67@gmail.com</t>
  </si>
  <si>
    <t>Woods</t>
  </si>
  <si>
    <t>christine.woods88@gmail.com</t>
  </si>
  <si>
    <t>Helen</t>
  </si>
  <si>
    <t>helen.phd11@gmail.com</t>
  </si>
  <si>
    <t>Sean</t>
  </si>
  <si>
    <t>sean.cole12@gmail.com</t>
  </si>
  <si>
    <t>kathleen.lopez24@gmail.com</t>
  </si>
  <si>
    <t>Christensen</t>
  </si>
  <si>
    <t>christina.christensen72@gmail.com</t>
  </si>
  <si>
    <t>Brenda</t>
  </si>
  <si>
    <t>Elliott</t>
  </si>
  <si>
    <t>brenda.elliott2@gmail.com</t>
  </si>
  <si>
    <t>Janet</t>
  </si>
  <si>
    <t>janet.martinez63@gmail.com</t>
  </si>
  <si>
    <t>Kyle</t>
  </si>
  <si>
    <t>kyle.smith15@gmail.com</t>
  </si>
  <si>
    <t>CAN0167</t>
  </si>
  <si>
    <t>Tucker</t>
  </si>
  <si>
    <t>scott.tucker97@gmail.com</t>
  </si>
  <si>
    <t>Newman</t>
  </si>
  <si>
    <t>thomas.newman78@gmail.com</t>
  </si>
  <si>
    <t>Wendy</t>
  </si>
  <si>
    <t>wendy.johnson88@gmail.com</t>
  </si>
  <si>
    <t>Meyers</t>
  </si>
  <si>
    <t>ronnie.meyers55@gmail.com</t>
  </si>
  <si>
    <t>Debbie</t>
  </si>
  <si>
    <t>Lam</t>
  </si>
  <si>
    <t>debbie.lam74@gmail.com</t>
  </si>
  <si>
    <t>Roach</t>
  </si>
  <si>
    <t>paul.roach11@gmail.com</t>
  </si>
  <si>
    <t>Spencer</t>
  </si>
  <si>
    <t>john.spencer8@gmail.com</t>
  </si>
  <si>
    <t>Corey</t>
  </si>
  <si>
    <t>Campbell</t>
  </si>
  <si>
    <t>corey.campbell12@gmail.com</t>
  </si>
  <si>
    <t>matthew.robertson67@gmail.com</t>
  </si>
  <si>
    <t>megan.adkins74@gmail.com</t>
  </si>
  <si>
    <t>CAN0177</t>
  </si>
  <si>
    <t>Benjamin</t>
  </si>
  <si>
    <t>Dunn</t>
  </si>
  <si>
    <t>benjamin.dunn14@gmail.com</t>
  </si>
  <si>
    <t>Grant</t>
  </si>
  <si>
    <t>elizabeth.grant3@gmail.com</t>
  </si>
  <si>
    <t>robert.lopez36@gmail.com</t>
  </si>
  <si>
    <t>Jenna</t>
  </si>
  <si>
    <t>jenna.johnson44@gmail.com</t>
  </si>
  <si>
    <t>Parsons</t>
  </si>
  <si>
    <t>david.parsons9@gmail.com</t>
  </si>
  <si>
    <t>leslie.graham12@gmail.com</t>
  </si>
  <si>
    <t>Clayton</t>
  </si>
  <si>
    <t>clayton.smith33@gmail.com</t>
  </si>
  <si>
    <t>Wiley</t>
  </si>
  <si>
    <t>jose.wiley83@gmail.com</t>
  </si>
  <si>
    <t>Alexandria</t>
  </si>
  <si>
    <t>Love</t>
  </si>
  <si>
    <t>alexandria.love76@gmail.com</t>
  </si>
  <si>
    <t>Bruce</t>
  </si>
  <si>
    <t>christopher.bruce49@gmail.com</t>
  </si>
  <si>
    <t>Curtis</t>
  </si>
  <si>
    <t>Duncan</t>
  </si>
  <si>
    <t>curtis.duncan21@gmail.com</t>
  </si>
  <si>
    <t>Sally</t>
  </si>
  <si>
    <t>Vance</t>
  </si>
  <si>
    <t>sally.vance50@gmail.com</t>
  </si>
  <si>
    <t>Mackenzie</t>
  </si>
  <si>
    <t>Ford</t>
  </si>
  <si>
    <t>mackenzie.ford19@gmail.com</t>
  </si>
  <si>
    <t>Ruben</t>
  </si>
  <si>
    <t>Frank</t>
  </si>
  <si>
    <t>ruben.frank35@gmail.com</t>
  </si>
  <si>
    <t>Carol</t>
  </si>
  <si>
    <t>Mcgee</t>
  </si>
  <si>
    <t>carol.mcgee14@gmail.com</t>
  </si>
  <si>
    <t>Jasmine</t>
  </si>
  <si>
    <t>Gomez</t>
  </si>
  <si>
    <t>jasmine.gomez72@gmail.com</t>
  </si>
  <si>
    <t>CAN0193</t>
  </si>
  <si>
    <t>Douglas</t>
  </si>
  <si>
    <t>Pope</t>
  </si>
  <si>
    <t>douglas.pope31@gmail.com</t>
  </si>
  <si>
    <t>Summers</t>
  </si>
  <si>
    <t>lisa.summers82@gmail.com</t>
  </si>
  <si>
    <t>Christian</t>
  </si>
  <si>
    <t>Sherman</t>
  </si>
  <si>
    <t>christian.sherman47@gmail.com</t>
  </si>
  <si>
    <t>Mrs.</t>
  </si>
  <si>
    <t>Patterson</t>
  </si>
  <si>
    <t>mrs..patterson30@gmail.com</t>
  </si>
  <si>
    <t>CAN0197</t>
  </si>
  <si>
    <t>Strong</t>
  </si>
  <si>
    <t>christian.strong23@gmail.com</t>
  </si>
  <si>
    <t>Tony</t>
  </si>
  <si>
    <t>Clark</t>
  </si>
  <si>
    <t>tony.clark89@gmail.com</t>
  </si>
  <si>
    <t>Alex</t>
  </si>
  <si>
    <t>Stout</t>
  </si>
  <si>
    <t>alex.stout82@gmail.com</t>
  </si>
  <si>
    <t>Carly</t>
  </si>
  <si>
    <t>carly.mckenzie73@gmail.com</t>
  </si>
  <si>
    <t>Dickerson</t>
  </si>
  <si>
    <t>andrew.dickerson58@gmail.com</t>
  </si>
  <si>
    <t>kurt.smith49@gmail.com</t>
  </si>
  <si>
    <t>CAN0203</t>
  </si>
  <si>
    <t>Elaine</t>
  </si>
  <si>
    <t>elaine.hall68@gmail.com</t>
  </si>
  <si>
    <t>Karen</t>
  </si>
  <si>
    <t>Fuller</t>
  </si>
  <si>
    <t>karen.fuller33@gmail.com</t>
  </si>
  <si>
    <t>Taylor</t>
  </si>
  <si>
    <t>david.taylor77@gmail.com</t>
  </si>
  <si>
    <t>Jacob</t>
  </si>
  <si>
    <t>Andrews</t>
  </si>
  <si>
    <t>jacob.andrews6@gmail.com</t>
  </si>
  <si>
    <t>Moyer</t>
  </si>
  <si>
    <t>lauren.moyer18@gmail.com</t>
  </si>
  <si>
    <t>Joshua</t>
  </si>
  <si>
    <t>Montes</t>
  </si>
  <si>
    <t>joshua.montes3@gmail.com</t>
  </si>
  <si>
    <t>Brian</t>
  </si>
  <si>
    <t>Cameron</t>
  </si>
  <si>
    <t>brian.cameron44@gmail.com</t>
  </si>
  <si>
    <t>Anna</t>
  </si>
  <si>
    <t>Marshall</t>
  </si>
  <si>
    <t>anna.marshall72@gmail.com</t>
  </si>
  <si>
    <t>DDS</t>
  </si>
  <si>
    <t>james.dds2@gmail.com</t>
  </si>
  <si>
    <t>Spears</t>
  </si>
  <si>
    <t>kathleen.spears54@gmail.com</t>
  </si>
  <si>
    <t>jennifer.cruz83@gmail.com</t>
  </si>
  <si>
    <t>Kari</t>
  </si>
  <si>
    <t>Sparks</t>
  </si>
  <si>
    <t>kari.sparks33@gmail.com</t>
  </si>
  <si>
    <t>Colton</t>
  </si>
  <si>
    <t>colton.daniels16@gmail.com</t>
  </si>
  <si>
    <t>Grimes</t>
  </si>
  <si>
    <t>susan.grimes19@gmail.com</t>
  </si>
  <si>
    <t>Sandra</t>
  </si>
  <si>
    <t>Boyd</t>
  </si>
  <si>
    <t>sandra.boyd12@gmail.com</t>
  </si>
  <si>
    <t>CAN0218</t>
  </si>
  <si>
    <t>Arthur</t>
  </si>
  <si>
    <t>Mora</t>
  </si>
  <si>
    <t>arthur.mora91@gmail.com</t>
  </si>
  <si>
    <t>Timothy</t>
  </si>
  <si>
    <t>timothy.phd29@gmail.com</t>
  </si>
  <si>
    <t>CAN0220</t>
  </si>
  <si>
    <t>Rocha</t>
  </si>
  <si>
    <t>sean.rocha31@gmail.com</t>
  </si>
  <si>
    <t>Hannah</t>
  </si>
  <si>
    <t>Bush</t>
  </si>
  <si>
    <t>hannah.bush21@gmail.com</t>
  </si>
  <si>
    <t>Melissa</t>
  </si>
  <si>
    <t>Phelps</t>
  </si>
  <si>
    <t>melissa.phelps98@gmail.com</t>
  </si>
  <si>
    <t>Barbara</t>
  </si>
  <si>
    <t>Wheeler</t>
  </si>
  <si>
    <t>barbara.wheeler18@gmail.com</t>
  </si>
  <si>
    <t>kerry.andrade81@gmail.com</t>
  </si>
  <si>
    <t>Schmidt</t>
  </si>
  <si>
    <t>amanda.schmidt64@gmail.com</t>
  </si>
  <si>
    <t>Fisher</t>
  </si>
  <si>
    <t>jason.fisher58@gmail.com</t>
  </si>
  <si>
    <t>Nelson</t>
  </si>
  <si>
    <t>richard.nelson42@gmail.com</t>
  </si>
  <si>
    <t>Gonzales</t>
  </si>
  <si>
    <t>benjamin.gonzales19@gmail.com</t>
  </si>
  <si>
    <t>Foster</t>
  </si>
  <si>
    <t>patricia.foster42@gmail.com</t>
  </si>
  <si>
    <t>Sherri</t>
  </si>
  <si>
    <t>Dunlap</t>
  </si>
  <si>
    <t>sherri.dunlap69@gmail.com</t>
  </si>
  <si>
    <t>Brooke</t>
  </si>
  <si>
    <t>Harper</t>
  </si>
  <si>
    <t>brooke.harper60@gmail.com</t>
  </si>
  <si>
    <t>Mccarthy</t>
  </si>
  <si>
    <t>christopher.mccarthy53@gmail.com</t>
  </si>
  <si>
    <t>Bates</t>
  </si>
  <si>
    <t>ryan.bates57@gmail.com</t>
  </si>
  <si>
    <t>Marks</t>
  </si>
  <si>
    <t>ryan.marks41@gmail.com</t>
  </si>
  <si>
    <t>Harris</t>
  </si>
  <si>
    <t>jamie.harris66@gmail.com</t>
  </si>
  <si>
    <t>Michele</t>
  </si>
  <si>
    <t>Stein</t>
  </si>
  <si>
    <t>michele.stein8@gmail.com</t>
  </si>
  <si>
    <t>Alvarez</t>
  </si>
  <si>
    <t>rebecca.alvarez2@gmail.com</t>
  </si>
  <si>
    <t>Richards</t>
  </si>
  <si>
    <t>daniel.richards86@gmail.com</t>
  </si>
  <si>
    <t>daniel.brown19@gmail.com</t>
  </si>
  <si>
    <t>Henderson</t>
  </si>
  <si>
    <t>christina.henderson10@gmail.com</t>
  </si>
  <si>
    <t>Jillian</t>
  </si>
  <si>
    <t>Giles</t>
  </si>
  <si>
    <t>jillian.giles99@gmail.com</t>
  </si>
  <si>
    <t>tony.douglas75@gmail.com</t>
  </si>
  <si>
    <t>CAN0243</t>
  </si>
  <si>
    <t>ashley.andrews6@gmail.com</t>
  </si>
  <si>
    <t>Phillips</t>
  </si>
  <si>
    <t>william.phillips59@gmail.com</t>
  </si>
  <si>
    <t>Travis</t>
  </si>
  <si>
    <t>Hardy</t>
  </si>
  <si>
    <t>travis.hardy87@gmail.com</t>
  </si>
  <si>
    <t>Catherine</t>
  </si>
  <si>
    <t>Nielsen</t>
  </si>
  <si>
    <t>catherine.nielsen22@gmail.com</t>
  </si>
  <si>
    <t>kevin.strong50@gmail.com</t>
  </si>
  <si>
    <t>amy.garcia25@gmail.com</t>
  </si>
  <si>
    <t>CAN0249</t>
  </si>
  <si>
    <t>Booker</t>
  </si>
  <si>
    <t>christine.booker17@gmail.com</t>
  </si>
  <si>
    <t>Mills</t>
  </si>
  <si>
    <t>laura.mills46@gmail.com</t>
  </si>
  <si>
    <t>Joe</t>
  </si>
  <si>
    <t>Haley</t>
  </si>
  <si>
    <t>joe.haley30@gmail.com</t>
  </si>
  <si>
    <t>Gonzalez</t>
  </si>
  <si>
    <t>robert.gonzalez69@gmail.com</t>
  </si>
  <si>
    <t>Michelle</t>
  </si>
  <si>
    <t>Vazquez</t>
  </si>
  <si>
    <t>michelle.vazquez35@gmail.com</t>
  </si>
  <si>
    <t>patricia.taylor12@gmail.com</t>
  </si>
  <si>
    <t>Rodriguez</t>
  </si>
  <si>
    <t>cynthia.rodriguez47@gmail.com</t>
  </si>
  <si>
    <t>james.johnson92@gmail.com</t>
  </si>
  <si>
    <t>Farmer</t>
  </si>
  <si>
    <t>jenna.farmer17@gmail.com</t>
  </si>
  <si>
    <t>mark.paul91@gmail.com</t>
  </si>
  <si>
    <t>Goodman</t>
  </si>
  <si>
    <t>robert.goodman35@gmail.com</t>
  </si>
  <si>
    <t>Danny</t>
  </si>
  <si>
    <t>Soto</t>
  </si>
  <si>
    <t>danny.soto39@gmail.com</t>
  </si>
  <si>
    <t>Leah</t>
  </si>
  <si>
    <t>leah.williams73@gmail.com</t>
  </si>
  <si>
    <t>Jody</t>
  </si>
  <si>
    <t>jody.ramirez98@gmail.com</t>
  </si>
  <si>
    <t>Lewis</t>
  </si>
  <si>
    <t>elizabeth.lewis88@gmail.com</t>
  </si>
  <si>
    <t>karen.david96@gmail.com</t>
  </si>
  <si>
    <t>Victoria</t>
  </si>
  <si>
    <t>Willis</t>
  </si>
  <si>
    <t>victoria.willis44@gmail.com</t>
  </si>
  <si>
    <t>joseph.smith27@gmail.com</t>
  </si>
  <si>
    <t>CAN0267</t>
  </si>
  <si>
    <t>Dwayne</t>
  </si>
  <si>
    <t>Sanchez</t>
  </si>
  <si>
    <t>dwayne.sanchez72@gmail.com</t>
  </si>
  <si>
    <t>Cobb</t>
  </si>
  <si>
    <t>frank.cobb22@gmail.com</t>
  </si>
  <si>
    <t>stacey.alvarez62@gmail.com</t>
  </si>
  <si>
    <t>Gibson</t>
  </si>
  <si>
    <t>regina.gibson18@gmail.com</t>
  </si>
  <si>
    <t>Bethany</t>
  </si>
  <si>
    <t>bethany.rodriguez22@gmail.com</t>
  </si>
  <si>
    <t>hannah.gonzalez38@gmail.com</t>
  </si>
  <si>
    <t>Conrad</t>
  </si>
  <si>
    <t>lauren.conrad58@gmail.com</t>
  </si>
  <si>
    <t>Alan</t>
  </si>
  <si>
    <t>alan.md60@gmail.com</t>
  </si>
  <si>
    <t>david.brown56@gmail.com</t>
  </si>
  <si>
    <t>CAN0276</t>
  </si>
  <si>
    <t>paul.brown94@gmail.com</t>
  </si>
  <si>
    <t>Derek</t>
  </si>
  <si>
    <t>derek.daniel38@gmail.com</t>
  </si>
  <si>
    <t>Devin</t>
  </si>
  <si>
    <t>Haynes</t>
  </si>
  <si>
    <t>devin.haynes40@gmail.com</t>
  </si>
  <si>
    <t>Jackson</t>
  </si>
  <si>
    <t>jacob.jackson48@gmail.com</t>
  </si>
  <si>
    <t>kimberly.davis7@gmail.com</t>
  </si>
  <si>
    <t>Jorge</t>
  </si>
  <si>
    <t>Wagner</t>
  </si>
  <si>
    <t>jorge.wagner89@gmail.com</t>
  </si>
  <si>
    <t>Randy</t>
  </si>
  <si>
    <t>Dawson</t>
  </si>
  <si>
    <t>randy.dawson28@gmail.com</t>
  </si>
  <si>
    <t>cristina.johnson10@gmail.com</t>
  </si>
  <si>
    <t>brenda.hill23@gmail.com</t>
  </si>
  <si>
    <t>lauren.martinez11@gmail.com</t>
  </si>
  <si>
    <t>jose.marshall78@gmail.com</t>
  </si>
  <si>
    <t>travis.clark54@gmail.com</t>
  </si>
  <si>
    <t>Robinson</t>
  </si>
  <si>
    <t>craig.robinson25@gmail.com</t>
  </si>
  <si>
    <t>CAN0289</t>
  </si>
  <si>
    <t>Banks</t>
  </si>
  <si>
    <t>william.banks54@gmail.com</t>
  </si>
  <si>
    <t>Ferguson</t>
  </si>
  <si>
    <t>ashley.ferguson15@gmail.com</t>
  </si>
  <si>
    <t>CAN0291</t>
  </si>
  <si>
    <t>regina.rodriguez71@gmail.com</t>
  </si>
  <si>
    <t>Frazier</t>
  </si>
  <si>
    <t>andrew.frazier53@gmail.com</t>
  </si>
  <si>
    <t>thomas.hernandez93@gmail.com</t>
  </si>
  <si>
    <t>Brianna</t>
  </si>
  <si>
    <t>Matthews</t>
  </si>
  <si>
    <t>brianna.matthews12@gmail.com</t>
  </si>
  <si>
    <t>Gross</t>
  </si>
  <si>
    <t>dana.gross28@gmail.com</t>
  </si>
  <si>
    <t>Clarence</t>
  </si>
  <si>
    <t>Mccoy</t>
  </si>
  <si>
    <t>clarence.mccoy94@gmail.com</t>
  </si>
  <si>
    <t>katie.may16@gmail.com</t>
  </si>
  <si>
    <t>CAN0298</t>
  </si>
  <si>
    <t>gerald.james46@gmail.com</t>
  </si>
  <si>
    <t>james.foster89@gmail.com</t>
  </si>
  <si>
    <t>steven.hill34@gmail.com</t>
  </si>
  <si>
    <t>ruben.md33@gmail.com</t>
  </si>
  <si>
    <t>Antonio</t>
  </si>
  <si>
    <t>Adams</t>
  </si>
  <si>
    <t>antonio.adams62@gmail.com</t>
  </si>
  <si>
    <t>CAN0303</t>
  </si>
  <si>
    <t>Todd</t>
  </si>
  <si>
    <t>todd.baker61@gmail.com</t>
  </si>
  <si>
    <t>Ballard</t>
  </si>
  <si>
    <t>john.ballard68@gmail.com</t>
  </si>
  <si>
    <t>Marc</t>
  </si>
  <si>
    <t>marc.ortiz43@gmail.com</t>
  </si>
  <si>
    <t>Ronald</t>
  </si>
  <si>
    <t>Allen</t>
  </si>
  <si>
    <t>ronald.allen32@gmail.com</t>
  </si>
  <si>
    <t>michael.thomas9@gmail.com</t>
  </si>
  <si>
    <t>CAN0308</t>
  </si>
  <si>
    <t>Hutchinson</t>
  </si>
  <si>
    <t>charles.hutchinson72@gmail.com</t>
  </si>
  <si>
    <t>joseph.hernandez31@gmail.com</t>
  </si>
  <si>
    <t>Miller</t>
  </si>
  <si>
    <t>jodi.miller32@gmail.com</t>
  </si>
  <si>
    <t>scott.jones62@gmail.com</t>
  </si>
  <si>
    <t>CAN0312</t>
  </si>
  <si>
    <t>tara.white86@gmail.com</t>
  </si>
  <si>
    <t>Anthony</t>
  </si>
  <si>
    <t>anthony.grant93@gmail.com</t>
  </si>
  <si>
    <t>Myers</t>
  </si>
  <si>
    <t>april.myers11@gmail.com</t>
  </si>
  <si>
    <t>michael.jones9@gmail.com</t>
  </si>
  <si>
    <t>susan.williams31@gmail.com</t>
  </si>
  <si>
    <t>Donna</t>
  </si>
  <si>
    <t>Torres</t>
  </si>
  <si>
    <t>donna.torres26@gmail.com</t>
  </si>
  <si>
    <t>mindy.mccoy18@gmail.com</t>
  </si>
  <si>
    <t>Rose</t>
  </si>
  <si>
    <t>ronnie.rose42@gmail.com</t>
  </si>
  <si>
    <t>Watson</t>
  </si>
  <si>
    <t>barbara.watson6@gmail.com</t>
  </si>
  <si>
    <t>Brooks</t>
  </si>
  <si>
    <t>joshua.brooks4@gmail.com</t>
  </si>
  <si>
    <t>lauren.harris3@gmail.com</t>
  </si>
  <si>
    <t>peter.harris88@gmail.com</t>
  </si>
  <si>
    <t>elizabeth.jackson92@gmail.com</t>
  </si>
  <si>
    <t>Ms.</t>
  </si>
  <si>
    <t>Merritt</t>
  </si>
  <si>
    <t>ms..merritt36@gmail.com</t>
  </si>
  <si>
    <t>CAN0326</t>
  </si>
  <si>
    <t>Carlos</t>
  </si>
  <si>
    <t>carlos.carter47@gmail.com</t>
  </si>
  <si>
    <t>Jimmy</t>
  </si>
  <si>
    <t>Sharp</t>
  </si>
  <si>
    <t>jimmy.sharp70@gmail.com</t>
  </si>
  <si>
    <t>Heidi</t>
  </si>
  <si>
    <t>Guerrero</t>
  </si>
  <si>
    <t>heidi.guerrero95@gmail.com</t>
  </si>
  <si>
    <t>Gay</t>
  </si>
  <si>
    <t>adam.gay45@gmail.com</t>
  </si>
  <si>
    <t>Jimenez</t>
  </si>
  <si>
    <t>susan.jimenez83@gmail.com</t>
  </si>
  <si>
    <t>Estrada</t>
  </si>
  <si>
    <t>stephanie.estrada81@gmail.com</t>
  </si>
  <si>
    <t>Gregory</t>
  </si>
  <si>
    <t>Avila</t>
  </si>
  <si>
    <t>gregory.avila55@gmail.com</t>
  </si>
  <si>
    <t>Roger</t>
  </si>
  <si>
    <t>Bell</t>
  </si>
  <si>
    <t>roger.bell99@gmail.com</t>
  </si>
  <si>
    <t>eric.smith88@gmail.com</t>
  </si>
  <si>
    <t>david.young57@gmail.com</t>
  </si>
  <si>
    <t>Fowler</t>
  </si>
  <si>
    <t>joshua.fowler2@gmail.com</t>
  </si>
  <si>
    <t>Kristie</t>
  </si>
  <si>
    <t>Nguyen</t>
  </si>
  <si>
    <t>kristie.nguyen12@gmail.com</t>
  </si>
  <si>
    <t>amanda.williams26@gmail.com</t>
  </si>
  <si>
    <t>Elijah</t>
  </si>
  <si>
    <t>Perkins</t>
  </si>
  <si>
    <t>elijah.perkins94@gmail.com</t>
  </si>
  <si>
    <t>Kristine</t>
  </si>
  <si>
    <t>Lowery</t>
  </si>
  <si>
    <t>kristine.lowery68@gmail.com</t>
  </si>
  <si>
    <t>Amber</t>
  </si>
  <si>
    <t>amber.myers68@gmail.com</t>
  </si>
  <si>
    <t>Emily</t>
  </si>
  <si>
    <t>emily.smith35@gmail.com</t>
  </si>
  <si>
    <t>Linda</t>
  </si>
  <si>
    <t>linda.murray72@gmail.com</t>
  </si>
  <si>
    <t>Krista</t>
  </si>
  <si>
    <t>Sims</t>
  </si>
  <si>
    <t>krista.sims53@gmail.com</t>
  </si>
  <si>
    <t>Vincent</t>
  </si>
  <si>
    <t>vincent.davis50@gmail.com</t>
  </si>
  <si>
    <t>ashley.harris94@gmail.com</t>
  </si>
  <si>
    <t>david.dds7@gmail.com</t>
  </si>
  <si>
    <t>Latoya</t>
  </si>
  <si>
    <t>Collins</t>
  </si>
  <si>
    <t>latoya.collins1@gmail.com</t>
  </si>
  <si>
    <t>dr..ross81@gmail.com</t>
  </si>
  <si>
    <t>samantha.nelson87@gmail.com</t>
  </si>
  <si>
    <t>Peters</t>
  </si>
  <si>
    <t>james.peters61@gmail.com</t>
  </si>
  <si>
    <t>nicole.fisher27@gmail.com</t>
  </si>
  <si>
    <t>Marcus</t>
  </si>
  <si>
    <t>Mcclure</t>
  </si>
  <si>
    <t>marcus.mcclure84@gmail.com</t>
  </si>
  <si>
    <t>tyler.schmidt49@gmail.com</t>
  </si>
  <si>
    <t>elizabeth.vazquez38@gmail.com</t>
  </si>
  <si>
    <t>Erika</t>
  </si>
  <si>
    <t>Lucas</t>
  </si>
  <si>
    <t>erika.lucas88@gmail.com</t>
  </si>
  <si>
    <t>michelle.brown72@gmail.com</t>
  </si>
  <si>
    <t>CAN0358</t>
  </si>
  <si>
    <t>Glenn</t>
  </si>
  <si>
    <t>Lee</t>
  </si>
  <si>
    <t>glenn.lee33@gmail.com</t>
  </si>
  <si>
    <t>brenda.andrade38@gmail.com</t>
  </si>
  <si>
    <t>Hunter</t>
  </si>
  <si>
    <t>Jenkins</t>
  </si>
  <si>
    <t>hunter.jenkins53@gmail.com</t>
  </si>
  <si>
    <t>Daugherty</t>
  </si>
  <si>
    <t>patrick.daugherty25@gmail.com</t>
  </si>
  <si>
    <t>christina.martinez68@gmail.com</t>
  </si>
  <si>
    <t>thomas.nguyen60@gmail.com</t>
  </si>
  <si>
    <t>Walton</t>
  </si>
  <si>
    <t>susan.walton66@gmail.com</t>
  </si>
  <si>
    <t>deborah.md43@gmail.com</t>
  </si>
  <si>
    <t>Vanessa</t>
  </si>
  <si>
    <t>Pham</t>
  </si>
  <si>
    <t>vanessa.pham12@gmail.com</t>
  </si>
  <si>
    <t>michael.lopez71@gmail.com</t>
  </si>
  <si>
    <t>joseph.ortiz43@gmail.com</t>
  </si>
  <si>
    <t>carol.vance33@gmail.com</t>
  </si>
  <si>
    <t>Lambert</t>
  </si>
  <si>
    <t>justin.lambert49@gmail.com</t>
  </si>
  <si>
    <t>CAN0371</t>
  </si>
  <si>
    <t>Lonnie</t>
  </si>
  <si>
    <t>lonnie.wagner60@gmail.com</t>
  </si>
  <si>
    <t>Marsh</t>
  </si>
  <si>
    <t>matthew.marsh72@gmail.com</t>
  </si>
  <si>
    <t>Fields</t>
  </si>
  <si>
    <t>michelle.fields29@gmail.com</t>
  </si>
  <si>
    <t>Burns</t>
  </si>
  <si>
    <t>april.burns94@gmail.com</t>
  </si>
  <si>
    <t>Chloe</t>
  </si>
  <si>
    <t>chloe.smith10@gmail.com</t>
  </si>
  <si>
    <t>Shari</t>
  </si>
  <si>
    <t>shari.robinson87@gmail.com</t>
  </si>
  <si>
    <t>Rice</t>
  </si>
  <si>
    <t>keith.rice60@gmail.com</t>
  </si>
  <si>
    <t>richard.hall57@gmail.com</t>
  </si>
  <si>
    <t>Kelsey</t>
  </si>
  <si>
    <t>Li</t>
  </si>
  <si>
    <t>kelsey.li30@gmail.com</t>
  </si>
  <si>
    <t>CAN0380</t>
  </si>
  <si>
    <t>allen.johnson28@gmail.com</t>
  </si>
  <si>
    <t>Combs</t>
  </si>
  <si>
    <t>paul.combs29@gmail.com</t>
  </si>
  <si>
    <t>wendy.torres15@gmail.com</t>
  </si>
  <si>
    <t>Anne</t>
  </si>
  <si>
    <t>Roberts</t>
  </si>
  <si>
    <t>anne.roberts38@gmail.com</t>
  </si>
  <si>
    <t>CAN0384</t>
  </si>
  <si>
    <t>Randall</t>
  </si>
  <si>
    <t>april.randall39@gmail.com</t>
  </si>
  <si>
    <t>Crystal</t>
  </si>
  <si>
    <t>crystal.johnson39@gmail.com</t>
  </si>
  <si>
    <t>Teresa</t>
  </si>
  <si>
    <t>Anderson</t>
  </si>
  <si>
    <t>teresa.anderson23@gmail.com</t>
  </si>
  <si>
    <t>Jackie</t>
  </si>
  <si>
    <t>Carson</t>
  </si>
  <si>
    <t>jackie.carson93@gmail.com</t>
  </si>
  <si>
    <t>Dominic</t>
  </si>
  <si>
    <t>Rosario</t>
  </si>
  <si>
    <t>dominic.rosario6@gmail.com</t>
  </si>
  <si>
    <t>Ralph</t>
  </si>
  <si>
    <t>ralph.willis94@gmail.com</t>
  </si>
  <si>
    <t>Delgado</t>
  </si>
  <si>
    <t>michael.delgado62@gmail.com</t>
  </si>
  <si>
    <t>Phillip</t>
  </si>
  <si>
    <t>Becker</t>
  </si>
  <si>
    <t>phillip.becker16@gmail.com</t>
  </si>
  <si>
    <t>richard.miller72@gmail.com</t>
  </si>
  <si>
    <t>Conner</t>
  </si>
  <si>
    <t>paul.conner7@gmail.com</t>
  </si>
  <si>
    <t>Raymond</t>
  </si>
  <si>
    <t>Sloan</t>
  </si>
  <si>
    <t>raymond.sloan34@gmail.com</t>
  </si>
  <si>
    <t>Bobby</t>
  </si>
  <si>
    <t>bobby.miller28@gmail.com</t>
  </si>
  <si>
    <t>Terrance</t>
  </si>
  <si>
    <t>Davies</t>
  </si>
  <si>
    <t>terrance.davies44@gmail.com</t>
  </si>
  <si>
    <t>jennifer.baker60@gmail.com</t>
  </si>
  <si>
    <t>timothy.anderson32@gmail.com</t>
  </si>
  <si>
    <t>CAN0399</t>
  </si>
  <si>
    <t>randall.davis29@gmail.com</t>
  </si>
  <si>
    <t>Lloyd</t>
  </si>
  <si>
    <t>brittany.lloyd43@gmail.com</t>
  </si>
  <si>
    <t>Brandon</t>
  </si>
  <si>
    <t>brandon.ross12@gmail.com</t>
  </si>
  <si>
    <t>CAN0402</t>
  </si>
  <si>
    <t>Murphy</t>
  </si>
  <si>
    <t>hannah.murphy89@gmail.com</t>
  </si>
  <si>
    <t>Stevenson</t>
  </si>
  <si>
    <t>phillip.stevenson82@gmail.com</t>
  </si>
  <si>
    <t>CAN0404</t>
  </si>
  <si>
    <t>Walker</t>
  </si>
  <si>
    <t>david.walker33@gmail.com</t>
  </si>
  <si>
    <t>Emma</t>
  </si>
  <si>
    <t>emma.johnson88@gmail.com</t>
  </si>
  <si>
    <t>larry.ellis52@gmail.com</t>
  </si>
  <si>
    <t>mr..dds1@gmail.com</t>
  </si>
  <si>
    <t>CAN0408</t>
  </si>
  <si>
    <t>morgan.wright59@gmail.com</t>
  </si>
  <si>
    <t>Baldwin</t>
  </si>
  <si>
    <t>douglas.baldwin12@gmail.com</t>
  </si>
  <si>
    <t>Wilson</t>
  </si>
  <si>
    <t>steven.wilson81@gmail.com</t>
  </si>
  <si>
    <t>Marquez</t>
  </si>
  <si>
    <t>timothy.marquez45@gmail.com</t>
  </si>
  <si>
    <t>christine.garcia78@gmail.com</t>
  </si>
  <si>
    <t>Harvey</t>
  </si>
  <si>
    <t>kyle.harvey32@gmail.com</t>
  </si>
  <si>
    <t>ashley.white97@gmail.com</t>
  </si>
  <si>
    <t>Chapman</t>
  </si>
  <si>
    <t>jose.chapman43@gmail.com</t>
  </si>
  <si>
    <t>donna.garcia87@gmail.com</t>
  </si>
  <si>
    <t>anthony.harris49@gmail.com</t>
  </si>
  <si>
    <t>Stephen</t>
  </si>
  <si>
    <t>stephen.young62@gmail.com</t>
  </si>
  <si>
    <t>tonya.harvey51@gmail.com</t>
  </si>
  <si>
    <t>joshua.martinez71@gmail.com</t>
  </si>
  <si>
    <t>Manning</t>
  </si>
  <si>
    <t>christopher.manning36@gmail.com</t>
  </si>
  <si>
    <t>elizabeth.duncan8@gmail.com</t>
  </si>
  <si>
    <t>Greer</t>
  </si>
  <si>
    <t>ashley.greer47@gmail.com</t>
  </si>
  <si>
    <t>Rachel</t>
  </si>
  <si>
    <t>rachel.roberson88@gmail.com</t>
  </si>
  <si>
    <t>Watkins</t>
  </si>
  <si>
    <t>allison.watkins80@gmail.com</t>
  </si>
  <si>
    <t>dr..dds69@gmail.com</t>
  </si>
  <si>
    <t>Long</t>
  </si>
  <si>
    <t>mckenzie.long51@gmail.com</t>
  </si>
  <si>
    <t>taylor.wright90@gmail.com</t>
  </si>
  <si>
    <t>joshua.franco13@gmail.com</t>
  </si>
  <si>
    <t>stephanie.smith23@gmail.com</t>
  </si>
  <si>
    <t>mark.garcia64@gmail.com</t>
  </si>
  <si>
    <t>michael.williams37@gmail.com</t>
  </si>
  <si>
    <t>Shane</t>
  </si>
  <si>
    <t>Bishop</t>
  </si>
  <si>
    <t>shane.bishop74@gmail.com</t>
  </si>
  <si>
    <t>Danielle</t>
  </si>
  <si>
    <t>danielle.henderson86@gmail.com</t>
  </si>
  <si>
    <t>Alisha</t>
  </si>
  <si>
    <t>alisha.taylor37@gmail.com</t>
  </si>
  <si>
    <t>jessica.conrad78@gmail.com</t>
  </si>
  <si>
    <t>CAN0437</t>
  </si>
  <si>
    <t>II</t>
  </si>
  <si>
    <t>thomas.ii11@gmail.com</t>
  </si>
  <si>
    <t>Foley</t>
  </si>
  <si>
    <t>samantha.foley98@gmail.com</t>
  </si>
  <si>
    <t>Rhonda</t>
  </si>
  <si>
    <t>Walters</t>
  </si>
  <si>
    <t>rhonda.walters60@gmail.com</t>
  </si>
  <si>
    <t>Steele</t>
  </si>
  <si>
    <t>richard.steele72@gmail.com</t>
  </si>
  <si>
    <t>timothy.rice23@gmail.com</t>
  </si>
  <si>
    <t>Kim</t>
  </si>
  <si>
    <t>kim.maxwell52@gmail.com</t>
  </si>
  <si>
    <t>Angelica</t>
  </si>
  <si>
    <t>Beasley</t>
  </si>
  <si>
    <t>angelica.beasley69@gmail.com</t>
  </si>
  <si>
    <t>kevin.rice91@gmail.com</t>
  </si>
  <si>
    <t>brandon.schmidt67@gmail.com</t>
  </si>
  <si>
    <t>timothy.king90@gmail.com</t>
  </si>
  <si>
    <t>Kenneth</t>
  </si>
  <si>
    <t>kenneth.rodriguez27@gmail.com</t>
  </si>
  <si>
    <t>jonathan.smith21@gmail.com</t>
  </si>
  <si>
    <t>Sonya</t>
  </si>
  <si>
    <t>Simon</t>
  </si>
  <si>
    <t>sonya.simon4@gmail.com</t>
  </si>
  <si>
    <t>john.michael11@gmail.com</t>
  </si>
  <si>
    <t>peter.rodriguez66@gmail.com</t>
  </si>
  <si>
    <t>Erica</t>
  </si>
  <si>
    <t>erica.bates67@gmail.com</t>
  </si>
  <si>
    <t>Little</t>
  </si>
  <si>
    <t>cody.little15@gmail.com</t>
  </si>
  <si>
    <t>Tina</t>
  </si>
  <si>
    <t>tina.md6@gmail.com</t>
  </si>
  <si>
    <t>david.gross63@gmail.com</t>
  </si>
  <si>
    <t>lauren.miller17@gmail.com</t>
  </si>
  <si>
    <t>Day</t>
  </si>
  <si>
    <t>lisa.day73@gmail.com</t>
  </si>
  <si>
    <t>justin.cox61@gmail.com</t>
  </si>
  <si>
    <t>Hudson</t>
  </si>
  <si>
    <t>david.hudson30@gmail.com</t>
  </si>
  <si>
    <t>Webb</t>
  </si>
  <si>
    <t>michelle.webb13@gmail.com</t>
  </si>
  <si>
    <t>robert.stevenson6@gmail.com</t>
  </si>
  <si>
    <t>Knight</t>
  </si>
  <si>
    <t>emily.knight14@gmail.com</t>
  </si>
  <si>
    <t>rebecca.rivera66@gmail.com</t>
  </si>
  <si>
    <t>Julie</t>
  </si>
  <si>
    <t>julie.clark65@gmail.com</t>
  </si>
  <si>
    <t>Powell</t>
  </si>
  <si>
    <t>justin.powell38@gmail.com</t>
  </si>
  <si>
    <t>Nancy</t>
  </si>
  <si>
    <t>nancy.greer59@gmail.com</t>
  </si>
  <si>
    <t>Mcclain</t>
  </si>
  <si>
    <t>russell.mcclain70@gmail.com</t>
  </si>
  <si>
    <t>Bradford</t>
  </si>
  <si>
    <t>danielle.bradford36@gmail.com</t>
  </si>
  <si>
    <t>Theresa</t>
  </si>
  <si>
    <t>Burton</t>
  </si>
  <si>
    <t>theresa.burton10@gmail.com</t>
  </si>
  <si>
    <t>Reynolds</t>
  </si>
  <si>
    <t>robert.reynolds74@gmail.com</t>
  </si>
  <si>
    <t>derek.garcia4@gmail.com</t>
  </si>
  <si>
    <t>Moore</t>
  </si>
  <si>
    <t>melissa.moore57@gmail.com</t>
  </si>
  <si>
    <t>Tracey</t>
  </si>
  <si>
    <t>tracey.king57@gmail.com</t>
  </si>
  <si>
    <t>Carl</t>
  </si>
  <si>
    <t>Jordan</t>
  </si>
  <si>
    <t>carl.jordan32@gmail.com</t>
  </si>
  <si>
    <t>Debra</t>
  </si>
  <si>
    <t>debra.anderson99@gmail.com</t>
  </si>
  <si>
    <t>Medina</t>
  </si>
  <si>
    <t>kerry.medina44@gmail.com</t>
  </si>
  <si>
    <t>tina.harris32@gmail.com</t>
  </si>
  <si>
    <t>ashley.smith97@gmail.com</t>
  </si>
  <si>
    <t>Rita</t>
  </si>
  <si>
    <t>rita.gomez22@gmail.com</t>
  </si>
  <si>
    <t>kevin.fields27@gmail.com</t>
  </si>
  <si>
    <t>justin.ortiz89@gmail.com</t>
  </si>
  <si>
    <t>john.shields15@gmail.com</t>
  </si>
  <si>
    <t>Morales</t>
  </si>
  <si>
    <t>james.morales13@gmail.com</t>
  </si>
  <si>
    <t>brianna.long59@gmail.com</t>
  </si>
  <si>
    <t>nicole.gutierrez86@gmail.com</t>
  </si>
  <si>
    <t>Saunders</t>
  </si>
  <si>
    <t>travis.saunders40@gmail.com</t>
  </si>
  <si>
    <t>Denise</t>
  </si>
  <si>
    <t>Kirk</t>
  </si>
  <si>
    <t>denise.kirk12@gmail.com</t>
  </si>
  <si>
    <t>gabriel.boyd46@gmail.com</t>
  </si>
  <si>
    <t>Madeline</t>
  </si>
  <si>
    <t>madeline.walters85@gmail.com</t>
  </si>
  <si>
    <t>megan.phillips25@gmail.com</t>
  </si>
  <si>
    <t>Ricky</t>
  </si>
  <si>
    <t>ricky.clark85@gmail.com</t>
  </si>
  <si>
    <t>Jeremy</t>
  </si>
  <si>
    <t>jeremy.huff92@gmail.com</t>
  </si>
  <si>
    <t>kenneth.taylor16@gmail.com</t>
  </si>
  <si>
    <t>rachel.williams29@gmail.com</t>
  </si>
  <si>
    <t>Luke</t>
  </si>
  <si>
    <t>Holt</t>
  </si>
  <si>
    <t>luke.holt56@gmail.com</t>
  </si>
  <si>
    <t>jeremy.peters60@gmail.com</t>
  </si>
  <si>
    <t>mrs..garcia47@gmail.com</t>
  </si>
  <si>
    <t>ms..md66@gmail.com</t>
  </si>
  <si>
    <t>Kristen</t>
  </si>
  <si>
    <t>kristen.thomas18@gmail.com</t>
  </si>
  <si>
    <t>CAN0500</t>
  </si>
  <si>
    <t>heidi.walker84@gmail.com</t>
  </si>
  <si>
    <t>CAN0501</t>
  </si>
  <si>
    <t>Donald</t>
  </si>
  <si>
    <t>donald.ross37@gmail.com</t>
  </si>
  <si>
    <t>Choi</t>
  </si>
  <si>
    <t>christopher.choi87@gmail.com</t>
  </si>
  <si>
    <t>Troy</t>
  </si>
  <si>
    <t>troy.allison28@gmail.com</t>
  </si>
  <si>
    <t>Jay</t>
  </si>
  <si>
    <t>jay.willis97@gmail.com</t>
  </si>
  <si>
    <t>mrs..day31@gmail.com</t>
  </si>
  <si>
    <t>Fred</t>
  </si>
  <si>
    <t>fred.allen50@gmail.com</t>
  </si>
  <si>
    <t>Kristi</t>
  </si>
  <si>
    <t>Mueller</t>
  </si>
  <si>
    <t>kristi.mueller18@gmail.com</t>
  </si>
  <si>
    <t>christina.smith53@gmail.com</t>
  </si>
  <si>
    <t>michael.ellis7@gmail.com</t>
  </si>
  <si>
    <t>karen.walker54@gmail.com</t>
  </si>
  <si>
    <t>justin.henry32@gmail.com</t>
  </si>
  <si>
    <t>Howard</t>
  </si>
  <si>
    <t>howard.smith10@gmail.com</t>
  </si>
  <si>
    <t>robert.king47@gmail.com</t>
  </si>
  <si>
    <t>michael.harper42@gmail.com</t>
  </si>
  <si>
    <t>michael.hill60@gmail.com</t>
  </si>
  <si>
    <t>nicole.johnson18@gmail.com</t>
  </si>
  <si>
    <t>caitlin.gomez29@gmail.com</t>
  </si>
  <si>
    <t>Perez</t>
  </si>
  <si>
    <t>melissa.perez10@gmail.com</t>
  </si>
  <si>
    <t>Oscar</t>
  </si>
  <si>
    <t>oscar.gonzalez62@gmail.com</t>
  </si>
  <si>
    <t>mr..young71@gmail.com</t>
  </si>
  <si>
    <t>brittany.williams21@gmail.com</t>
  </si>
  <si>
    <t>daniel.gomez77@gmail.com</t>
  </si>
  <si>
    <t>thomas.smith32@gmail.com</t>
  </si>
  <si>
    <t>jennifer.russell11@gmail.com</t>
  </si>
  <si>
    <t>CAN0525</t>
  </si>
  <si>
    <t>joseph.townsend34@gmail.com</t>
  </si>
  <si>
    <t>Landry</t>
  </si>
  <si>
    <t>christopher.landry34@gmail.com</t>
  </si>
  <si>
    <t>Kelli</t>
  </si>
  <si>
    <t>kelli.gonzales72@gmail.com</t>
  </si>
  <si>
    <t>Walter</t>
  </si>
  <si>
    <t>walter.walker10@gmail.com</t>
  </si>
  <si>
    <t>katie.clark30@gmail.com</t>
  </si>
  <si>
    <t>Lance</t>
  </si>
  <si>
    <t>lance.choi82@gmail.com</t>
  </si>
  <si>
    <t>Arnold</t>
  </si>
  <si>
    <t>jacob.arnold93@gmail.com</t>
  </si>
  <si>
    <t>CAN0532</t>
  </si>
  <si>
    <t>Lowe</t>
  </si>
  <si>
    <t>melissa.lowe27@gmail.com</t>
  </si>
  <si>
    <t>Hart</t>
  </si>
  <si>
    <t>matthew.hart92@gmail.com</t>
  </si>
  <si>
    <t>Tiffany</t>
  </si>
  <si>
    <t>Bowen</t>
  </si>
  <si>
    <t>tiffany.bowen41@gmail.com</t>
  </si>
  <si>
    <t>mr..white26@gmail.com</t>
  </si>
  <si>
    <t>mark.rodriguez10@gmail.com</t>
  </si>
  <si>
    <t>jamie.allen58@gmail.com</t>
  </si>
  <si>
    <t>jason.graham93@gmail.com</t>
  </si>
  <si>
    <t>david.williams72@gmail.com</t>
  </si>
  <si>
    <t>Lindsay</t>
  </si>
  <si>
    <t>lindsay.miller56@gmail.com</t>
  </si>
  <si>
    <t>Audrey</t>
  </si>
  <si>
    <t>Schmitt</t>
  </si>
  <si>
    <t>audrey.schmitt99@gmail.com</t>
  </si>
  <si>
    <t>douglas.lee22@gmail.com</t>
  </si>
  <si>
    <t>Thompson</t>
  </si>
  <si>
    <t>jonathan.thompson71@gmail.com</t>
  </si>
  <si>
    <t>Diane</t>
  </si>
  <si>
    <t>diane.smith24@gmail.com</t>
  </si>
  <si>
    <t>CAN0545</t>
  </si>
  <si>
    <t>deborah.may63@gmail.com</t>
  </si>
  <si>
    <t>dr..graham90@gmail.com</t>
  </si>
  <si>
    <t>taylor.delgado54@gmail.com</t>
  </si>
  <si>
    <t>Doyle</t>
  </si>
  <si>
    <t>melissa.doyle5@gmail.com</t>
  </si>
  <si>
    <t>Sara</t>
  </si>
  <si>
    <t>sara.hernandez51@gmail.com</t>
  </si>
  <si>
    <t>Macdonald</t>
  </si>
  <si>
    <t>john.macdonald73@gmail.com</t>
  </si>
  <si>
    <t>john.patterson40@gmail.com</t>
  </si>
  <si>
    <t>Bonnie</t>
  </si>
  <si>
    <t>Lane</t>
  </si>
  <si>
    <t>bonnie.lane86@gmail.com</t>
  </si>
  <si>
    <t>jessica.jones96@gmail.com</t>
  </si>
  <si>
    <t>sean.pham61@gmail.com</t>
  </si>
  <si>
    <t>Manuel</t>
  </si>
  <si>
    <t>manuel.wright16@gmail.com</t>
  </si>
  <si>
    <t>Jeff</t>
  </si>
  <si>
    <t>jeff.smith7@gmail.com</t>
  </si>
  <si>
    <t>amanda.davis74@gmail.com</t>
  </si>
  <si>
    <t>Kristin</t>
  </si>
  <si>
    <t>kristin.burton77@gmail.com</t>
  </si>
  <si>
    <t>Hunt</t>
  </si>
  <si>
    <t>michelle.hunt27@gmail.com</t>
  </si>
  <si>
    <t>Pineda</t>
  </si>
  <si>
    <t>kristen.pineda76@gmail.com</t>
  </si>
  <si>
    <t>Whitney</t>
  </si>
  <si>
    <t>whitney.cooper96@gmail.com</t>
  </si>
  <si>
    <t>nicole.woods82@gmail.com</t>
  </si>
  <si>
    <t>Bridget</t>
  </si>
  <si>
    <t>Berry</t>
  </si>
  <si>
    <t>bridget.berry97@gmail.com</t>
  </si>
  <si>
    <t>joshua.anderson22@gmail.com</t>
  </si>
  <si>
    <t>CAN0565</t>
  </si>
  <si>
    <t>Ewing</t>
  </si>
  <si>
    <t>ashley.ewing8@gmail.com</t>
  </si>
  <si>
    <t>rachel.davis20@gmail.com</t>
  </si>
  <si>
    <t>Ann</t>
  </si>
  <si>
    <t>ann.morgan78@gmail.com</t>
  </si>
  <si>
    <t>Philip</t>
  </si>
  <si>
    <t>philip.phillips92@gmail.com</t>
  </si>
  <si>
    <t>danny.davis26@gmail.com</t>
  </si>
  <si>
    <t>george.jones55@gmail.com</t>
  </si>
  <si>
    <t>Schroeder</t>
  </si>
  <si>
    <t>anthony.schroeder19@gmail.com</t>
  </si>
  <si>
    <t>Hooper</t>
  </si>
  <si>
    <t>theresa.hooper30@gmail.com</t>
  </si>
  <si>
    <t>Desiree</t>
  </si>
  <si>
    <t>desiree.cox19@gmail.com</t>
  </si>
  <si>
    <t>Conway</t>
  </si>
  <si>
    <t>steven.conway76@gmail.com</t>
  </si>
  <si>
    <t>Osborn</t>
  </si>
  <si>
    <t>william.osborn30@gmail.com</t>
  </si>
  <si>
    <t>Coffey</t>
  </si>
  <si>
    <t>kyle.coffey91@gmail.com</t>
  </si>
  <si>
    <t>Mcdaniel</t>
  </si>
  <si>
    <t>donna.mcdaniel94@gmail.com</t>
  </si>
  <si>
    <t>Wilcox</t>
  </si>
  <si>
    <t>amanda.wilcox71@gmail.com</t>
  </si>
  <si>
    <t>henry.martin42@gmail.com</t>
  </si>
  <si>
    <t>Acevedo</t>
  </si>
  <si>
    <t>eric.acevedo37@gmail.com</t>
  </si>
  <si>
    <t>Brandy</t>
  </si>
  <si>
    <t>brandy.vincent36@gmail.com</t>
  </si>
  <si>
    <t>angela.love15@gmail.com</t>
  </si>
  <si>
    <t>mark.miller9@gmail.com</t>
  </si>
  <si>
    <t>jennifer.moore89@gmail.com</t>
  </si>
  <si>
    <t>kelsey.thomas8@gmail.com</t>
  </si>
  <si>
    <t>Rogers</t>
  </si>
  <si>
    <t>brittany.rogers12@gmail.com</t>
  </si>
  <si>
    <t>Tammy</t>
  </si>
  <si>
    <t>tammy.scott81@gmail.com</t>
  </si>
  <si>
    <t>richard.marquez3@gmail.com</t>
  </si>
  <si>
    <t>Evans</t>
  </si>
  <si>
    <t>megan.evans87@gmail.com</t>
  </si>
  <si>
    <t>daniel.smith4@gmail.com</t>
  </si>
  <si>
    <t>Schultz</t>
  </si>
  <si>
    <t>ronald.schultz8@gmail.com</t>
  </si>
  <si>
    <t>Mary</t>
  </si>
  <si>
    <t>mary.martinez57@gmail.com</t>
  </si>
  <si>
    <t>Pruitt</t>
  </si>
  <si>
    <t>jay.pruitt72@gmail.com</t>
  </si>
  <si>
    <t>melissa.johnson90@gmail.com</t>
  </si>
  <si>
    <t>Bond</t>
  </si>
  <si>
    <t>timothy.bond53@gmail.com</t>
  </si>
  <si>
    <t>timothy.wright28@gmail.com</t>
  </si>
  <si>
    <t>jonathan.christian72@gmail.com</t>
  </si>
  <si>
    <t>CAN0598</t>
  </si>
  <si>
    <t>Harrison</t>
  </si>
  <si>
    <t>lisa.harrison11@gmail.com</t>
  </si>
  <si>
    <t>ashley.gomez76@gmail.com</t>
  </si>
  <si>
    <t>david.ross15@gmail.com</t>
  </si>
  <si>
    <t>john.watson13@gmail.com</t>
  </si>
  <si>
    <t>Mullins</t>
  </si>
  <si>
    <t>nicole.mullins66@gmail.com</t>
  </si>
  <si>
    <t>Stacie</t>
  </si>
  <si>
    <t>Warner</t>
  </si>
  <si>
    <t>stacie.warner41@gmail.com</t>
  </si>
  <si>
    <t>Greg</t>
  </si>
  <si>
    <t>greg.evans38@gmail.com</t>
  </si>
  <si>
    <t>Harold</t>
  </si>
  <si>
    <t>Atkins</t>
  </si>
  <si>
    <t>harold.atkins32@gmail.com</t>
  </si>
  <si>
    <t>Caroline</t>
  </si>
  <si>
    <t>caroline.estrada77@gmail.com</t>
  </si>
  <si>
    <t>DVM</t>
  </si>
  <si>
    <t>ashley.dvm83@gmail.com</t>
  </si>
  <si>
    <t>Alyssa</t>
  </si>
  <si>
    <t>alyssa.rice29@gmail.com</t>
  </si>
  <si>
    <t>desiree.scott99@gmail.com</t>
  </si>
  <si>
    <t>Sheila</t>
  </si>
  <si>
    <t>sheila.adams41@gmail.com</t>
  </si>
  <si>
    <t>hannah.martin21@gmail.com</t>
  </si>
  <si>
    <t>ashley.atkins35@gmail.com</t>
  </si>
  <si>
    <t>amanda.may48@gmail.com</t>
  </si>
  <si>
    <t>Macias</t>
  </si>
  <si>
    <t>michelle.macias23@gmail.com</t>
  </si>
  <si>
    <t>Larson</t>
  </si>
  <si>
    <t>cynthia.larson88@gmail.com</t>
  </si>
  <si>
    <t>Seth</t>
  </si>
  <si>
    <t>seth.schmidt47@gmail.com</t>
  </si>
  <si>
    <t>amber.sanchez2@gmail.com</t>
  </si>
  <si>
    <t>Kirby</t>
  </si>
  <si>
    <t>timothy.kirby88@gmail.com</t>
  </si>
  <si>
    <t>rose.jackson55@gmail.com</t>
  </si>
  <si>
    <t>Margaret</t>
  </si>
  <si>
    <t>Livingston</t>
  </si>
  <si>
    <t>margaret.livingston24@gmail.com</t>
  </si>
  <si>
    <t>laura.nguyen95@gmail.com</t>
  </si>
  <si>
    <t>CAN0622</t>
  </si>
  <si>
    <t>Pennington</t>
  </si>
  <si>
    <t>andrew.pennington55@gmail.com</t>
  </si>
  <si>
    <t>Veronica</t>
  </si>
  <si>
    <t>Sandoval</t>
  </si>
  <si>
    <t>veronica.sandoval4@gmail.com</t>
  </si>
  <si>
    <t>Mays</t>
  </si>
  <si>
    <t>benjamin.mays48@gmail.com</t>
  </si>
  <si>
    <t>william.smith65@gmail.com</t>
  </si>
  <si>
    <t>Natalie</t>
  </si>
  <si>
    <t>Malone</t>
  </si>
  <si>
    <t>natalie.malone18@gmail.com</t>
  </si>
  <si>
    <t>jose.wallace76@gmail.com</t>
  </si>
  <si>
    <t>kristi.white65@gmail.com</t>
  </si>
  <si>
    <t>Jacqueline</t>
  </si>
  <si>
    <t>jacqueline.dds44@gmail.com</t>
  </si>
  <si>
    <t>Moon</t>
  </si>
  <si>
    <t>mrs..moon23@gmail.com</t>
  </si>
  <si>
    <t>theresa.mueller64@gmail.com</t>
  </si>
  <si>
    <t>Kemp</t>
  </si>
  <si>
    <t>lindsay.kemp43@gmail.com</t>
  </si>
  <si>
    <t>eric.thomas56@gmail.com</t>
  </si>
  <si>
    <t>Fleming</t>
  </si>
  <si>
    <t>jason.fleming26@gmail.com</t>
  </si>
  <si>
    <t>Middleton</t>
  </si>
  <si>
    <t>crystal.middleton29@gmail.com</t>
  </si>
  <si>
    <t>samantha.reynolds34@gmail.com</t>
  </si>
  <si>
    <t>Robbins</t>
  </si>
  <si>
    <t>christopher.robbins58@gmail.com</t>
  </si>
  <si>
    <t>danielle.garcia85@gmail.com</t>
  </si>
  <si>
    <t>Johnston</t>
  </si>
  <si>
    <t>robert.johnston42@gmail.com</t>
  </si>
  <si>
    <t>Kane</t>
  </si>
  <si>
    <t>ashley.kane36@gmail.com</t>
  </si>
  <si>
    <t>Cardenas</t>
  </si>
  <si>
    <t>dr..cardenas20@gmail.com</t>
  </si>
  <si>
    <t>karen.taylor6@gmail.com</t>
  </si>
  <si>
    <t>CAN0643</t>
  </si>
  <si>
    <t>leah.miller76@gmail.com</t>
  </si>
  <si>
    <t>Jeffrey</t>
  </si>
  <si>
    <t>Barr</t>
  </si>
  <si>
    <t>jeffrey.barr44@gmail.com</t>
  </si>
  <si>
    <t>kathleen.hill65@gmail.com</t>
  </si>
  <si>
    <t>Erin</t>
  </si>
  <si>
    <t>Figueroa</t>
  </si>
  <si>
    <t>erin.figueroa91@gmail.com</t>
  </si>
  <si>
    <t>larry.sullivan38@gmail.com</t>
  </si>
  <si>
    <t>Bolton</t>
  </si>
  <si>
    <t>william.bolton58@gmail.com</t>
  </si>
  <si>
    <t>Heather</t>
  </si>
  <si>
    <t>heather.fowler56@gmail.com</t>
  </si>
  <si>
    <t>CAN0650</t>
  </si>
  <si>
    <t>Walsh</t>
  </si>
  <si>
    <t>angela.walsh53@gmail.com</t>
  </si>
  <si>
    <t>CAN0651</t>
  </si>
  <si>
    <t>eric.malone61@gmail.com</t>
  </si>
  <si>
    <t>charles.lee6@gmail.com</t>
  </si>
  <si>
    <t>Flores</t>
  </si>
  <si>
    <t>erin.flores20@gmail.com</t>
  </si>
  <si>
    <t>david.fields23@gmail.com</t>
  </si>
  <si>
    <t>linda.becker57@gmail.com</t>
  </si>
  <si>
    <t>ms..burns2@gmail.com</t>
  </si>
  <si>
    <t>amy.george75@gmail.com</t>
  </si>
  <si>
    <t>chad.smith76@gmail.com</t>
  </si>
  <si>
    <t>CAN0659</t>
  </si>
  <si>
    <t>claire.md59@gmail.com</t>
  </si>
  <si>
    <t>CAN0660</t>
  </si>
  <si>
    <t>Hughes</t>
  </si>
  <si>
    <t>lauren.hughes52@gmail.com</t>
  </si>
  <si>
    <t>Abbott</t>
  </si>
  <si>
    <t>andrew.abbott71@gmail.com</t>
  </si>
  <si>
    <t>cameron.hernandez60@gmail.com</t>
  </si>
  <si>
    <t>Griffin</t>
  </si>
  <si>
    <t>jody.griffin14@gmail.com</t>
  </si>
  <si>
    <t>Shaw</t>
  </si>
  <si>
    <t>john.shaw89@gmail.com</t>
  </si>
  <si>
    <t>Hayden</t>
  </si>
  <si>
    <t>walter.hayden90@gmail.com</t>
  </si>
  <si>
    <t>Carolyn</t>
  </si>
  <si>
    <t>carolyn.gonzales70@gmail.com</t>
  </si>
  <si>
    <t>Ramsey</t>
  </si>
  <si>
    <t>mrs..ramsey98@gmail.com</t>
  </si>
  <si>
    <t>Browning</t>
  </si>
  <si>
    <t>rachel.browning18@gmail.com</t>
  </si>
  <si>
    <t>brianna.cook1@gmail.com</t>
  </si>
  <si>
    <t>Simpson</t>
  </si>
  <si>
    <t>tiffany.simpson59@gmail.com</t>
  </si>
  <si>
    <t>Burnett</t>
  </si>
  <si>
    <t>morgan.burnett87@gmail.com</t>
  </si>
  <si>
    <t>Gary</t>
  </si>
  <si>
    <t>gary.cole34@gmail.com</t>
  </si>
  <si>
    <t>diane.lewis69@gmail.com</t>
  </si>
  <si>
    <t>bryan.lopez79@gmail.com</t>
  </si>
  <si>
    <t>Lynch</t>
  </si>
  <si>
    <t>alyssa.lynch97@gmail.com</t>
  </si>
  <si>
    <t>marcus.wallace80@gmail.com</t>
  </si>
  <si>
    <t>megan.james67@gmail.com</t>
  </si>
  <si>
    <t>christopher.mayer24@gmail.com</t>
  </si>
  <si>
    <t>alexander.rodriguez3@gmail.com</t>
  </si>
  <si>
    <t>jeremy.dixon57@gmail.com</t>
  </si>
  <si>
    <t>CAN0681</t>
  </si>
  <si>
    <t>Isabel</t>
  </si>
  <si>
    <t>isabel.sanchez12@gmail.com</t>
  </si>
  <si>
    <t>Colleen</t>
  </si>
  <si>
    <t>Cisneros</t>
  </si>
  <si>
    <t>colleen.cisneros59@gmail.com</t>
  </si>
  <si>
    <t>jodi.perez89@gmail.com</t>
  </si>
  <si>
    <t>CAN0684</t>
  </si>
  <si>
    <t>daniel.anderson65@gmail.com</t>
  </si>
  <si>
    <t>CAN0685</t>
  </si>
  <si>
    <t>Edwin</t>
  </si>
  <si>
    <t>edwin.willis45@gmail.com</t>
  </si>
  <si>
    <t>Kline</t>
  </si>
  <si>
    <t>ashley.kline61@gmail.com</t>
  </si>
  <si>
    <t>elizabeth.jones45@gmail.com</t>
  </si>
  <si>
    <t>CAN0688</t>
  </si>
  <si>
    <t>anne.jackson39@gmail.com</t>
  </si>
  <si>
    <t>Cheryl</t>
  </si>
  <si>
    <t>Diaz</t>
  </si>
  <si>
    <t>cheryl.diaz22@gmail.com</t>
  </si>
  <si>
    <t>kristi.williams92@gmail.com</t>
  </si>
  <si>
    <t>Roman</t>
  </si>
  <si>
    <t>matthew.roman56@gmail.com</t>
  </si>
  <si>
    <t>Rick</t>
  </si>
  <si>
    <t>rick.clark25@gmail.com</t>
  </si>
  <si>
    <t>Zachary</t>
  </si>
  <si>
    <t>zachary.smith99@gmail.com</t>
  </si>
  <si>
    <t>CAN0694</t>
  </si>
  <si>
    <t>kimberly.jones30@gmail.com</t>
  </si>
  <si>
    <t>leah.harris40@gmail.com</t>
  </si>
  <si>
    <t>Bradley</t>
  </si>
  <si>
    <t>elizabeth.bradley27@gmail.com</t>
  </si>
  <si>
    <t>donna.watson29@gmail.com</t>
  </si>
  <si>
    <t>kathleen.rodriguez96@gmail.com</t>
  </si>
  <si>
    <t>Wilkins</t>
  </si>
  <si>
    <t>brandi.wilkins50@gmail.com</t>
  </si>
  <si>
    <t>Johnny</t>
  </si>
  <si>
    <t>johnny.brown87@gmail.com</t>
  </si>
  <si>
    <t>Madison</t>
  </si>
  <si>
    <t>madison.bell53@gmail.com</t>
  </si>
  <si>
    <t>jimmy.wilkins16@gmail.com</t>
  </si>
  <si>
    <t>Kirsten</t>
  </si>
  <si>
    <t>Ball</t>
  </si>
  <si>
    <t>kirsten.ball21@gmail.com</t>
  </si>
  <si>
    <t>Coleman</t>
  </si>
  <si>
    <t>rachel.coleman51@gmail.com</t>
  </si>
  <si>
    <t>aaron.valenzuela9@gmail.com</t>
  </si>
  <si>
    <t>howard.walker21@gmail.com</t>
  </si>
  <si>
    <t>dana.hernandez79@gmail.com</t>
  </si>
  <si>
    <t>david.long57@gmail.com</t>
  </si>
  <si>
    <t>Miguel</t>
  </si>
  <si>
    <t>Velasquez</t>
  </si>
  <si>
    <t>miguel.velasquez49@gmail.com</t>
  </si>
  <si>
    <t>Pitts</t>
  </si>
  <si>
    <t>rachel.pitts26@gmail.com</t>
  </si>
  <si>
    <t>jorge.lee35@gmail.com</t>
  </si>
  <si>
    <t>CAN0712</t>
  </si>
  <si>
    <t>denise.jones39@gmail.com</t>
  </si>
  <si>
    <t>Jefferson</t>
  </si>
  <si>
    <t>heather.jefferson3@gmail.com</t>
  </si>
  <si>
    <t>marcus.hunt11@gmail.com</t>
  </si>
  <si>
    <t>CAN0715</t>
  </si>
  <si>
    <t>dr..md76@gmail.com</t>
  </si>
  <si>
    <t>michael.gonzalez77@gmail.com</t>
  </si>
  <si>
    <t>nicholas.arnold38@gmail.com</t>
  </si>
  <si>
    <t>Hayes</t>
  </si>
  <si>
    <t>nicholas.hayes66@gmail.com</t>
  </si>
  <si>
    <t>rebecca.miller38@gmail.com</t>
  </si>
  <si>
    <t>david.savage56@gmail.com</t>
  </si>
  <si>
    <t>danielle.rodriguez72@gmail.com</t>
  </si>
  <si>
    <t>mary.baldwin23@gmail.com</t>
  </si>
  <si>
    <t>laura.phd54@gmail.com</t>
  </si>
  <si>
    <t>nicholas.russell72@gmail.com</t>
  </si>
  <si>
    <t>Judith</t>
  </si>
  <si>
    <t>judith.arnold66@gmail.com</t>
  </si>
  <si>
    <t>Greene</t>
  </si>
  <si>
    <t>david.greene23@gmail.com</t>
  </si>
  <si>
    <t>Wise</t>
  </si>
  <si>
    <t>debbie.wise24@gmail.com</t>
  </si>
  <si>
    <t>French</t>
  </si>
  <si>
    <t>angela.french14@gmail.com</t>
  </si>
  <si>
    <t>Ortega</t>
  </si>
  <si>
    <t>jason.ortega35@gmail.com</t>
  </si>
  <si>
    <t>raymond.franco49@gmail.com</t>
  </si>
  <si>
    <t>maria.evans91@gmail.com</t>
  </si>
  <si>
    <t>nathan.smith5@gmail.com</t>
  </si>
  <si>
    <t>Erickson</t>
  </si>
  <si>
    <t>richard.erickson19@gmail.com</t>
  </si>
  <si>
    <t>Deanna</t>
  </si>
  <si>
    <t>Barnes</t>
  </si>
  <si>
    <t>deanna.barnes74@gmail.com</t>
  </si>
  <si>
    <t>Ward</t>
  </si>
  <si>
    <t>justin.ward42@gmail.com</t>
  </si>
  <si>
    <t>scott.peters36@gmail.com</t>
  </si>
  <si>
    <t>david.jordan23@gmail.com</t>
  </si>
  <si>
    <t>Norman</t>
  </si>
  <si>
    <t>norman.king86@gmail.com</t>
  </si>
  <si>
    <t>Mitchell</t>
  </si>
  <si>
    <t>maria.mitchell8@gmail.com</t>
  </si>
  <si>
    <t>michael.bailey12@gmail.com</t>
  </si>
  <si>
    <t>bethany.gill54@gmail.com</t>
  </si>
  <si>
    <t>Maldonado</t>
  </si>
  <si>
    <t>teresa.maldonado43@gmail.com</t>
  </si>
  <si>
    <t>Carpenter</t>
  </si>
  <si>
    <t>christopher.carpenter48@gmail.com</t>
  </si>
  <si>
    <t>michelle.scott9@gmail.com</t>
  </si>
  <si>
    <t>Lin</t>
  </si>
  <si>
    <t>jason.lin65@gmail.com</t>
  </si>
  <si>
    <t>Lynn</t>
  </si>
  <si>
    <t>adam.lynn54@gmail.com</t>
  </si>
  <si>
    <t>ashley.cruz60@gmail.com</t>
  </si>
  <si>
    <t>jeffrey.henderson73@gmail.com</t>
  </si>
  <si>
    <t>benjamin.allen75@gmail.com</t>
  </si>
  <si>
    <t>Santos</t>
  </si>
  <si>
    <t>laura.santos2@gmail.com</t>
  </si>
  <si>
    <t>joseph.fleming34@gmail.com</t>
  </si>
  <si>
    <t>anna.fields79@gmail.com</t>
  </si>
  <si>
    <t>Abigail</t>
  </si>
  <si>
    <t>Hinton</t>
  </si>
  <si>
    <t>abigail.hinton45@gmail.com</t>
  </si>
  <si>
    <t>CAN0754</t>
  </si>
  <si>
    <t>anthony.evans35@gmail.com</t>
  </si>
  <si>
    <t>Case</t>
  </si>
  <si>
    <t>patrick.case96@gmail.com</t>
  </si>
  <si>
    <t>CAN0756</t>
  </si>
  <si>
    <t>jonathan.marks16@gmail.com</t>
  </si>
  <si>
    <t>Shepard</t>
  </si>
  <si>
    <t>richard.shepard20@gmail.com</t>
  </si>
  <si>
    <t>Shelton</t>
  </si>
  <si>
    <t>jennifer.shelton24@gmail.com</t>
  </si>
  <si>
    <t>CAN0759</t>
  </si>
  <si>
    <t>Willie</t>
  </si>
  <si>
    <t>Romero</t>
  </si>
  <si>
    <t>willie.romero41@gmail.com</t>
  </si>
  <si>
    <t>Lawson</t>
  </si>
  <si>
    <t>cynthia.lawson24@gmail.com</t>
  </si>
  <si>
    <t>justin.wright26@gmail.com</t>
  </si>
  <si>
    <t>christopher.howard70@gmail.com</t>
  </si>
  <si>
    <t>Meagan</t>
  </si>
  <si>
    <t>Yang</t>
  </si>
  <si>
    <t>meagan.yang1@gmail.com</t>
  </si>
  <si>
    <t>john.hunt15@gmail.com</t>
  </si>
  <si>
    <t>Watts</t>
  </si>
  <si>
    <t>anthony.watts90@gmail.com</t>
  </si>
  <si>
    <t>bethany.pitts57@gmail.com</t>
  </si>
  <si>
    <t>benjamin.yang58@gmail.com</t>
  </si>
  <si>
    <t>Sarah</t>
  </si>
  <si>
    <t>sarah.montgomery99@gmail.com</t>
  </si>
  <si>
    <t>Katelyn</t>
  </si>
  <si>
    <t>katelyn.alexander16@gmail.com</t>
  </si>
  <si>
    <t>Kendra</t>
  </si>
  <si>
    <t>kendra.roberts37@gmail.com</t>
  </si>
  <si>
    <t>paula.morgan80@gmail.com</t>
  </si>
  <si>
    <t>Chase</t>
  </si>
  <si>
    <t>Jensen</t>
  </si>
  <si>
    <t>chase.jensen69@gmail.com</t>
  </si>
  <si>
    <t>raymond.romero94@gmail.com</t>
  </si>
  <si>
    <t>Connie</t>
  </si>
  <si>
    <t>Parker</t>
  </si>
  <si>
    <t>connie.parker26@gmail.com</t>
  </si>
  <si>
    <t>janet.willis29@gmail.com</t>
  </si>
  <si>
    <t>Washington</t>
  </si>
  <si>
    <t>andrea.washington74@gmail.com</t>
  </si>
  <si>
    <t>peter.gray50@gmail.com</t>
  </si>
  <si>
    <t>Wayne</t>
  </si>
  <si>
    <t>wayne.davis21@gmail.com</t>
  </si>
  <si>
    <t>Butler</t>
  </si>
  <si>
    <t>kevin.butler69@gmail.com</t>
  </si>
  <si>
    <t>Vaughn</t>
  </si>
  <si>
    <t>kimberly.vaughn68@gmail.com</t>
  </si>
  <si>
    <t>heidi.newman11@gmail.com</t>
  </si>
  <si>
    <t>terry.mccoy35@gmail.com</t>
  </si>
  <si>
    <t>Suzanne</t>
  </si>
  <si>
    <t>suzanne.williams18@gmail.com</t>
  </si>
  <si>
    <t>Diana</t>
  </si>
  <si>
    <t>diana.davis69@gmail.com</t>
  </si>
  <si>
    <t>Yu</t>
  </si>
  <si>
    <t>david.yu57@gmail.com</t>
  </si>
  <si>
    <t>Chaney</t>
  </si>
  <si>
    <t>heather.chaney39@gmail.com</t>
  </si>
  <si>
    <t>Moran</t>
  </si>
  <si>
    <t>deborah.moran49@gmail.com</t>
  </si>
  <si>
    <t>Stephenson</t>
  </si>
  <si>
    <t>william.stephenson83@gmail.com</t>
  </si>
  <si>
    <t>amanda.jenkins61@gmail.com</t>
  </si>
  <si>
    <t>erica.dawson18@gmail.com</t>
  </si>
  <si>
    <t>Bridges</t>
  </si>
  <si>
    <t>erica.bridges24@gmail.com</t>
  </si>
  <si>
    <t>chad.brown25@gmail.com</t>
  </si>
  <si>
    <t>mr..phd39@gmail.com</t>
  </si>
  <si>
    <t>larry.garcia87@gmail.com</t>
  </si>
  <si>
    <t>Castro</t>
  </si>
  <si>
    <t>emma.castro30@gmail.com</t>
  </si>
  <si>
    <t>Proctor</t>
  </si>
  <si>
    <t>jonathan.proctor2@gmail.com</t>
  </si>
  <si>
    <t>Horton</t>
  </si>
  <si>
    <t>sharon.horton24@gmail.com</t>
  </si>
  <si>
    <t>CAN0798</t>
  </si>
  <si>
    <t>brian.burnett93@gmail.com</t>
  </si>
  <si>
    <t>Sosa</t>
  </si>
  <si>
    <t>jonathan.sosa18@gmail.com</t>
  </si>
  <si>
    <t>Dorothy</t>
  </si>
  <si>
    <t>Page</t>
  </si>
  <si>
    <t>dorothy.page90@gmail.com</t>
  </si>
  <si>
    <t>CAN0801</t>
  </si>
  <si>
    <t>eric.warner25@gmail.com</t>
  </si>
  <si>
    <t>Berger</t>
  </si>
  <si>
    <t>fred.berger36@gmail.com</t>
  </si>
  <si>
    <t>CAN0803</t>
  </si>
  <si>
    <t>Dean</t>
  </si>
  <si>
    <t>ann.dean80@gmail.com</t>
  </si>
  <si>
    <t>West</t>
  </si>
  <si>
    <t>brenda.west44@gmail.com</t>
  </si>
  <si>
    <t>justin.haynes70@gmail.com</t>
  </si>
  <si>
    <t>eric.taylor20@gmail.com</t>
  </si>
  <si>
    <t>Vaughan</t>
  </si>
  <si>
    <t>nicole.vaughan70@gmail.com</t>
  </si>
  <si>
    <t>michelle.adams70@gmail.com</t>
  </si>
  <si>
    <t>Jack</t>
  </si>
  <si>
    <t>jack.jackson94@gmail.com</t>
  </si>
  <si>
    <t>claire.atkins63@gmail.com</t>
  </si>
  <si>
    <t>samantha.carter6@gmail.com</t>
  </si>
  <si>
    <t>CAN0812</t>
  </si>
  <si>
    <t>christopher.sheppard86@gmail.com</t>
  </si>
  <si>
    <t>amber.martinez8@gmail.com</t>
  </si>
  <si>
    <t>CAN0814</t>
  </si>
  <si>
    <t>brenda.gonzalez64@gmail.com</t>
  </si>
  <si>
    <t>christopher.mills54@gmail.com</t>
  </si>
  <si>
    <t>jeffrey.lee66@gmail.com</t>
  </si>
  <si>
    <t>Rios</t>
  </si>
  <si>
    <t>john.rios16@gmail.com</t>
  </si>
  <si>
    <t>ashley.davis94@gmail.com</t>
  </si>
  <si>
    <t>Johnathan</t>
  </si>
  <si>
    <t>Odonnell</t>
  </si>
  <si>
    <t>johnathan.odonnell61@gmail.com</t>
  </si>
  <si>
    <t>Brittney</t>
  </si>
  <si>
    <t>brittney.moore57@gmail.com</t>
  </si>
  <si>
    <t>Herrera</t>
  </si>
  <si>
    <t>cole.herrera19@gmail.com</t>
  </si>
  <si>
    <t>Bennett</t>
  </si>
  <si>
    <t>joseph.bennett17@gmail.com</t>
  </si>
  <si>
    <t>megan.scott55@gmail.com</t>
  </si>
  <si>
    <t>Reese</t>
  </si>
  <si>
    <t>theresa.reese58@gmail.com</t>
  </si>
  <si>
    <t>CAN0825</t>
  </si>
  <si>
    <t>Davenport</t>
  </si>
  <si>
    <t>brian.davenport37@gmail.com</t>
  </si>
  <si>
    <t>Holly</t>
  </si>
  <si>
    <t>holly.hernandez90@gmail.com</t>
  </si>
  <si>
    <t>Mccann</t>
  </si>
  <si>
    <t>brian.mccann76@gmail.com</t>
  </si>
  <si>
    <t>madison.bryan57@gmail.com</t>
  </si>
  <si>
    <t>Pittman</t>
  </si>
  <si>
    <t>stephanie.pittman2@gmail.com</t>
  </si>
  <si>
    <t>martin.walker28@gmail.com</t>
  </si>
  <si>
    <t>andrew.collins94@gmail.com</t>
  </si>
  <si>
    <t>vanessa.green44@gmail.com</t>
  </si>
  <si>
    <t>CAN0833</t>
  </si>
  <si>
    <t>Meghan</t>
  </si>
  <si>
    <t>meghan.long66@gmail.com</t>
  </si>
  <si>
    <t>jasmine.fisher57@gmail.com</t>
  </si>
  <si>
    <t>william.md98@gmail.com</t>
  </si>
  <si>
    <t>Morton</t>
  </si>
  <si>
    <t>melissa.morton83@gmail.com</t>
  </si>
  <si>
    <t>david.harris17@gmail.com</t>
  </si>
  <si>
    <t>sarah.anderson88@gmail.com</t>
  </si>
  <si>
    <t>heather.baker14@gmail.com</t>
  </si>
  <si>
    <t>lisa.carter87@gmail.com</t>
  </si>
  <si>
    <t>christopher.henry3@gmail.com</t>
  </si>
  <si>
    <t>tammy.jackson63@gmail.com</t>
  </si>
  <si>
    <t>rhonda.herrera46@gmail.com</t>
  </si>
  <si>
    <t>jennifer.gordon88@gmail.com</t>
  </si>
  <si>
    <t>william.mckenzie45@gmail.com</t>
  </si>
  <si>
    <t>Jesse</t>
  </si>
  <si>
    <t>jesse.anderson67@gmail.com</t>
  </si>
  <si>
    <t>ashley.roberts66@gmail.com</t>
  </si>
  <si>
    <t>sheila.lambert12@gmail.com</t>
  </si>
  <si>
    <t>Kayla</t>
  </si>
  <si>
    <t>kayla.bennett89@gmail.com</t>
  </si>
  <si>
    <t>christopher.adams23@gmail.com</t>
  </si>
  <si>
    <t>jessica.hunt31@gmail.com</t>
  </si>
  <si>
    <t>CAN0852</t>
  </si>
  <si>
    <t>erika.smith69@gmail.com</t>
  </si>
  <si>
    <t>stephanie.jackson42@gmail.com</t>
  </si>
  <si>
    <t>Melinda</t>
  </si>
  <si>
    <t>Mcintyre</t>
  </si>
  <si>
    <t>melinda.mcintyre19@gmail.com</t>
  </si>
  <si>
    <t>ryan.wilson6@gmail.com</t>
  </si>
  <si>
    <t>CAN0856</t>
  </si>
  <si>
    <t>sarah.brown68@gmail.com</t>
  </si>
  <si>
    <t>christopher.miller10@gmail.com</t>
  </si>
  <si>
    <t>Tapia</t>
  </si>
  <si>
    <t>richard.tapia68@gmail.com</t>
  </si>
  <si>
    <t>glenn.davis14@gmail.com</t>
  </si>
  <si>
    <t>Schwartz</t>
  </si>
  <si>
    <t>andrew.schwartz7@gmail.com</t>
  </si>
  <si>
    <t>Gentry</t>
  </si>
  <si>
    <t>lynn.gentry68@gmail.com</t>
  </si>
  <si>
    <t>Wolfe</t>
  </si>
  <si>
    <t>ryan.wolfe39@gmail.com</t>
  </si>
  <si>
    <t>CAN0863</t>
  </si>
  <si>
    <t>Monique</t>
  </si>
  <si>
    <t>monique.md58@gmail.com</t>
  </si>
  <si>
    <t>michael.jensen92@gmail.com</t>
  </si>
  <si>
    <t>Branch</t>
  </si>
  <si>
    <t>samantha.branch4@gmail.com</t>
  </si>
  <si>
    <t>CAN0866</t>
  </si>
  <si>
    <t>Downs</t>
  </si>
  <si>
    <t>joe.downs84@gmail.com</t>
  </si>
  <si>
    <t>Juan</t>
  </si>
  <si>
    <t>Davidson</t>
  </si>
  <si>
    <t>juan.davidson68@gmail.com</t>
  </si>
  <si>
    <t>Dudley</t>
  </si>
  <si>
    <t>jason.dudley16@gmail.com</t>
  </si>
  <si>
    <t>Bonilla</t>
  </si>
  <si>
    <t>emily.bonilla29@gmail.com</t>
  </si>
  <si>
    <t>melinda.grant87@gmail.com</t>
  </si>
  <si>
    <t>Newton</t>
  </si>
  <si>
    <t>sandra.newton61@gmail.com</t>
  </si>
  <si>
    <t>Hopkins</t>
  </si>
  <si>
    <t>jason.hopkins65@gmail.com</t>
  </si>
  <si>
    <t>CAN0873</t>
  </si>
  <si>
    <t>eric.parker78@gmail.com</t>
  </si>
  <si>
    <t>brian.nguyen44@gmail.com</t>
  </si>
  <si>
    <t>kelly.smith9@gmail.com</t>
  </si>
  <si>
    <t>lonnie.baker53@gmail.com</t>
  </si>
  <si>
    <t>rachel.burton83@gmail.com</t>
  </si>
  <si>
    <t>stephen.ward97@gmail.com</t>
  </si>
  <si>
    <t>samantha.sullivan71@gmail.com</t>
  </si>
  <si>
    <t>scott.diaz13@gmail.com</t>
  </si>
  <si>
    <t>CAN0881</t>
  </si>
  <si>
    <t>Norma</t>
  </si>
  <si>
    <t>norma.garcia92@gmail.com</t>
  </si>
  <si>
    <t>vanessa.webb33@gmail.com</t>
  </si>
  <si>
    <t>raymond.cruz74@gmail.com</t>
  </si>
  <si>
    <t>jonathan.thomas25@gmail.com</t>
  </si>
  <si>
    <t>haley.thomas92@gmail.com</t>
  </si>
  <si>
    <t>gregory.brown34@gmail.com</t>
  </si>
  <si>
    <t>charles.henry30@gmail.com</t>
  </si>
  <si>
    <t>Mike</t>
  </si>
  <si>
    <t>mike.gomez52@gmail.com</t>
  </si>
  <si>
    <t>daniel.jones58@gmail.com</t>
  </si>
  <si>
    <t>samantha.campbell87@gmail.com</t>
  </si>
  <si>
    <t>Koch</t>
  </si>
  <si>
    <t>mr..koch60@gmail.com</t>
  </si>
  <si>
    <t>Jean</t>
  </si>
  <si>
    <t>jean.nguyen81@gmail.com</t>
  </si>
  <si>
    <t>Cline</t>
  </si>
  <si>
    <t>william.cline56@gmail.com</t>
  </si>
  <si>
    <t>CAN0894</t>
  </si>
  <si>
    <t>leslie.gibson40@gmail.com</t>
  </si>
  <si>
    <t>aaron.kelly10@gmail.com</t>
  </si>
  <si>
    <t>james.rivera45@gmail.com</t>
  </si>
  <si>
    <t>isaac.garcia1@gmail.com</t>
  </si>
  <si>
    <t>Javier</t>
  </si>
  <si>
    <t>javier.flores14@gmail.com</t>
  </si>
  <si>
    <t>deborah.young3@gmail.com</t>
  </si>
  <si>
    <t>samantha.holmes60@gmail.com</t>
  </si>
  <si>
    <t>lindsay.parker3@gmail.com</t>
  </si>
  <si>
    <t>elijah.zimmerman93@gmail.com</t>
  </si>
  <si>
    <t>andrew.tran69@gmail.com</t>
  </si>
  <si>
    <t>mary.gonzalez89@gmail.com</t>
  </si>
  <si>
    <t>thomas.gross82@gmail.com</t>
  </si>
  <si>
    <t>jessica.shelton8@gmail.com</t>
  </si>
  <si>
    <t>jonathan.gray99@gmail.com</t>
  </si>
  <si>
    <t>holly.martin44@gmail.com</t>
  </si>
  <si>
    <t>taylor.hamilton70@gmail.com</t>
  </si>
  <si>
    <t>catherine.franco17@gmail.com</t>
  </si>
  <si>
    <t>ronald.knight83@gmail.com</t>
  </si>
  <si>
    <t>Carla</t>
  </si>
  <si>
    <t>carla.rose39@gmail.com</t>
  </si>
  <si>
    <t>Miles</t>
  </si>
  <si>
    <t>craig.miles71@gmail.com</t>
  </si>
  <si>
    <t>Mckee</t>
  </si>
  <si>
    <t>samantha.mckee95@gmail.com</t>
  </si>
  <si>
    <t>michele.wilcox27@gmail.com</t>
  </si>
  <si>
    <t>alexander.torres42@gmail.com</t>
  </si>
  <si>
    <t>natasha.marshall61@gmail.com</t>
  </si>
  <si>
    <t>brandon.drake16@gmail.com</t>
  </si>
  <si>
    <t>Dyer</t>
  </si>
  <si>
    <t>greg.dyer85@gmail.com</t>
  </si>
  <si>
    <t>christian.king45@gmail.com</t>
  </si>
  <si>
    <t>Courtney</t>
  </si>
  <si>
    <t>courtney.md34@gmail.com</t>
  </si>
  <si>
    <t>Edward</t>
  </si>
  <si>
    <t>Ramos</t>
  </si>
  <si>
    <t>edward.ramos24@gmail.com</t>
  </si>
  <si>
    <t>karen.holland27@gmail.com</t>
  </si>
  <si>
    <t>kyle.md41@gmail.com</t>
  </si>
  <si>
    <t>CAN0925</t>
  </si>
  <si>
    <t>lisa.watson74@gmail.com</t>
  </si>
  <si>
    <t>dr..dvm44@gmail.com</t>
  </si>
  <si>
    <t>Schaefer</t>
  </si>
  <si>
    <t>joseph.schaefer69@gmail.com</t>
  </si>
  <si>
    <t>ronald.martinez51@gmail.com</t>
  </si>
  <si>
    <t>michelle.myers53@gmail.com</t>
  </si>
  <si>
    <t>richard.johnson64@gmail.com</t>
  </si>
  <si>
    <t>thomas.gomez39@gmail.com</t>
  </si>
  <si>
    <t>CAN0932</t>
  </si>
  <si>
    <t>thomas.shaw36@gmail.com</t>
  </si>
  <si>
    <t>nathan.garrett46@gmail.com</t>
  </si>
  <si>
    <t>Wilkerson</t>
  </si>
  <si>
    <t>rhonda.wilkerson27@gmail.com</t>
  </si>
  <si>
    <t>brittany.frazier6@gmail.com</t>
  </si>
  <si>
    <t>Vasquez</t>
  </si>
  <si>
    <t>aaron.vasquez75@gmail.com</t>
  </si>
  <si>
    <t>Pamela</t>
  </si>
  <si>
    <t>pamela.williams48@gmail.com</t>
  </si>
  <si>
    <t>garrett.lopez27@gmail.com</t>
  </si>
  <si>
    <t>Klein</t>
  </si>
  <si>
    <t>krista.klein16@gmail.com</t>
  </si>
  <si>
    <t>wendy.evans20@gmail.com</t>
  </si>
  <si>
    <t>Dawn</t>
  </si>
  <si>
    <t>dawn.harris62@gmail.com</t>
  </si>
  <si>
    <t>michael.erickson79@gmail.com</t>
  </si>
  <si>
    <t>mr..sanchez31@gmail.com</t>
  </si>
  <si>
    <t>Riley</t>
  </si>
  <si>
    <t>crystal.riley92@gmail.com</t>
  </si>
  <si>
    <t>CAN0945</t>
  </si>
  <si>
    <t>jennifer.williams9@gmail.com</t>
  </si>
  <si>
    <t>CAN0946</t>
  </si>
  <si>
    <t>matthew.browning65@gmail.com</t>
  </si>
  <si>
    <t>charles.king24@gmail.com</t>
  </si>
  <si>
    <t>brandon.moore55@gmail.com</t>
  </si>
  <si>
    <t>Mariah</t>
  </si>
  <si>
    <t>Johns</t>
  </si>
  <si>
    <t>mariah.johns50@gmail.com</t>
  </si>
  <si>
    <t>amy.young75@gmail.com</t>
  </si>
  <si>
    <t>jessica.brown7@gmail.com</t>
  </si>
  <si>
    <t>CAN0952</t>
  </si>
  <si>
    <t>Short</t>
  </si>
  <si>
    <t>christopher.short98@gmail.com</t>
  </si>
  <si>
    <t>margaret.campbell79@gmail.com</t>
  </si>
  <si>
    <t>Alejandro</t>
  </si>
  <si>
    <t>alejandro.ewing34@gmail.com</t>
  </si>
  <si>
    <t>anna.arnold24@gmail.com</t>
  </si>
  <si>
    <t>timothy.elliott7@gmail.com</t>
  </si>
  <si>
    <t>Howell</t>
  </si>
  <si>
    <t>stephen.howell5@gmail.com</t>
  </si>
  <si>
    <t>Shaffer</t>
  </si>
  <si>
    <t>michael.shaffer49@gmail.com</t>
  </si>
  <si>
    <t>Calderon</t>
  </si>
  <si>
    <t>ryan.calderon3@gmail.com</t>
  </si>
  <si>
    <t>Solis</t>
  </si>
  <si>
    <t>colleen.solis15@gmail.com</t>
  </si>
  <si>
    <t>Alison</t>
  </si>
  <si>
    <t>alison.johnson43@gmail.com</t>
  </si>
  <si>
    <t>Sheri</t>
  </si>
  <si>
    <t>Peterson</t>
  </si>
  <si>
    <t>sheri.peterson80@gmail.com</t>
  </si>
  <si>
    <t>diana.sanchez49@gmail.com</t>
  </si>
  <si>
    <t>justin.ortega5@gmail.com</t>
  </si>
  <si>
    <t>Eugene</t>
  </si>
  <si>
    <t>Larsen</t>
  </si>
  <si>
    <t>eugene.larsen67@gmail.com</t>
  </si>
  <si>
    <t>paula.giles26@gmail.com</t>
  </si>
  <si>
    <t>nicole.miller4@gmail.com</t>
  </si>
  <si>
    <t>donna.bailey3@gmail.com</t>
  </si>
  <si>
    <t>jennifer.brown83@gmail.com</t>
  </si>
  <si>
    <t>Bird</t>
  </si>
  <si>
    <t>kyle.bird91@gmail.com</t>
  </si>
  <si>
    <t>Preston</t>
  </si>
  <si>
    <t>anthony.preston14@gmail.com</t>
  </si>
  <si>
    <t>CAN0972</t>
  </si>
  <si>
    <t>joseph.hamilton85@gmail.com</t>
  </si>
  <si>
    <t>Nathaniel</t>
  </si>
  <si>
    <t>nathaniel.merritt47@gmail.com</t>
  </si>
  <si>
    <t>matthew.scott42@gmail.com</t>
  </si>
  <si>
    <t>Virginia</t>
  </si>
  <si>
    <t>virginia.lopez30@gmail.com</t>
  </si>
  <si>
    <t>julie.williams35@gmail.com</t>
  </si>
  <si>
    <t>CAN0977</t>
  </si>
  <si>
    <t>Wu</t>
  </si>
  <si>
    <t>christopher.wu91@gmail.com</t>
  </si>
  <si>
    <t>christina.gross85@gmail.com</t>
  </si>
  <si>
    <t>robert.hall71@gmail.com</t>
  </si>
  <si>
    <t>CAN0980</t>
  </si>
  <si>
    <t>Vega</t>
  </si>
  <si>
    <t>rebecca.vega21@gmail.com</t>
  </si>
  <si>
    <t>michael.bowers70@gmail.com</t>
  </si>
  <si>
    <t>Trevor</t>
  </si>
  <si>
    <t>trevor.wagner74@gmail.com</t>
  </si>
  <si>
    <t>michael.martin19@gmail.com</t>
  </si>
  <si>
    <t>Doris</t>
  </si>
  <si>
    <t>Stephens</t>
  </si>
  <si>
    <t>doris.stephens80@gmail.com</t>
  </si>
  <si>
    <t>Cathy</t>
  </si>
  <si>
    <t>cathy.nelson16@gmail.com</t>
  </si>
  <si>
    <t>Carrie</t>
  </si>
  <si>
    <t>Wells</t>
  </si>
  <si>
    <t>carrie.wells9@gmail.com</t>
  </si>
  <si>
    <t>brittany.moran47@gmail.com</t>
  </si>
  <si>
    <t>Barber</t>
  </si>
  <si>
    <t>amy.barber10@gmail.com</t>
  </si>
  <si>
    <t>joseph.young8@gmail.com</t>
  </si>
  <si>
    <t>jamie.boyd18@gmail.com</t>
  </si>
  <si>
    <t>jill.smith44@gmail.com</t>
  </si>
  <si>
    <t>tammy.howell8@gmail.com</t>
  </si>
  <si>
    <t>christopher.baker69@gmail.com</t>
  </si>
  <si>
    <t>Miranda</t>
  </si>
  <si>
    <t>julia.miranda62@gmail.com</t>
  </si>
  <si>
    <t>frank.gonzales18@gmail.com</t>
  </si>
  <si>
    <t>meagan.young56@gmail.com</t>
  </si>
  <si>
    <t>Mayo</t>
  </si>
  <si>
    <t>heidi.mayo17@gmail.com</t>
  </si>
  <si>
    <t>william.porter39@gmail.com</t>
  </si>
  <si>
    <t>Henson</t>
  </si>
  <si>
    <t>tyler.henson43@gmail.com</t>
  </si>
  <si>
    <t>CAN1000</t>
  </si>
  <si>
    <t>richard.walker38@gmail.com</t>
  </si>
  <si>
    <t>christopher.andrews30@gmail.com</t>
  </si>
  <si>
    <t>Alexis</t>
  </si>
  <si>
    <t>alexis.peterson10@gmail.com</t>
  </si>
  <si>
    <t>ashley.parker61@gmail.com</t>
  </si>
  <si>
    <t>beth.gonzalez66@gmail.com</t>
  </si>
  <si>
    <t>crystal.jordan59@gmail.com</t>
  </si>
  <si>
    <t>Darren</t>
  </si>
  <si>
    <t>darren.delgado80@gmail.com</t>
  </si>
  <si>
    <t>Rojas</t>
  </si>
  <si>
    <t>brittany.rojas55@gmail.com</t>
  </si>
  <si>
    <t>Kristy</t>
  </si>
  <si>
    <t>kristy.brown83@gmail.com</t>
  </si>
  <si>
    <t>Strickland</t>
  </si>
  <si>
    <t>allen.strickland24@gmail.com</t>
  </si>
  <si>
    <t>CAN1010</t>
  </si>
  <si>
    <t>justin.todd91@gmail.com</t>
  </si>
  <si>
    <t>Yates</t>
  </si>
  <si>
    <t>john.yates54@gmail.com</t>
  </si>
  <si>
    <t>Savannah</t>
  </si>
  <si>
    <t>savannah.blair24@gmail.com</t>
  </si>
  <si>
    <t>justin.perez5@gmail.com</t>
  </si>
  <si>
    <t>Adrian</t>
  </si>
  <si>
    <t>adrian.wheeler79@gmail.com</t>
  </si>
  <si>
    <t>Humphrey</t>
  </si>
  <si>
    <t>jill.humphrey6@gmail.com</t>
  </si>
  <si>
    <t>Joanna</t>
  </si>
  <si>
    <t>joanna.adams29@gmail.com</t>
  </si>
  <si>
    <t>carrie.parker38@gmail.com</t>
  </si>
  <si>
    <t>jacob.thomas34@gmail.com</t>
  </si>
  <si>
    <t>Price</t>
  </si>
  <si>
    <t>paula.price80@gmail.com</t>
  </si>
  <si>
    <t>Lawrence</t>
  </si>
  <si>
    <t>zachary.lawrence28@gmail.com</t>
  </si>
  <si>
    <t>Shawn</t>
  </si>
  <si>
    <t>shawn.martinez29@gmail.com</t>
  </si>
  <si>
    <t>Cain</t>
  </si>
  <si>
    <t>daniel.cain94@gmail.com</t>
  </si>
  <si>
    <t>Byrd</t>
  </si>
  <si>
    <t>lisa.byrd57@gmail.com</t>
  </si>
  <si>
    <t>Steve</t>
  </si>
  <si>
    <t>steve.miller89@gmail.com</t>
  </si>
  <si>
    <t>heather.evans43@gmail.com</t>
  </si>
  <si>
    <t>Warren</t>
  </si>
  <si>
    <t>brenda.warren54@gmail.com</t>
  </si>
  <si>
    <t>colleen.ross28@gmail.com</t>
  </si>
  <si>
    <t>Pierce</t>
  </si>
  <si>
    <t>alexandria.pierce20@gmail.com</t>
  </si>
  <si>
    <t>Hobbs</t>
  </si>
  <si>
    <t>laura.hobbs57@gmail.com</t>
  </si>
  <si>
    <t>Kennedy</t>
  </si>
  <si>
    <t>christopher.kennedy71@gmail.com</t>
  </si>
  <si>
    <t>kathleen.valenzuela24@gmail.com</t>
  </si>
  <si>
    <t>Judy</t>
  </si>
  <si>
    <t>Valentine</t>
  </si>
  <si>
    <t>judy.valentine66@gmail.com</t>
  </si>
  <si>
    <t>karen.crawford10@gmail.com</t>
  </si>
  <si>
    <t>Mullen</t>
  </si>
  <si>
    <t>jamie.mullen93@gmail.com</t>
  </si>
  <si>
    <t>paul.vance98@gmail.com</t>
  </si>
  <si>
    <t>Vickie</t>
  </si>
  <si>
    <t>vickie.cooper61@gmail.com</t>
  </si>
  <si>
    <t>CAN1037</t>
  </si>
  <si>
    <t>william.thomas9@gmail.com</t>
  </si>
  <si>
    <t>christy.brennan4@gmail.com</t>
  </si>
  <si>
    <t>Stacy</t>
  </si>
  <si>
    <t>stacy.williams81@gmail.com</t>
  </si>
  <si>
    <t>CAN1040</t>
  </si>
  <si>
    <t>paul.wright97@gmail.com</t>
  </si>
  <si>
    <t>michael.schmidt62@gmail.com</t>
  </si>
  <si>
    <t>mark.diaz27@gmail.com</t>
  </si>
  <si>
    <t>Dennis</t>
  </si>
  <si>
    <t>Edwards</t>
  </si>
  <si>
    <t>dennis.edwards97@gmail.com</t>
  </si>
  <si>
    <t>English</t>
  </si>
  <si>
    <t>bryan.english38@gmail.com</t>
  </si>
  <si>
    <t>erica.hill92@gmail.com</t>
  </si>
  <si>
    <t>Candice</t>
  </si>
  <si>
    <t>candice.johnson88@gmail.com</t>
  </si>
  <si>
    <t>ashley.schmidt95@gmail.com</t>
  </si>
  <si>
    <t>Neal</t>
  </si>
  <si>
    <t>paul.neal21@gmail.com</t>
  </si>
  <si>
    <t>Mcneil</t>
  </si>
  <si>
    <t>frank.mcneil57@gmail.com</t>
  </si>
  <si>
    <t>brian.king77@gmail.com</t>
  </si>
  <si>
    <t>willie.soto70@gmail.com</t>
  </si>
  <si>
    <t>CAN1052</t>
  </si>
  <si>
    <t>Glenda</t>
  </si>
  <si>
    <t>glenda.taylor32@gmail.com</t>
  </si>
  <si>
    <t>Fox</t>
  </si>
  <si>
    <t>megan.fox93@gmail.com</t>
  </si>
  <si>
    <t>diane.powell95@gmail.com</t>
  </si>
  <si>
    <t>bradley.guerrero58@gmail.com</t>
  </si>
  <si>
    <t>candice.reynolds74@gmail.com</t>
  </si>
  <si>
    <t>jessica.hardy41@gmail.com</t>
  </si>
  <si>
    <t>stephanie.vega14@gmail.com</t>
  </si>
  <si>
    <t>Jaime</t>
  </si>
  <si>
    <t>jaime.barnes35@gmail.com</t>
  </si>
  <si>
    <t>Robin</t>
  </si>
  <si>
    <t>Camacho</t>
  </si>
  <si>
    <t>robin.camacho37@gmail.com</t>
  </si>
  <si>
    <t>Rachael</t>
  </si>
  <si>
    <t>Barnett</t>
  </si>
  <si>
    <t>rachael.barnett47@gmail.com</t>
  </si>
  <si>
    <t>maria.torres32@gmail.com</t>
  </si>
  <si>
    <t>CAN1063</t>
  </si>
  <si>
    <t>Silva</t>
  </si>
  <si>
    <t>john.silva66@gmail.com</t>
  </si>
  <si>
    <t>Darrell</t>
  </si>
  <si>
    <t>darrell.martinez64@gmail.com</t>
  </si>
  <si>
    <t>Pratt</t>
  </si>
  <si>
    <t>howard.pratt29@gmail.com</t>
  </si>
  <si>
    <t>jeremy.richardson38@gmail.com</t>
  </si>
  <si>
    <t>Valdez</t>
  </si>
  <si>
    <t>robert.valdez80@gmail.com</t>
  </si>
  <si>
    <t>CAN1068</t>
  </si>
  <si>
    <t>jose.davis97@gmail.com</t>
  </si>
  <si>
    <t>Jacobson</t>
  </si>
  <si>
    <t>amy.jacobson93@gmail.com</t>
  </si>
  <si>
    <t>donald.porter59@gmail.com</t>
  </si>
  <si>
    <t>christopher.haynes46@gmail.com</t>
  </si>
  <si>
    <t>mark.white41@gmail.com</t>
  </si>
  <si>
    <t>CAN1073</t>
  </si>
  <si>
    <t>brandon.thompson61@gmail.com</t>
  </si>
  <si>
    <t>samantha.clark99@gmail.com</t>
  </si>
  <si>
    <t>jeffrey.hill64@gmail.com</t>
  </si>
  <si>
    <t>CAN1076</t>
  </si>
  <si>
    <t>Briana</t>
  </si>
  <si>
    <t>briana.shaw27@gmail.com</t>
  </si>
  <si>
    <t>jeffrey.fowler84@gmail.com</t>
  </si>
  <si>
    <t>david.schwartz83@gmail.com</t>
  </si>
  <si>
    <t>james.holmes10@gmail.com</t>
  </si>
  <si>
    <t>Wesley</t>
  </si>
  <si>
    <t>wesley.joseph9@gmail.com</t>
  </si>
  <si>
    <t>CAN1081</t>
  </si>
  <si>
    <t>justin.davidson44@gmail.com</t>
  </si>
  <si>
    <t>keith.fuller89@gmail.com</t>
  </si>
  <si>
    <t>michael.butler94@gmail.com</t>
  </si>
  <si>
    <t>CAN1084</t>
  </si>
  <si>
    <t>Jon</t>
  </si>
  <si>
    <t>jon.herrera47@gmail.com</t>
  </si>
  <si>
    <t>lisa.sims54@gmail.com</t>
  </si>
  <si>
    <t>Sutton</t>
  </si>
  <si>
    <t>aaron.sutton27@gmail.com</t>
  </si>
  <si>
    <t>Wilkinson</t>
  </si>
  <si>
    <t>eric.wilkinson66@gmail.com</t>
  </si>
  <si>
    <t>kristen.sandoval91@gmail.com</t>
  </si>
  <si>
    <t>andrew.beck39@gmail.com</t>
  </si>
  <si>
    <t>mark.daniels77@gmail.com</t>
  </si>
  <si>
    <t>lisa.english63@gmail.com</t>
  </si>
  <si>
    <t>mr..md41@gmail.com</t>
  </si>
  <si>
    <t>kayla.adams76@gmail.com</t>
  </si>
  <si>
    <t>Colin</t>
  </si>
  <si>
    <t>colin.gregory23@gmail.com</t>
  </si>
  <si>
    <t>Valerie</t>
  </si>
  <si>
    <t>valerie.foster85@gmail.com</t>
  </si>
  <si>
    <t>stephen.bennett39@gmail.com</t>
  </si>
  <si>
    <t>michael.long12@gmail.com</t>
  </si>
  <si>
    <t>mrs..anderson71@gmail.com</t>
  </si>
  <si>
    <t>travis.md78@gmail.com</t>
  </si>
  <si>
    <t>wesley.santos54@gmail.com</t>
  </si>
  <si>
    <t>george.gonzales92@gmail.com</t>
  </si>
  <si>
    <t>curtis.white95@gmail.com</t>
  </si>
  <si>
    <t>Forbes</t>
  </si>
  <si>
    <t>sean.forbes9@gmail.com</t>
  </si>
  <si>
    <t>Dalton</t>
  </si>
  <si>
    <t>dalton.pope20@gmail.com</t>
  </si>
  <si>
    <t>janet.garcia28@gmail.com</t>
  </si>
  <si>
    <t>edward.allen80@gmail.com</t>
  </si>
  <si>
    <t>Werner</t>
  </si>
  <si>
    <t>mary.werner62@gmail.com</t>
  </si>
  <si>
    <t>Sophia</t>
  </si>
  <si>
    <t>Oconnor</t>
  </si>
  <si>
    <t>sophia.oconnor40@gmail.com</t>
  </si>
  <si>
    <t>ryan.lin68@gmail.com</t>
  </si>
  <si>
    <t>Rosales</t>
  </si>
  <si>
    <t>denise.rosales63@gmail.com</t>
  </si>
  <si>
    <t>Gina</t>
  </si>
  <si>
    <t>gina.gonzalez59@gmail.com</t>
  </si>
  <si>
    <t>miranda.ball78@gmail.com</t>
  </si>
  <si>
    <t>christopher.kelly75@gmail.com</t>
  </si>
  <si>
    <t>Stevens</t>
  </si>
  <si>
    <t>franklin.stevens44@gmail.com</t>
  </si>
  <si>
    <t>CAN1115</t>
  </si>
  <si>
    <t>david.hernandez2@gmail.com</t>
  </si>
  <si>
    <t>deanna.hernandez14@gmail.com</t>
  </si>
  <si>
    <t>steven.tucker62@gmail.com</t>
  </si>
  <si>
    <t>thomas.aguilar31@gmail.com</t>
  </si>
  <si>
    <t>adam.greer7@gmail.com</t>
  </si>
  <si>
    <t>Chung</t>
  </si>
  <si>
    <t>danny.chung13@gmail.com</t>
  </si>
  <si>
    <t>deborah.jenkins27@gmail.com</t>
  </si>
  <si>
    <t>Hartman</t>
  </si>
  <si>
    <t>amber.hartman41@gmail.com</t>
  </si>
  <si>
    <t>Ebony</t>
  </si>
  <si>
    <t>ebony.brown8@gmail.com</t>
  </si>
  <si>
    <t>michelle.smith36@gmail.com</t>
  </si>
  <si>
    <t>CAN1125</t>
  </si>
  <si>
    <t>Perry</t>
  </si>
  <si>
    <t>anthony.perry96@gmail.com</t>
  </si>
  <si>
    <t>CAN1126</t>
  </si>
  <si>
    <t>Dorsey</t>
  </si>
  <si>
    <t>oscar.dorsey72@gmail.com</t>
  </si>
  <si>
    <t>donald.smith58@gmail.com</t>
  </si>
  <si>
    <t>stephanie.kennedy26@gmail.com</t>
  </si>
  <si>
    <t>susan.jordan98@gmail.com</t>
  </si>
  <si>
    <t>kelly.foster68@gmail.com</t>
  </si>
  <si>
    <t>Massey</t>
  </si>
  <si>
    <t>jeremy.massey58@gmail.com</t>
  </si>
  <si>
    <t>david.baker61@gmail.com</t>
  </si>
  <si>
    <t>Maynard</t>
  </si>
  <si>
    <t>frank.maynard43@gmail.com</t>
  </si>
  <si>
    <t>bryan.chung16@gmail.com</t>
  </si>
  <si>
    <t>Carrillo</t>
  </si>
  <si>
    <t>patricia.carrillo29@gmail.com</t>
  </si>
  <si>
    <t>matthew.griffin91@gmail.com</t>
  </si>
  <si>
    <t>CAN1137</t>
  </si>
  <si>
    <t>Hailey</t>
  </si>
  <si>
    <t>Mcbride</t>
  </si>
  <si>
    <t>hailey.mcbride49@gmail.com</t>
  </si>
  <si>
    <t>Ayers</t>
  </si>
  <si>
    <t>whitney.ayers65@gmail.com</t>
  </si>
  <si>
    <t>Padilla</t>
  </si>
  <si>
    <t>michael.padilla27@gmail.com</t>
  </si>
  <si>
    <t>Drew</t>
  </si>
  <si>
    <t>drew.parker30@gmail.com</t>
  </si>
  <si>
    <t>Castaneda</t>
  </si>
  <si>
    <t>paul.castaneda11@gmail.com</t>
  </si>
  <si>
    <t>david.martinez30@gmail.com</t>
  </si>
  <si>
    <t>natalie.peterson15@gmail.com</t>
  </si>
  <si>
    <t>william.kelly38@gmail.com</t>
  </si>
  <si>
    <t>Dominguez</t>
  </si>
  <si>
    <t>christopher.dominguez22@gmail.com</t>
  </si>
  <si>
    <t>Orozco</t>
  </si>
  <si>
    <t>devin.orozco15@gmail.com</t>
  </si>
  <si>
    <t>kimberly.hopkins10@gmail.com</t>
  </si>
  <si>
    <t>Peck</t>
  </si>
  <si>
    <t>martin.peck22@gmail.com</t>
  </si>
  <si>
    <t>Kaitlin</t>
  </si>
  <si>
    <t>kaitlin.ewing95@gmail.com</t>
  </si>
  <si>
    <t>Victor</t>
  </si>
  <si>
    <t>victor.adams47@gmail.com</t>
  </si>
  <si>
    <t>Sydney</t>
  </si>
  <si>
    <t>sydney.walters55@gmail.com</t>
  </si>
  <si>
    <t>bradley.spencer52@gmail.com</t>
  </si>
  <si>
    <t>Delacruz</t>
  </si>
  <si>
    <t>timothy.delacruz94@gmail.com</t>
  </si>
  <si>
    <t>taylor.crawford40@gmail.com</t>
  </si>
  <si>
    <t>Finley</t>
  </si>
  <si>
    <t>tyler.finley12@gmail.com</t>
  </si>
  <si>
    <t>Zamora</t>
  </si>
  <si>
    <t>john.zamora61@gmail.com</t>
  </si>
  <si>
    <t>Carroll</t>
  </si>
  <si>
    <t>gary.carroll87@gmail.com</t>
  </si>
  <si>
    <t>kurt.bell78@gmail.com</t>
  </si>
  <si>
    <t>CAN1159</t>
  </si>
  <si>
    <t>patricia.ryan47@gmail.com</t>
  </si>
  <si>
    <t>oscar.jackson93@gmail.com</t>
  </si>
  <si>
    <t>Olivia</t>
  </si>
  <si>
    <t>Gaines</t>
  </si>
  <si>
    <t>olivia.gaines63@gmail.com</t>
  </si>
  <si>
    <t>Vernon</t>
  </si>
  <si>
    <t>Kaufman</t>
  </si>
  <si>
    <t>vernon.kaufman98@gmail.com</t>
  </si>
  <si>
    <t>Yolanda</t>
  </si>
  <si>
    <t>Montoya</t>
  </si>
  <si>
    <t>yolanda.montoya96@gmail.com</t>
  </si>
  <si>
    <t>matthew.huff85@gmail.com</t>
  </si>
  <si>
    <t>Melanie</t>
  </si>
  <si>
    <t>melanie.burns37@gmail.com</t>
  </si>
  <si>
    <t>zachary.neal72@gmail.com</t>
  </si>
  <si>
    <t>timothy.hughes98@gmail.com</t>
  </si>
  <si>
    <t>rose.mcdonald97@gmail.com</t>
  </si>
  <si>
    <t>antonio.ramirez47@gmail.com</t>
  </si>
  <si>
    <t>brian.moore54@gmail.com</t>
  </si>
  <si>
    <t>wesley.roberts46@gmail.com</t>
  </si>
  <si>
    <t>charles.lambert17@gmail.com</t>
  </si>
  <si>
    <t>Salas</t>
  </si>
  <si>
    <t>heather.salas68@gmail.com</t>
  </si>
  <si>
    <t>Buckley</t>
  </si>
  <si>
    <t>kenneth.buckley38@gmail.com</t>
  </si>
  <si>
    <t>Benton</t>
  </si>
  <si>
    <t>chad.benton36@gmail.com</t>
  </si>
  <si>
    <t>spencer.murphy5@gmail.com</t>
  </si>
  <si>
    <t>gary.robinson39@gmail.com</t>
  </si>
  <si>
    <t>amy.cochran11@gmail.com</t>
  </si>
  <si>
    <t>megan.reese32@gmail.com</t>
  </si>
  <si>
    <t>brian.tran72@gmail.com</t>
  </si>
  <si>
    <t>Mandy</t>
  </si>
  <si>
    <t>Osborne</t>
  </si>
  <si>
    <t>mandy.osborne93@gmail.com</t>
  </si>
  <si>
    <t>craig.harris90@gmail.com</t>
  </si>
  <si>
    <t>Renee</t>
  </si>
  <si>
    <t>renee.thomas34@gmail.com</t>
  </si>
  <si>
    <t>devin.franco47@gmail.com</t>
  </si>
  <si>
    <t>Tracy</t>
  </si>
  <si>
    <t>tracy.walters59@gmail.com</t>
  </si>
  <si>
    <t>laura.powell91@gmail.com</t>
  </si>
  <si>
    <t>Chavez</t>
  </si>
  <si>
    <t>melissa.chavez25@gmail.com</t>
  </si>
  <si>
    <t>rebecca.jimenez76@gmail.com</t>
  </si>
  <si>
    <t>Woodard</t>
  </si>
  <si>
    <t>jose.woodard23@gmail.com</t>
  </si>
  <si>
    <t>ronald.giles8@gmail.com</t>
  </si>
  <si>
    <t>Misty</t>
  </si>
  <si>
    <t>misty.richards42@gmail.com</t>
  </si>
  <si>
    <t>mary.cox19@gmail.com</t>
  </si>
  <si>
    <t>john.martin17@gmail.com</t>
  </si>
  <si>
    <t>antonio.long46@gmail.com</t>
  </si>
  <si>
    <t>robert.jackson19@gmail.com</t>
  </si>
  <si>
    <t>james.alvarado18@gmail.com</t>
  </si>
  <si>
    <t>stacey.boyd14@gmail.com</t>
  </si>
  <si>
    <t>margaret.gibson23@gmail.com</t>
  </si>
  <si>
    <t>christopher.griffin99@gmail.com</t>
  </si>
  <si>
    <t>Ellen</t>
  </si>
  <si>
    <t>Barton</t>
  </si>
  <si>
    <t>ellen.barton42@gmail.com</t>
  </si>
  <si>
    <t>Expereince_Band</t>
  </si>
  <si>
    <t>Age_Group</t>
  </si>
  <si>
    <t>Application_Month</t>
  </si>
  <si>
    <t>Application_Quarter</t>
  </si>
  <si>
    <t>Application_year</t>
  </si>
  <si>
    <t>Interview_Month</t>
  </si>
  <si>
    <t>Interview_Quarter</t>
  </si>
  <si>
    <t>Interview_Year</t>
  </si>
  <si>
    <t>Offer_Month</t>
  </si>
  <si>
    <t>Offer_Quarter</t>
  </si>
  <si>
    <t>Offer_Year</t>
  </si>
  <si>
    <t>Joining_Month</t>
  </si>
  <si>
    <t>Joining_Quarter</t>
  </si>
  <si>
    <t>Joining_Year</t>
  </si>
  <si>
    <t>Posted_Month</t>
  </si>
  <si>
    <t>Posted_Quarter</t>
  </si>
  <si>
    <t>Posted_Year</t>
  </si>
  <si>
    <t>Recruiter_Name</t>
  </si>
  <si>
    <t>Hiring_Target</t>
  </si>
  <si>
    <t>Mark Meza</t>
  </si>
  <si>
    <t>mark.meza@brightpathconsulting.com</t>
  </si>
  <si>
    <t>Melissa Sanchez</t>
  </si>
  <si>
    <t>melissa.sanchez@brightpathconsulting.com</t>
  </si>
  <si>
    <t>Joshua Diaz</t>
  </si>
  <si>
    <t>joshua.diaz@brightpathconsulting.com</t>
  </si>
  <si>
    <t>Bruce Parker</t>
  </si>
  <si>
    <t>bruce.parker@brightpathconsulting.com</t>
  </si>
  <si>
    <t>Jordan Johnson</t>
  </si>
  <si>
    <t>jordan.johnson@brightpathconsulting.com</t>
  </si>
  <si>
    <t>Jacqueline Kelley</t>
  </si>
  <si>
    <t>jacqueline.kelley@brightpathconsulting.com</t>
  </si>
  <si>
    <t>Anthony Harris</t>
  </si>
  <si>
    <t>anthony.harris@brightpathconsulting.com</t>
  </si>
  <si>
    <t>Jessica Edwards</t>
  </si>
  <si>
    <t>jessica.edwards@brightpathconsulting.com</t>
  </si>
  <si>
    <t>Chris Curtis</t>
  </si>
  <si>
    <t>chris.curtis@brightpathconsulting.com</t>
  </si>
  <si>
    <t>Catherine Perkins</t>
  </si>
  <si>
    <t>catherine.perkins@brightpathconsulting.com</t>
  </si>
  <si>
    <t>Jody Evans</t>
  </si>
  <si>
    <t>jody.evans@brightpathconsulting.com</t>
  </si>
  <si>
    <t>REC012</t>
  </si>
  <si>
    <t>Ronald Martinez</t>
  </si>
  <si>
    <t>ronald.martinez@brightpathconsulting.com</t>
  </si>
  <si>
    <t>Scott Roberts</t>
  </si>
  <si>
    <t>scott.roberts@brightpathconsulting.com</t>
  </si>
  <si>
    <t>Jennifer Cherry</t>
  </si>
  <si>
    <t>jennifer.cherry@brightpathconsulting.com</t>
  </si>
  <si>
    <t>Benjamin Davis</t>
  </si>
  <si>
    <t>benjamin.davis@brightpathconsulting.com</t>
  </si>
  <si>
    <t>Target_Status</t>
  </si>
  <si>
    <t>Monthly_Target2</t>
  </si>
  <si>
    <t>Quarterly_Target</t>
  </si>
  <si>
    <t>Month2</t>
  </si>
  <si>
    <t>Quarter2</t>
  </si>
  <si>
    <t>Year2</t>
  </si>
  <si>
    <t>Total Candidates</t>
  </si>
  <si>
    <t>Total Recruiters</t>
  </si>
  <si>
    <t>Total Interviews</t>
  </si>
  <si>
    <t>Total Offers</t>
  </si>
  <si>
    <t>Total Employees Joined</t>
  </si>
  <si>
    <t>Total Open Jobs</t>
  </si>
  <si>
    <t>Average Experience</t>
  </si>
  <si>
    <t>Average Offered Salary</t>
  </si>
  <si>
    <t>Accepted Offers</t>
  </si>
  <si>
    <t>Offer Acceptance Rate</t>
  </si>
  <si>
    <t>Joining Rate</t>
  </si>
  <si>
    <t>KPI</t>
  </si>
  <si>
    <t>Row Labels</t>
  </si>
  <si>
    <t>Grand Total</t>
  </si>
  <si>
    <t>Count of Candidate_ID</t>
  </si>
  <si>
    <t>10+ Years</t>
  </si>
  <si>
    <t>Sum of Positions_Open</t>
  </si>
  <si>
    <t>Sum of Hiring_Target</t>
  </si>
  <si>
    <t>Count of Offer_ID</t>
  </si>
  <si>
    <t>Count of Employee_ID</t>
  </si>
  <si>
    <t>20-25</t>
  </si>
  <si>
    <t>26-30</t>
  </si>
  <si>
    <t>31-35</t>
  </si>
  <si>
    <t>36+</t>
  </si>
  <si>
    <t xml:space="preserve">                Recruitment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</si>
</sst>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4"/>
      <color theme="1"/>
      <name val="Aptos Narrow"/>
      <family val="2"/>
      <scheme val="minor"/>
    </font>
    <font>
      <b/>
      <sz val="28"/>
      <color theme="1"/>
      <name val="Aptos Narrow"/>
      <family val="2"/>
      <scheme val="minor"/>
    </font>
    <font>
      <b/>
      <sz val="48"/>
      <color theme="1"/>
      <name val="Bell MT"/>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[Book1.xlsxRecruitment_Management_System.xlsx]Candidate_SourceP1!PivotTable1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Candidate_SourceP1!$B$3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Candidate_SourceP1!$A$4:$A$11</c:f>
              <c:strCache>
                <c:ptCount val="7"/>
                <c:pt idx="0">
                  <c:v>Campus Hiring</c:v>
                </c:pt>
                <c:pt idx="1">
                  <c:v>Company Website</c:v>
                </c:pt>
                <c:pt idx="2">
                  <c:v>Indeed</c:v>
                </c:pt>
                <c:pt idx="3">
                  <c:v>LinkedIn</c:v>
                </c:pt>
                <c:pt idx="4">
                  <c:v>Naukri</c:v>
                </c:pt>
                <c:pt idx="5">
                  <c:v>Referral</c:v>
                </c:pt>
                <c:pt idx="6">
                  <c:v>Walk-In</c:v>
                </c:pt>
              </c:strCache>
            </c:strRef>
          </c:cat>
          <c:val>
            <c:numRef>
              <c:f>Candidate_SourceP1!$B$4:$B$11</c:f>
              <c:numCache>
                <c:formatCode>General</c:formatCode>
                <c:ptCount val="7"/>
                <c:pt idx="0">
                  <c:v>102</c:v>
                </c:pt>
                <c:pt idx="1">
                  <c:v>116</c:v>
                </c:pt>
                <c:pt idx="2">
                  <c:v>147</c:v>
                </c:pt>
                <c:pt idx="3">
                  <c:v>336</c:v>
                </c:pt>
                <c:pt idx="4">
                  <c:v>256</c:v>
                </c:pt>
                <c:pt idx="5">
                  <c:v>173</c:v>
                </c:pt>
                <c:pt idx="6">
                  <c:v>70</c:v>
                </c:pt>
              </c:numCache>
            </c:numRef>
          </c:val>
          <c:extLst>
            <c:ext xmlns:c16="http://schemas.microsoft.com/office/drawing/2014/chart" uri="{C3380CC4-5D6E-409C-BE32-E72D297353CC}">
              <c16:uniqueId val="{00000000-146F-4E6B-ACFB-C0A711CA82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[Book1.xlsxRecruitment_Management_System.xlsx]Experience_BandP2!PivotTable2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Experience_BandP2!$B$3</c:f>
              <c:strCache>
                <c:ptCount val="1"/>
                <c:pt idx="0">
                  <c:v>Total</c:v>
                </c:pt>
              </c:strCache>
            </c:strRef>
          </c:tx>
          <c:spPr>
            <a:solidFill>
              <a:schemeClr val="accent1"/>
            </a:solidFill>
            <a:ln>
              <a:noFill/>
            </a:ln>
            <a:effectLst/>
          </c:spPr>
          <c:invertIfNegative val="0"/>
          <c:cat>
            <c:strRef>
              <c:f>Experience_BandP2!$A$4:$A$5</c:f>
              <c:strCache>
                <c:ptCount val="1"/>
                <c:pt idx="0">
                  <c:v>10+ Years</c:v>
                </c:pt>
              </c:strCache>
            </c:strRef>
          </c:cat>
          <c:val>
            <c:numRef>
              <c:f>Experience_BandP2!$B$4:$B$5</c:f>
              <c:numCache>
                <c:formatCode>General</c:formatCode>
                <c:ptCount val="1"/>
                <c:pt idx="0">
                  <c:v>1200</c:v>
                </c:pt>
              </c:numCache>
            </c:numRef>
          </c:val>
          <c:extLst>
            <c:ext xmlns:c16="http://schemas.microsoft.com/office/drawing/2014/chart" uri="{C3380CC4-5D6E-409C-BE32-E72D297353CC}">
              <c16:uniqueId val="{00000000-200F-43D4-8420-32ED4A072DCC}"/>
            </c:ext>
          </c:extLst>
        </c:ser>
        <c:dLbls>
          <c:showLegendKey val="0"/>
          <c:showVal val="0"/>
          <c:showCatName val="0"/>
          <c:showSerName val="0"/>
          <c:showPercent val="0"/>
          <c:showBubbleSize val="0"/>
        </c:dLbls>
        <c:gapWidth val="182"/>
        <c:axId val="1860138704"/>
        <c:axId val="1972270704"/>
      </c:barChart>
      <c:catAx>
        <c:axId val="18601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70704"/>
        <c:crosses val="autoZero"/>
        <c:auto val="1"/>
        <c:lblAlgn val="ctr"/>
        <c:lblOffset val="100"/>
        <c:noMultiLvlLbl val="0"/>
      </c:catAx>
      <c:valAx>
        <c:axId val="197227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1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[Book1.xlsxRecruitment_Management_System.xlsx]Age_GroupP3!PivotTable8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Age_GroupP3!$B$3</c:f>
              <c:strCache>
                <c:ptCount val="1"/>
                <c:pt idx="0">
                  <c:v>Total</c:v>
                </c:pt>
              </c:strCache>
            </c:strRef>
          </c:tx>
          <c:spPr>
            <a:solidFill>
              <a:schemeClr val="accent1"/>
            </a:solidFill>
            <a:ln>
              <a:noFill/>
            </a:ln>
            <a:effectLst/>
          </c:spPr>
          <c:invertIfNegative val="0"/>
          <c:cat>
            <c:strRef>
              <c:f>Age_GroupP3!$A$4:$A$8</c:f>
              <c:strCache>
                <c:ptCount val="4"/>
                <c:pt idx="0">
                  <c:v>20-25</c:v>
                </c:pt>
                <c:pt idx="1">
                  <c:v>26-30</c:v>
                </c:pt>
                <c:pt idx="2">
                  <c:v>31-35</c:v>
                </c:pt>
                <c:pt idx="3">
                  <c:v>36+</c:v>
                </c:pt>
              </c:strCache>
            </c:strRef>
          </c:cat>
          <c:val>
            <c:numRef>
              <c:f>Age_GroupP3!$B$4:$B$8</c:f>
              <c:numCache>
                <c:formatCode>General</c:formatCode>
                <c:ptCount val="4"/>
                <c:pt idx="0">
                  <c:v>344</c:v>
                </c:pt>
                <c:pt idx="1">
                  <c:v>441</c:v>
                </c:pt>
                <c:pt idx="2">
                  <c:v>292</c:v>
                </c:pt>
                <c:pt idx="3">
                  <c:v>123</c:v>
                </c:pt>
              </c:numCache>
            </c:numRef>
          </c:val>
          <c:extLst>
            <c:ext xmlns:c16="http://schemas.microsoft.com/office/drawing/2014/chart" uri="{C3380CC4-5D6E-409C-BE32-E72D297353CC}">
              <c16:uniqueId val="{00000000-35DE-4A1F-8CB9-5319632A93E5}"/>
            </c:ext>
          </c:extLst>
        </c:ser>
        <c:dLbls>
          <c:showLegendKey val="0"/>
          <c:showVal val="0"/>
          <c:showCatName val="0"/>
          <c:showSerName val="0"/>
          <c:showPercent val="0"/>
          <c:showBubbleSize val="0"/>
        </c:dLbls>
        <c:gapWidth val="219"/>
        <c:overlap val="-27"/>
        <c:axId val="1962849856"/>
        <c:axId val="2070118960"/>
      </c:barChart>
      <c:catAx>
        <c:axId val="196284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18960"/>
        <c:crosses val="autoZero"/>
        <c:auto val="1"/>
        <c:lblAlgn val="ctr"/>
        <c:lblOffset val="100"/>
        <c:noMultiLvlLbl val="0"/>
      </c:catAx>
      <c:valAx>
        <c:axId val="207011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4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[Book1.xlsxRecruitment_Management_System.xlsx]Monthly_Applicationp4!PivotTable3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Monthly_Applicationp4!$B$3</c:f>
              <c:strCache>
                <c:ptCount val="1"/>
                <c:pt idx="0">
                  <c:v>Total</c:v>
                </c:pt>
              </c:strCache>
            </c:strRef>
          </c:tx>
          <c:spPr>
            <a:ln w="28575" cap="rnd">
              <a:solidFill>
                <a:schemeClr val="accent1"/>
              </a:solidFill>
              <a:round/>
            </a:ln>
            <a:effectLst/>
          </c:spPr>
          <c:marker>
            <c:symbol val="none"/>
          </c:marker>
          <c:cat>
            <c:strRef>
              <c:f>Monthly_Applicationp4!$A$4:$A$16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Monthly_Applicationp4!$B$4:$B$16</c:f>
              <c:numCache>
                <c:formatCode>General</c:formatCode>
                <c:ptCount val="12"/>
                <c:pt idx="0">
                  <c:v>103</c:v>
                </c:pt>
                <c:pt idx="1">
                  <c:v>102</c:v>
                </c:pt>
                <c:pt idx="2">
                  <c:v>105</c:v>
                </c:pt>
                <c:pt idx="3">
                  <c:v>104</c:v>
                </c:pt>
                <c:pt idx="4">
                  <c:v>100</c:v>
                </c:pt>
                <c:pt idx="5">
                  <c:v>93</c:v>
                </c:pt>
                <c:pt idx="6">
                  <c:v>115</c:v>
                </c:pt>
                <c:pt idx="7">
                  <c:v>113</c:v>
                </c:pt>
                <c:pt idx="8">
                  <c:v>95</c:v>
                </c:pt>
                <c:pt idx="9">
                  <c:v>90</c:v>
                </c:pt>
                <c:pt idx="10">
                  <c:v>83</c:v>
                </c:pt>
                <c:pt idx="11">
                  <c:v>97</c:v>
                </c:pt>
              </c:numCache>
            </c:numRef>
          </c:val>
          <c:smooth val="0"/>
          <c:extLst>
            <c:ext xmlns:c16="http://schemas.microsoft.com/office/drawing/2014/chart" uri="{C3380CC4-5D6E-409C-BE32-E72D297353CC}">
              <c16:uniqueId val="{00000000-93FB-4579-B249-D86ABBAA7185}"/>
            </c:ext>
          </c:extLst>
        </c:ser>
        <c:dLbls>
          <c:showLegendKey val="0"/>
          <c:showVal val="0"/>
          <c:showCatName val="0"/>
          <c:showSerName val="0"/>
          <c:showPercent val="0"/>
          <c:showBubbleSize val="0"/>
        </c:dLbls>
        <c:smooth val="0"/>
        <c:axId val="2072184688"/>
        <c:axId val="1713169616"/>
      </c:lineChart>
      <c:catAx>
        <c:axId val="20721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69616"/>
        <c:crosses val="autoZero"/>
        <c:auto val="1"/>
        <c:lblAlgn val="ctr"/>
        <c:lblOffset val="100"/>
        <c:noMultiLvlLbl val="0"/>
      </c:catAx>
      <c:valAx>
        <c:axId val="171316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[Book1.xlsxRecruitment_Management_System.xlsx]Department_HiringP5!PivotTable4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Department_HiringP5!$B$3</c:f>
              <c:strCache>
                <c:ptCount val="1"/>
                <c:pt idx="0">
                  <c:v>Total</c:v>
                </c:pt>
              </c:strCache>
            </c:strRef>
          </c:tx>
          <c:spPr>
            <a:solidFill>
              <a:schemeClr val="accent1"/>
            </a:solidFill>
            <a:ln>
              <a:noFill/>
            </a:ln>
            <a:effectLst/>
          </c:spPr>
          <c:invertIfNegative val="0"/>
          <c:cat>
            <c:strRef>
              <c:f>Department_HiringP5!$A$4:$A$14</c:f>
              <c:strCache>
                <c:ptCount val="10"/>
                <c:pt idx="0">
                  <c:v>Customer Support</c:v>
                </c:pt>
                <c:pt idx="1">
                  <c:v>Data Analytics</c:v>
                </c:pt>
                <c:pt idx="2">
                  <c:v>Data Science</c:v>
                </c:pt>
                <c:pt idx="3">
                  <c:v>Finance</c:v>
                </c:pt>
                <c:pt idx="4">
                  <c:v>HR</c:v>
                </c:pt>
                <c:pt idx="5">
                  <c:v>IT</c:v>
                </c:pt>
                <c:pt idx="6">
                  <c:v>Legal</c:v>
                </c:pt>
                <c:pt idx="7">
                  <c:v>Marketing</c:v>
                </c:pt>
                <c:pt idx="8">
                  <c:v>Operations</c:v>
                </c:pt>
                <c:pt idx="9">
                  <c:v>Sales</c:v>
                </c:pt>
              </c:strCache>
            </c:strRef>
          </c:cat>
          <c:val>
            <c:numRef>
              <c:f>Department_HiringP5!$B$4:$B$14</c:f>
              <c:numCache>
                <c:formatCode>General</c:formatCode>
                <c:ptCount val="10"/>
                <c:pt idx="0">
                  <c:v>15</c:v>
                </c:pt>
                <c:pt idx="1">
                  <c:v>28</c:v>
                </c:pt>
                <c:pt idx="2">
                  <c:v>16</c:v>
                </c:pt>
                <c:pt idx="3">
                  <c:v>6</c:v>
                </c:pt>
                <c:pt idx="4">
                  <c:v>1</c:v>
                </c:pt>
                <c:pt idx="5">
                  <c:v>7</c:v>
                </c:pt>
                <c:pt idx="6">
                  <c:v>7</c:v>
                </c:pt>
                <c:pt idx="7">
                  <c:v>8</c:v>
                </c:pt>
                <c:pt idx="8">
                  <c:v>7</c:v>
                </c:pt>
                <c:pt idx="9">
                  <c:v>22</c:v>
                </c:pt>
              </c:numCache>
            </c:numRef>
          </c:val>
          <c:extLst>
            <c:ext xmlns:c16="http://schemas.microsoft.com/office/drawing/2014/chart" uri="{C3380CC4-5D6E-409C-BE32-E72D297353CC}">
              <c16:uniqueId val="{00000000-EBD1-40C4-A84E-7B85BC629E30}"/>
            </c:ext>
          </c:extLst>
        </c:ser>
        <c:dLbls>
          <c:showLegendKey val="0"/>
          <c:showVal val="0"/>
          <c:showCatName val="0"/>
          <c:showSerName val="0"/>
          <c:showPercent val="0"/>
          <c:showBubbleSize val="0"/>
        </c:dLbls>
        <c:gapWidth val="219"/>
        <c:overlap val="-27"/>
        <c:axId val="2074022912"/>
        <c:axId val="1978382800"/>
      </c:barChart>
      <c:catAx>
        <c:axId val="20740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82800"/>
        <c:crosses val="autoZero"/>
        <c:auto val="1"/>
        <c:lblAlgn val="ctr"/>
        <c:lblOffset val="100"/>
        <c:noMultiLvlLbl val="0"/>
      </c:catAx>
      <c:valAx>
        <c:axId val="197838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[Book1.xlsxRecruitment_Management_System.xlsx]Recruiter_PerformanceP6!PivotTable5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Recruiter_PerformanceP6!$B$3</c:f>
              <c:strCache>
                <c:ptCount val="1"/>
                <c:pt idx="0">
                  <c:v>Total</c:v>
                </c:pt>
              </c:strCache>
            </c:strRef>
          </c:tx>
          <c:spPr>
            <a:solidFill>
              <a:schemeClr val="accent1"/>
            </a:solidFill>
            <a:ln>
              <a:noFill/>
            </a:ln>
            <a:effectLst/>
          </c:spPr>
          <c:invertIfNegative val="0"/>
          <c:cat>
            <c:strRef>
              <c:f>Recruiter_PerformanceP6!$A$4:$A$19</c:f>
              <c:strCache>
                <c:ptCount val="15"/>
                <c:pt idx="0">
                  <c:v>Anthony Harris</c:v>
                </c:pt>
                <c:pt idx="1">
                  <c:v>Benjamin Davis</c:v>
                </c:pt>
                <c:pt idx="2">
                  <c:v>Bruce Parker</c:v>
                </c:pt>
                <c:pt idx="3">
                  <c:v>Catherine Perkins</c:v>
                </c:pt>
                <c:pt idx="4">
                  <c:v>Chris Curtis</c:v>
                </c:pt>
                <c:pt idx="5">
                  <c:v>Jacqueline Kelley</c:v>
                </c:pt>
                <c:pt idx="6">
                  <c:v>Jennifer Cherry</c:v>
                </c:pt>
                <c:pt idx="7">
                  <c:v>Jessica Edwards</c:v>
                </c:pt>
                <c:pt idx="8">
                  <c:v>Jody Evans</c:v>
                </c:pt>
                <c:pt idx="9">
                  <c:v>Jordan Johnson</c:v>
                </c:pt>
                <c:pt idx="10">
                  <c:v>Joshua Diaz</c:v>
                </c:pt>
                <c:pt idx="11">
                  <c:v>Mark Meza</c:v>
                </c:pt>
                <c:pt idx="12">
                  <c:v>Melissa Sanchez</c:v>
                </c:pt>
                <c:pt idx="13">
                  <c:v>Ronald Martinez</c:v>
                </c:pt>
                <c:pt idx="14">
                  <c:v>Scott Roberts</c:v>
                </c:pt>
              </c:strCache>
            </c:strRef>
          </c:cat>
          <c:val>
            <c:numRef>
              <c:f>Recruiter_PerformanceP6!$B$4:$B$19</c:f>
              <c:numCache>
                <c:formatCode>General</c:formatCode>
                <c:ptCount val="15"/>
                <c:pt idx="0">
                  <c:v>36</c:v>
                </c:pt>
                <c:pt idx="1">
                  <c:v>20</c:v>
                </c:pt>
                <c:pt idx="2">
                  <c:v>24</c:v>
                </c:pt>
                <c:pt idx="3">
                  <c:v>20</c:v>
                </c:pt>
                <c:pt idx="4">
                  <c:v>40</c:v>
                </c:pt>
                <c:pt idx="5">
                  <c:v>40</c:v>
                </c:pt>
                <c:pt idx="6">
                  <c:v>40</c:v>
                </c:pt>
                <c:pt idx="7">
                  <c:v>20</c:v>
                </c:pt>
                <c:pt idx="8">
                  <c:v>24</c:v>
                </c:pt>
                <c:pt idx="9">
                  <c:v>20</c:v>
                </c:pt>
                <c:pt idx="10">
                  <c:v>20</c:v>
                </c:pt>
                <c:pt idx="11">
                  <c:v>36</c:v>
                </c:pt>
                <c:pt idx="12">
                  <c:v>36</c:v>
                </c:pt>
                <c:pt idx="13">
                  <c:v>48</c:v>
                </c:pt>
                <c:pt idx="14">
                  <c:v>48</c:v>
                </c:pt>
              </c:numCache>
            </c:numRef>
          </c:val>
          <c:extLst>
            <c:ext xmlns:c16="http://schemas.microsoft.com/office/drawing/2014/chart" uri="{C3380CC4-5D6E-409C-BE32-E72D297353CC}">
              <c16:uniqueId val="{00000000-63CB-4DA7-B445-A464620C0F6C}"/>
            </c:ext>
          </c:extLst>
        </c:ser>
        <c:dLbls>
          <c:showLegendKey val="0"/>
          <c:showVal val="0"/>
          <c:showCatName val="0"/>
          <c:showSerName val="0"/>
          <c:showPercent val="0"/>
          <c:showBubbleSize val="0"/>
        </c:dLbls>
        <c:gapWidth val="182"/>
        <c:axId val="2073985792"/>
        <c:axId val="1978377520"/>
      </c:barChart>
      <c:catAx>
        <c:axId val="207398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77520"/>
        <c:crosses val="autoZero"/>
        <c:auto val="1"/>
        <c:lblAlgn val="ctr"/>
        <c:lblOffset val="100"/>
        <c:noMultiLvlLbl val="0"/>
      </c:catAx>
      <c:valAx>
        <c:axId val="197837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[Book1.xlsxRecruitment_Management_System.xlsx]Offer_StatusP7!PivotTable6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Offer_StatusP7!$B$3</c:f>
              <c:strCache>
                <c:ptCount val="1"/>
                <c:pt idx="0">
                  <c:v>Total</c:v>
                </c:pt>
              </c:strCache>
            </c:strRef>
          </c:tx>
          <c:dPt>
            <c:idx val="0"/>
            <c:bubble3D val="0"/>
            <c:spPr>
              <a:solidFill>
                <a:schemeClr val="accent1"/>
              </a:solidFill>
              <a:ln w="19050">
                <a:solidFill>
                  <a:schemeClr val="lt1"/>
                </a:solidFill>
              </a:ln>
              <a:effectLst/>
            </c:spPr>
          </c:dPt>
          <c:cat>
            <c:strRef>
              <c:f>Offer_StatusP7!$A$4:$A$5</c:f>
              <c:strCache>
                <c:ptCount val="1"/>
                <c:pt idx="0">
                  <c:v>Accepted</c:v>
                </c:pt>
              </c:strCache>
            </c:strRef>
          </c:cat>
          <c:val>
            <c:numRef>
              <c:f>Offer_StatusP7!$B$4:$B$5</c:f>
              <c:numCache>
                <c:formatCode>General</c:formatCode>
                <c:ptCount val="1"/>
                <c:pt idx="0">
                  <c:v>231</c:v>
                </c:pt>
              </c:numCache>
            </c:numRef>
          </c:val>
          <c:extLst>
            <c:ext xmlns:c16="http://schemas.microsoft.com/office/drawing/2014/chart" uri="{C3380CC4-5D6E-409C-BE32-E72D297353CC}">
              <c16:uniqueId val="{00000000-63CD-4895-B251-8A4F0D2A69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[Book1.xlsxRecruitment_Management_System.xlsx]Joining_TrendP8!PivotTable7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Joining_TrendP8!$B$3</c:f>
              <c:strCache>
                <c:ptCount val="1"/>
                <c:pt idx="0">
                  <c:v>Total</c:v>
                </c:pt>
              </c:strCache>
            </c:strRef>
          </c:tx>
          <c:spPr>
            <a:ln w="28575" cap="rnd">
              <a:solidFill>
                <a:schemeClr val="accent1"/>
              </a:solidFill>
              <a:round/>
            </a:ln>
            <a:effectLst/>
          </c:spPr>
          <c:marker>
            <c:symbol val="none"/>
          </c:marker>
          <c:cat>
            <c:strRef>
              <c:f>Joining_TrendP8!$A$4:$A$16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Joining_TrendP8!$B$4:$B$16</c:f>
              <c:numCache>
                <c:formatCode>General</c:formatCode>
                <c:ptCount val="12"/>
                <c:pt idx="0">
                  <c:v>1</c:v>
                </c:pt>
                <c:pt idx="1">
                  <c:v>3</c:v>
                </c:pt>
                <c:pt idx="2">
                  <c:v>8</c:v>
                </c:pt>
                <c:pt idx="3">
                  <c:v>24</c:v>
                </c:pt>
                <c:pt idx="4">
                  <c:v>41</c:v>
                </c:pt>
                <c:pt idx="5">
                  <c:v>20</c:v>
                </c:pt>
                <c:pt idx="6">
                  <c:v>26</c:v>
                </c:pt>
                <c:pt idx="7">
                  <c:v>35</c:v>
                </c:pt>
                <c:pt idx="8">
                  <c:v>25</c:v>
                </c:pt>
                <c:pt idx="9">
                  <c:v>11</c:v>
                </c:pt>
                <c:pt idx="10">
                  <c:v>15</c:v>
                </c:pt>
                <c:pt idx="11">
                  <c:v>21</c:v>
                </c:pt>
              </c:numCache>
            </c:numRef>
          </c:val>
          <c:smooth val="0"/>
          <c:extLst>
            <c:ext xmlns:c16="http://schemas.microsoft.com/office/drawing/2014/chart" uri="{C3380CC4-5D6E-409C-BE32-E72D297353CC}">
              <c16:uniqueId val="{00000000-FD36-4901-9856-33AE67B4F76D}"/>
            </c:ext>
          </c:extLst>
        </c:ser>
        <c:dLbls>
          <c:showLegendKey val="0"/>
          <c:showVal val="0"/>
          <c:showCatName val="0"/>
          <c:showSerName val="0"/>
          <c:showPercent val="0"/>
          <c:showBubbleSize val="0"/>
        </c:dLbls>
        <c:smooth val="0"/>
        <c:axId val="1304729664"/>
        <c:axId val="1972226064"/>
      </c:lineChart>
      <c:catAx>
        <c:axId val="13047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26064"/>
        <c:crosses val="autoZero"/>
        <c:auto val="1"/>
        <c:lblAlgn val="ctr"/>
        <c:lblOffset val="100"/>
        <c:noMultiLvlLbl val="0"/>
      </c:catAx>
      <c:valAx>
        <c:axId val="19722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72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[Book1.xlsxRecruitment_Management_System.xlsx]Candidate_SourceP1!PivotTable1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Candidates by Source</a:t>
            </a:r>
          </a:p>
        </c:rich>
      </c:tx>
      <c:layout>
        <c:manualLayout>
          <c:xMode val="edge"/>
          <c:yMode val="edge"/>
          <c:x val="0.3051363121159697"/>
          <c:y val="3.5055897835475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Candidate_SourceP1!$B$3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B3-441A-BDAA-B6336AD1B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B3-441A-BDAA-B6336AD1B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B3-441A-BDAA-B6336AD1B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B3-441A-BDAA-B6336AD1B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B3-441A-BDAA-B6336AD1B9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B3-441A-BDAA-B6336AD1B9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B3-441A-BDAA-B6336AD1B9DF}"/>
              </c:ext>
            </c:extLst>
          </c:dPt>
          <c:cat>
            <c:strRef>
              <c:f>Candidate_SourceP1!$A$4:$A$11</c:f>
              <c:strCache>
                <c:ptCount val="7"/>
                <c:pt idx="0">
                  <c:v>Campus Hiring</c:v>
                </c:pt>
                <c:pt idx="1">
                  <c:v>Company Website</c:v>
                </c:pt>
                <c:pt idx="2">
                  <c:v>Indeed</c:v>
                </c:pt>
                <c:pt idx="3">
                  <c:v>LinkedIn</c:v>
                </c:pt>
                <c:pt idx="4">
                  <c:v>Naukri</c:v>
                </c:pt>
                <c:pt idx="5">
                  <c:v>Referral</c:v>
                </c:pt>
                <c:pt idx="6">
                  <c:v>Walk-In</c:v>
                </c:pt>
              </c:strCache>
            </c:strRef>
          </c:cat>
          <c:val>
            <c:numRef>
              <c:f>Candidate_SourceP1!$B$4:$B$11</c:f>
              <c:numCache>
                <c:formatCode>General</c:formatCode>
                <c:ptCount val="7"/>
                <c:pt idx="0">
                  <c:v>102</c:v>
                </c:pt>
                <c:pt idx="1">
                  <c:v>116</c:v>
                </c:pt>
                <c:pt idx="2">
                  <c:v>147</c:v>
                </c:pt>
                <c:pt idx="3">
                  <c:v>336</c:v>
                </c:pt>
                <c:pt idx="4">
                  <c:v>256</c:v>
                </c:pt>
                <c:pt idx="5">
                  <c:v>173</c:v>
                </c:pt>
                <c:pt idx="6">
                  <c:v>70</c:v>
                </c:pt>
              </c:numCache>
            </c:numRef>
          </c:val>
          <c:extLst>
            <c:ext xmlns:c16="http://schemas.microsoft.com/office/drawing/2014/chart" uri="{C3380CC4-5D6E-409C-BE32-E72D297353CC}">
              <c16:uniqueId val="{0000000E-16B3-441A-BDAA-B6336AD1B9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[Book1.xlsxRecruitment_Management_System.xlsx]Experience_BandP2!PivotTable2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Experience_BandP2!$B$3</c:f>
              <c:strCache>
                <c:ptCount val="1"/>
                <c:pt idx="0">
                  <c:v>Total</c:v>
                </c:pt>
              </c:strCache>
            </c:strRef>
          </c:tx>
          <c:spPr>
            <a:solidFill>
              <a:schemeClr val="accent1"/>
            </a:solidFill>
            <a:ln>
              <a:noFill/>
            </a:ln>
            <a:effectLst/>
          </c:spPr>
          <c:invertIfNegative val="0"/>
          <c:cat>
            <c:strRef>
              <c:f>Experience_BandP2!$A$4:$A$5</c:f>
              <c:strCache>
                <c:ptCount val="1"/>
                <c:pt idx="0">
                  <c:v>10+ Years</c:v>
                </c:pt>
              </c:strCache>
            </c:strRef>
          </c:cat>
          <c:val>
            <c:numRef>
              <c:f>Experience_BandP2!$B$4:$B$5</c:f>
              <c:numCache>
                <c:formatCode>General</c:formatCode>
                <c:ptCount val="1"/>
                <c:pt idx="0">
                  <c:v>1200</c:v>
                </c:pt>
              </c:numCache>
            </c:numRef>
          </c:val>
          <c:extLst>
            <c:ext xmlns:c16="http://schemas.microsoft.com/office/drawing/2014/chart" uri="{C3380CC4-5D6E-409C-BE32-E72D297353CC}">
              <c16:uniqueId val="{00000000-85F8-437F-A955-8D8875763BE0}"/>
            </c:ext>
          </c:extLst>
        </c:ser>
        <c:dLbls>
          <c:showLegendKey val="0"/>
          <c:showVal val="0"/>
          <c:showCatName val="0"/>
          <c:showSerName val="0"/>
          <c:showPercent val="0"/>
          <c:showBubbleSize val="0"/>
        </c:dLbls>
        <c:gapWidth val="182"/>
        <c:axId val="1860138704"/>
        <c:axId val="1972270704"/>
      </c:barChart>
      <c:catAx>
        <c:axId val="18601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70704"/>
        <c:crosses val="autoZero"/>
        <c:auto val="1"/>
        <c:lblAlgn val="ctr"/>
        <c:lblOffset val="100"/>
        <c:noMultiLvlLbl val="0"/>
      </c:catAx>
      <c:valAx>
        <c:axId val="197227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1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[Book1.xlsxRecruitment_Management_System.xlsx]Age_GroupP3!PivotTable8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Age_GroupP3!$B$3</c:f>
              <c:strCache>
                <c:ptCount val="1"/>
                <c:pt idx="0">
                  <c:v>Total</c:v>
                </c:pt>
              </c:strCache>
            </c:strRef>
          </c:tx>
          <c:spPr>
            <a:solidFill>
              <a:schemeClr val="accent1"/>
            </a:solidFill>
            <a:ln>
              <a:noFill/>
            </a:ln>
            <a:effectLst/>
          </c:spPr>
          <c:invertIfNegative val="0"/>
          <c:cat>
            <c:strRef>
              <c:f>Age_GroupP3!$A$4:$A$8</c:f>
              <c:strCache>
                <c:ptCount val="4"/>
                <c:pt idx="0">
                  <c:v>20-25</c:v>
                </c:pt>
                <c:pt idx="1">
                  <c:v>26-30</c:v>
                </c:pt>
                <c:pt idx="2">
                  <c:v>31-35</c:v>
                </c:pt>
                <c:pt idx="3">
                  <c:v>36+</c:v>
                </c:pt>
              </c:strCache>
            </c:strRef>
          </c:cat>
          <c:val>
            <c:numRef>
              <c:f>Age_GroupP3!$B$4:$B$8</c:f>
              <c:numCache>
                <c:formatCode>General</c:formatCode>
                <c:ptCount val="4"/>
                <c:pt idx="0">
                  <c:v>344</c:v>
                </c:pt>
                <c:pt idx="1">
                  <c:v>441</c:v>
                </c:pt>
                <c:pt idx="2">
                  <c:v>292</c:v>
                </c:pt>
                <c:pt idx="3">
                  <c:v>123</c:v>
                </c:pt>
              </c:numCache>
            </c:numRef>
          </c:val>
          <c:extLst>
            <c:ext xmlns:c16="http://schemas.microsoft.com/office/drawing/2014/chart" uri="{C3380CC4-5D6E-409C-BE32-E72D297353CC}">
              <c16:uniqueId val="{00000000-75CE-4F00-B102-F55387C45026}"/>
            </c:ext>
          </c:extLst>
        </c:ser>
        <c:dLbls>
          <c:showLegendKey val="0"/>
          <c:showVal val="0"/>
          <c:showCatName val="0"/>
          <c:showSerName val="0"/>
          <c:showPercent val="0"/>
          <c:showBubbleSize val="0"/>
        </c:dLbls>
        <c:gapWidth val="219"/>
        <c:overlap val="-27"/>
        <c:axId val="1962849856"/>
        <c:axId val="2070118960"/>
      </c:barChart>
      <c:catAx>
        <c:axId val="196284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18960"/>
        <c:crosses val="autoZero"/>
        <c:auto val="1"/>
        <c:lblAlgn val="ctr"/>
        <c:lblOffset val="100"/>
        <c:noMultiLvlLbl val="0"/>
      </c:catAx>
      <c:valAx>
        <c:axId val="207011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4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[Book1.xlsxRecruitment_Management_System.xlsx]Monthly_Applicationp4!PivotTable3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Applications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Monthly_Applicationp4!$B$3</c:f>
              <c:strCache>
                <c:ptCount val="1"/>
                <c:pt idx="0">
                  <c:v>Total</c:v>
                </c:pt>
              </c:strCache>
            </c:strRef>
          </c:tx>
          <c:spPr>
            <a:ln w="28575" cap="rnd">
              <a:solidFill>
                <a:schemeClr val="accent1"/>
              </a:solidFill>
              <a:round/>
            </a:ln>
            <a:effectLst/>
          </c:spPr>
          <c:marker>
            <c:symbol val="none"/>
          </c:marker>
          <c:cat>
            <c:strRef>
              <c:f>Monthly_Applicationp4!$A$4:$A$16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Monthly_Applicationp4!$B$4:$B$16</c:f>
              <c:numCache>
                <c:formatCode>General</c:formatCode>
                <c:ptCount val="12"/>
                <c:pt idx="0">
                  <c:v>103</c:v>
                </c:pt>
                <c:pt idx="1">
                  <c:v>102</c:v>
                </c:pt>
                <c:pt idx="2">
                  <c:v>105</c:v>
                </c:pt>
                <c:pt idx="3">
                  <c:v>104</c:v>
                </c:pt>
                <c:pt idx="4">
                  <c:v>100</c:v>
                </c:pt>
                <c:pt idx="5">
                  <c:v>93</c:v>
                </c:pt>
                <c:pt idx="6">
                  <c:v>115</c:v>
                </c:pt>
                <c:pt idx="7">
                  <c:v>113</c:v>
                </c:pt>
                <c:pt idx="8">
                  <c:v>95</c:v>
                </c:pt>
                <c:pt idx="9">
                  <c:v>90</c:v>
                </c:pt>
                <c:pt idx="10">
                  <c:v>83</c:v>
                </c:pt>
                <c:pt idx="11">
                  <c:v>97</c:v>
                </c:pt>
              </c:numCache>
            </c:numRef>
          </c:val>
          <c:smooth val="0"/>
          <c:extLst>
            <c:ext xmlns:c16="http://schemas.microsoft.com/office/drawing/2014/chart" uri="{C3380CC4-5D6E-409C-BE32-E72D297353CC}">
              <c16:uniqueId val="{00000000-71F8-41C9-B9F2-15AB5B58D431}"/>
            </c:ext>
          </c:extLst>
        </c:ser>
        <c:dLbls>
          <c:showLegendKey val="0"/>
          <c:showVal val="0"/>
          <c:showCatName val="0"/>
          <c:showSerName val="0"/>
          <c:showPercent val="0"/>
          <c:showBubbleSize val="0"/>
        </c:dLbls>
        <c:smooth val="0"/>
        <c:axId val="2072184688"/>
        <c:axId val="1713169616"/>
      </c:lineChart>
      <c:catAx>
        <c:axId val="20721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69616"/>
        <c:crosses val="autoZero"/>
        <c:auto val="1"/>
        <c:lblAlgn val="ctr"/>
        <c:lblOffset val="100"/>
        <c:noMultiLvlLbl val="0"/>
      </c:catAx>
      <c:valAx>
        <c:axId val="171316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[Book1.xlsxRecruitment_Management_System.xlsx]Department_HiringP5!PivotTable4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Department Hiring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Department_HiringP5!$B$3</c:f>
              <c:strCache>
                <c:ptCount val="1"/>
                <c:pt idx="0">
                  <c:v>Total</c:v>
                </c:pt>
              </c:strCache>
            </c:strRef>
          </c:tx>
          <c:spPr>
            <a:solidFill>
              <a:schemeClr val="accent1"/>
            </a:solidFill>
            <a:ln>
              <a:noFill/>
            </a:ln>
            <a:effectLst/>
          </c:spPr>
          <c:invertIfNegative val="0"/>
          <c:cat>
            <c:strRef>
              <c:f>Department_HiringP5!$A$4:$A$14</c:f>
              <c:strCache>
                <c:ptCount val="10"/>
                <c:pt idx="0">
                  <c:v>Customer Support</c:v>
                </c:pt>
                <c:pt idx="1">
                  <c:v>Data Analytics</c:v>
                </c:pt>
                <c:pt idx="2">
                  <c:v>Data Science</c:v>
                </c:pt>
                <c:pt idx="3">
                  <c:v>Finance</c:v>
                </c:pt>
                <c:pt idx="4">
                  <c:v>HR</c:v>
                </c:pt>
                <c:pt idx="5">
                  <c:v>IT</c:v>
                </c:pt>
                <c:pt idx="6">
                  <c:v>Legal</c:v>
                </c:pt>
                <c:pt idx="7">
                  <c:v>Marketing</c:v>
                </c:pt>
                <c:pt idx="8">
                  <c:v>Operations</c:v>
                </c:pt>
                <c:pt idx="9">
                  <c:v>Sales</c:v>
                </c:pt>
              </c:strCache>
            </c:strRef>
          </c:cat>
          <c:val>
            <c:numRef>
              <c:f>Department_HiringP5!$B$4:$B$14</c:f>
              <c:numCache>
                <c:formatCode>General</c:formatCode>
                <c:ptCount val="10"/>
                <c:pt idx="0">
                  <c:v>15</c:v>
                </c:pt>
                <c:pt idx="1">
                  <c:v>28</c:v>
                </c:pt>
                <c:pt idx="2">
                  <c:v>16</c:v>
                </c:pt>
                <c:pt idx="3">
                  <c:v>6</c:v>
                </c:pt>
                <c:pt idx="4">
                  <c:v>1</c:v>
                </c:pt>
                <c:pt idx="5">
                  <c:v>7</c:v>
                </c:pt>
                <c:pt idx="6">
                  <c:v>7</c:v>
                </c:pt>
                <c:pt idx="7">
                  <c:v>8</c:v>
                </c:pt>
                <c:pt idx="8">
                  <c:v>7</c:v>
                </c:pt>
                <c:pt idx="9">
                  <c:v>22</c:v>
                </c:pt>
              </c:numCache>
            </c:numRef>
          </c:val>
          <c:extLst>
            <c:ext xmlns:c16="http://schemas.microsoft.com/office/drawing/2014/chart" uri="{C3380CC4-5D6E-409C-BE32-E72D297353CC}">
              <c16:uniqueId val="{00000000-AD24-43F2-A0A2-0F8CF2DD57A7}"/>
            </c:ext>
          </c:extLst>
        </c:ser>
        <c:dLbls>
          <c:showLegendKey val="0"/>
          <c:showVal val="0"/>
          <c:showCatName val="0"/>
          <c:showSerName val="0"/>
          <c:showPercent val="0"/>
          <c:showBubbleSize val="0"/>
        </c:dLbls>
        <c:gapWidth val="219"/>
        <c:overlap val="-27"/>
        <c:axId val="2074022912"/>
        <c:axId val="1978382800"/>
      </c:barChart>
      <c:catAx>
        <c:axId val="20740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82800"/>
        <c:crosses val="autoZero"/>
        <c:auto val="1"/>
        <c:lblAlgn val="ctr"/>
        <c:lblOffset val="100"/>
        <c:noMultiLvlLbl val="0"/>
      </c:catAx>
      <c:valAx>
        <c:axId val="197838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[Book1.xlsxRecruitment_Management_System.xlsx]Recruiter_PerformanceP6!PivotTable5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Recruiter_PerformanceP6!$B$3</c:f>
              <c:strCache>
                <c:ptCount val="1"/>
                <c:pt idx="0">
                  <c:v>Total</c:v>
                </c:pt>
              </c:strCache>
            </c:strRef>
          </c:tx>
          <c:spPr>
            <a:solidFill>
              <a:schemeClr val="accent1"/>
            </a:solidFill>
            <a:ln>
              <a:noFill/>
            </a:ln>
            <a:effectLst/>
          </c:spPr>
          <c:invertIfNegative val="0"/>
          <c:cat>
            <c:strRef>
              <c:f>Recruiter_PerformanceP6!$A$4:$A$19</c:f>
              <c:strCache>
                <c:ptCount val="15"/>
                <c:pt idx="0">
                  <c:v>Anthony Harris</c:v>
                </c:pt>
                <c:pt idx="1">
                  <c:v>Benjamin Davis</c:v>
                </c:pt>
                <c:pt idx="2">
                  <c:v>Bruce Parker</c:v>
                </c:pt>
                <c:pt idx="3">
                  <c:v>Catherine Perkins</c:v>
                </c:pt>
                <c:pt idx="4">
                  <c:v>Chris Curtis</c:v>
                </c:pt>
                <c:pt idx="5">
                  <c:v>Jacqueline Kelley</c:v>
                </c:pt>
                <c:pt idx="6">
                  <c:v>Jennifer Cherry</c:v>
                </c:pt>
                <c:pt idx="7">
                  <c:v>Jessica Edwards</c:v>
                </c:pt>
                <c:pt idx="8">
                  <c:v>Jody Evans</c:v>
                </c:pt>
                <c:pt idx="9">
                  <c:v>Jordan Johnson</c:v>
                </c:pt>
                <c:pt idx="10">
                  <c:v>Joshua Diaz</c:v>
                </c:pt>
                <c:pt idx="11">
                  <c:v>Mark Meza</c:v>
                </c:pt>
                <c:pt idx="12">
                  <c:v>Melissa Sanchez</c:v>
                </c:pt>
                <c:pt idx="13">
                  <c:v>Ronald Martinez</c:v>
                </c:pt>
                <c:pt idx="14">
                  <c:v>Scott Roberts</c:v>
                </c:pt>
              </c:strCache>
            </c:strRef>
          </c:cat>
          <c:val>
            <c:numRef>
              <c:f>Recruiter_PerformanceP6!$B$4:$B$19</c:f>
              <c:numCache>
                <c:formatCode>General</c:formatCode>
                <c:ptCount val="15"/>
                <c:pt idx="0">
                  <c:v>36</c:v>
                </c:pt>
                <c:pt idx="1">
                  <c:v>20</c:v>
                </c:pt>
                <c:pt idx="2">
                  <c:v>24</c:v>
                </c:pt>
                <c:pt idx="3">
                  <c:v>20</c:v>
                </c:pt>
                <c:pt idx="4">
                  <c:v>40</c:v>
                </c:pt>
                <c:pt idx="5">
                  <c:v>40</c:v>
                </c:pt>
                <c:pt idx="6">
                  <c:v>40</c:v>
                </c:pt>
                <c:pt idx="7">
                  <c:v>20</c:v>
                </c:pt>
                <c:pt idx="8">
                  <c:v>24</c:v>
                </c:pt>
                <c:pt idx="9">
                  <c:v>20</c:v>
                </c:pt>
                <c:pt idx="10">
                  <c:v>20</c:v>
                </c:pt>
                <c:pt idx="11">
                  <c:v>36</c:v>
                </c:pt>
                <c:pt idx="12">
                  <c:v>36</c:v>
                </c:pt>
                <c:pt idx="13">
                  <c:v>48</c:v>
                </c:pt>
                <c:pt idx="14">
                  <c:v>48</c:v>
                </c:pt>
              </c:numCache>
            </c:numRef>
          </c:val>
          <c:extLst>
            <c:ext xmlns:c16="http://schemas.microsoft.com/office/drawing/2014/chart" uri="{C3380CC4-5D6E-409C-BE32-E72D297353CC}">
              <c16:uniqueId val="{00000000-3D17-4D28-BE22-2D61A40A48EE}"/>
            </c:ext>
          </c:extLst>
        </c:ser>
        <c:dLbls>
          <c:showLegendKey val="0"/>
          <c:showVal val="0"/>
          <c:showCatName val="0"/>
          <c:showSerName val="0"/>
          <c:showPercent val="0"/>
          <c:showBubbleSize val="0"/>
        </c:dLbls>
        <c:gapWidth val="182"/>
        <c:axId val="2073985792"/>
        <c:axId val="1978377520"/>
      </c:barChart>
      <c:catAx>
        <c:axId val="207398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77520"/>
        <c:crosses val="autoZero"/>
        <c:auto val="1"/>
        <c:lblAlgn val="ctr"/>
        <c:lblOffset val="100"/>
        <c:noMultiLvlLbl val="0"/>
      </c:catAx>
      <c:valAx>
        <c:axId val="197837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[Book1.xlsxRecruitment_Management_System.xlsx]Offer_StatusP7!PivotTable6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 Acceptance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Offer_StatusP7!$B$3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0-4EC1-83B3-D55EA1C7569A}"/>
              </c:ext>
            </c:extLst>
          </c:dPt>
          <c:cat>
            <c:strRef>
              <c:f>Offer_StatusP7!$A$4:$A$5</c:f>
              <c:strCache>
                <c:ptCount val="1"/>
                <c:pt idx="0">
                  <c:v>Accepted</c:v>
                </c:pt>
              </c:strCache>
            </c:strRef>
          </c:cat>
          <c:val>
            <c:numRef>
              <c:f>Offer_StatusP7!$B$4:$B$5</c:f>
              <c:numCache>
                <c:formatCode>General</c:formatCode>
                <c:ptCount val="1"/>
                <c:pt idx="0">
                  <c:v>231</c:v>
                </c:pt>
              </c:numCache>
            </c:numRef>
          </c:val>
          <c:extLst>
            <c:ext xmlns:c16="http://schemas.microsoft.com/office/drawing/2014/chart" uri="{C3380CC4-5D6E-409C-BE32-E72D297353CC}">
              <c16:uniqueId val="{00000002-5A90-4EC1-83B3-D55EA1C756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[Book1.xlsxRecruitment_Management_System.xlsx]Joining_TrendP8!PivotTable7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Joining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Joining_TrendP8!$B$3</c:f>
              <c:strCache>
                <c:ptCount val="1"/>
                <c:pt idx="0">
                  <c:v>Total</c:v>
                </c:pt>
              </c:strCache>
            </c:strRef>
          </c:tx>
          <c:spPr>
            <a:ln w="28575" cap="rnd">
              <a:solidFill>
                <a:schemeClr val="accent1"/>
              </a:solidFill>
              <a:round/>
            </a:ln>
            <a:effectLst/>
          </c:spPr>
          <c:marker>
            <c:symbol val="none"/>
          </c:marker>
          <c:cat>
            <c:strRef>
              <c:f>Joining_TrendP8!$A$4:$A$16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Joining_TrendP8!$B$4:$B$16</c:f>
              <c:numCache>
                <c:formatCode>General</c:formatCode>
                <c:ptCount val="12"/>
                <c:pt idx="0">
                  <c:v>1</c:v>
                </c:pt>
                <c:pt idx="1">
                  <c:v>3</c:v>
                </c:pt>
                <c:pt idx="2">
                  <c:v>8</c:v>
                </c:pt>
                <c:pt idx="3">
                  <c:v>24</c:v>
                </c:pt>
                <c:pt idx="4">
                  <c:v>41</c:v>
                </c:pt>
                <c:pt idx="5">
                  <c:v>20</c:v>
                </c:pt>
                <c:pt idx="6">
                  <c:v>26</c:v>
                </c:pt>
                <c:pt idx="7">
                  <c:v>35</c:v>
                </c:pt>
                <c:pt idx="8">
                  <c:v>25</c:v>
                </c:pt>
                <c:pt idx="9">
                  <c:v>11</c:v>
                </c:pt>
                <c:pt idx="10">
                  <c:v>15</c:v>
                </c:pt>
                <c:pt idx="11">
                  <c:v>21</c:v>
                </c:pt>
              </c:numCache>
            </c:numRef>
          </c:val>
          <c:smooth val="0"/>
          <c:extLst>
            <c:ext xmlns:c16="http://schemas.microsoft.com/office/drawing/2014/chart" uri="{C3380CC4-5D6E-409C-BE32-E72D297353CC}">
              <c16:uniqueId val="{00000000-5FE0-4967-B885-93F5D24C032E}"/>
            </c:ext>
          </c:extLst>
        </c:ser>
        <c:dLbls>
          <c:showLegendKey val="0"/>
          <c:showVal val="0"/>
          <c:showCatName val="0"/>
          <c:showSerName val="0"/>
          <c:showPercent val="0"/>
          <c:showBubbleSize val="0"/>
        </c:dLbls>
        <c:smooth val="0"/>
        <c:axId val="1304729664"/>
        <c:axId val="1972226064"/>
      </c:lineChart>
      <c:catAx>
        <c:axId val="13047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26064"/>
        <c:crosses val="autoZero"/>
        <c:auto val="1"/>
        <c:lblAlgn val="ctr"/>
        <c:lblOffset val="100"/>
        <c:noMultiLvlLbl val="0"/>
      </c:catAx>
      <c:valAx>
        <c:axId val="19722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72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167640</xdr:rowOff>
    </xdr:from>
    <xdr:to>
      <xdr:col>5</xdr:col>
      <xdr:colOff>335280</xdr:colOff>
      <xdr:row>27</xdr:row>
      <xdr:rowOff>167640</xdr:rowOff>
    </xdr:to>
    <xdr:graphicFrame macro="">
      <xdr:nvGraphicFramePr>
        <xdr:cNvPr id="2" name="Chart 1">
          <a:extLst>
            <a:ext uri="{FF2B5EF4-FFF2-40B4-BE49-F238E27FC236}">
              <a16:creationId xmlns:a16="http://schemas.microsoft.com/office/drawing/2014/main" id="{91BF6136-1F97-9E00-2DBF-4EA76EEB9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6</xdr:row>
      <xdr:rowOff>30480</xdr:rowOff>
    </xdr:from>
    <xdr:to>
      <xdr:col>5</xdr:col>
      <xdr:colOff>548646</xdr:colOff>
      <xdr:row>21</xdr:row>
      <xdr:rowOff>30480</xdr:rowOff>
    </xdr:to>
    <xdr:graphicFrame macro="">
      <xdr:nvGraphicFramePr>
        <xdr:cNvPr id="2" name="Chart 1">
          <a:extLst>
            <a:ext uri="{FF2B5EF4-FFF2-40B4-BE49-F238E27FC236}">
              <a16:creationId xmlns:a16="http://schemas.microsoft.com/office/drawing/2014/main" id="{C6011FE5-FA0A-88A8-6263-9893DA266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129540</xdr:rowOff>
    </xdr:from>
    <xdr:to>
      <xdr:col>5</xdr:col>
      <xdr:colOff>548640</xdr:colOff>
      <xdr:row>24</xdr:row>
      <xdr:rowOff>129540</xdr:rowOff>
    </xdr:to>
    <xdr:graphicFrame macro="">
      <xdr:nvGraphicFramePr>
        <xdr:cNvPr id="2" name="Chart 1">
          <a:extLst>
            <a:ext uri="{FF2B5EF4-FFF2-40B4-BE49-F238E27FC236}">
              <a16:creationId xmlns:a16="http://schemas.microsoft.com/office/drawing/2014/main" id="{56BDF571-3762-6382-68EB-A6008AA88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548640</xdr:colOff>
      <xdr:row>32</xdr:row>
      <xdr:rowOff>0</xdr:rowOff>
    </xdr:to>
    <xdr:graphicFrame macro="">
      <xdr:nvGraphicFramePr>
        <xdr:cNvPr id="2" name="Chart 1">
          <a:extLst>
            <a:ext uri="{FF2B5EF4-FFF2-40B4-BE49-F238E27FC236}">
              <a16:creationId xmlns:a16="http://schemas.microsoft.com/office/drawing/2014/main" id="{74D84CDA-2FCC-AE79-5EC4-D69061F26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114300</xdr:rowOff>
    </xdr:from>
    <xdr:to>
      <xdr:col>5</xdr:col>
      <xdr:colOff>297180</xdr:colOff>
      <xdr:row>32</xdr:row>
      <xdr:rowOff>114300</xdr:rowOff>
    </xdr:to>
    <xdr:graphicFrame macro="">
      <xdr:nvGraphicFramePr>
        <xdr:cNvPr id="2" name="Chart 1">
          <a:extLst>
            <a:ext uri="{FF2B5EF4-FFF2-40B4-BE49-F238E27FC236}">
              <a16:creationId xmlns:a16="http://schemas.microsoft.com/office/drawing/2014/main" id="{A5A55B98-58EB-91C1-3898-934C24C63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175266</xdr:colOff>
      <xdr:row>19</xdr:row>
      <xdr:rowOff>129540</xdr:rowOff>
    </xdr:from>
    <xdr:to>
      <xdr:col>6</xdr:col>
      <xdr:colOff>15246</xdr:colOff>
      <xdr:row>34</xdr:row>
      <xdr:rowOff>129540</xdr:rowOff>
    </xdr:to>
    <xdr:graphicFrame macro="">
      <xdr:nvGraphicFramePr>
        <xdr:cNvPr id="2" name="Chart 1">
          <a:extLst>
            <a:ext uri="{FF2B5EF4-FFF2-40B4-BE49-F238E27FC236}">
              <a16:creationId xmlns:a16="http://schemas.microsoft.com/office/drawing/2014/main" id="{09457EA1-48C0-9D64-4F60-86BB9F5E6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xdr:colOff>
      <xdr:row>6</xdr:row>
      <xdr:rowOff>30480</xdr:rowOff>
    </xdr:from>
    <xdr:to>
      <xdr:col>6</xdr:col>
      <xdr:colOff>411486</xdr:colOff>
      <xdr:row>21</xdr:row>
      <xdr:rowOff>30480</xdr:rowOff>
    </xdr:to>
    <xdr:graphicFrame macro="">
      <xdr:nvGraphicFramePr>
        <xdr:cNvPr id="2" name="Chart 1">
          <a:extLst>
            <a:ext uri="{FF2B5EF4-FFF2-40B4-BE49-F238E27FC236}">
              <a16:creationId xmlns:a16="http://schemas.microsoft.com/office/drawing/2014/main" id="{9CCABF99-8579-22DE-A254-3A748504E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129546</xdr:colOff>
      <xdr:row>16</xdr:row>
      <xdr:rowOff>129540</xdr:rowOff>
    </xdr:from>
    <xdr:to>
      <xdr:col>6</xdr:col>
      <xdr:colOff>99066</xdr:colOff>
      <xdr:row>31</xdr:row>
      <xdr:rowOff>129540</xdr:rowOff>
    </xdr:to>
    <xdr:graphicFrame macro="">
      <xdr:nvGraphicFramePr>
        <xdr:cNvPr id="2" name="Chart 1">
          <a:extLst>
            <a:ext uri="{FF2B5EF4-FFF2-40B4-BE49-F238E27FC236}">
              <a16:creationId xmlns:a16="http://schemas.microsoft.com/office/drawing/2014/main" id="{1CA963D6-A061-2CDA-A8B0-D4E43233D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304800</xdr:colOff>
      <xdr:row>27</xdr:row>
      <xdr:rowOff>0</xdr:rowOff>
    </xdr:to>
    <xdr:graphicFrame macro="">
      <xdr:nvGraphicFramePr>
        <xdr:cNvPr id="2" name="Chart 1">
          <a:extLst>
            <a:ext uri="{FF2B5EF4-FFF2-40B4-BE49-F238E27FC236}">
              <a16:creationId xmlns:a16="http://schemas.microsoft.com/office/drawing/2014/main" id="{D41563F9-60A9-4839-A58E-5E57AE42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0</xdr:rowOff>
    </xdr:from>
    <xdr:to>
      <xdr:col>7</xdr:col>
      <xdr:colOff>304800</xdr:colOff>
      <xdr:row>43</xdr:row>
      <xdr:rowOff>0</xdr:rowOff>
    </xdr:to>
    <xdr:graphicFrame macro="">
      <xdr:nvGraphicFramePr>
        <xdr:cNvPr id="3" name="Chart 2">
          <a:extLst>
            <a:ext uri="{FF2B5EF4-FFF2-40B4-BE49-F238E27FC236}">
              <a16:creationId xmlns:a16="http://schemas.microsoft.com/office/drawing/2014/main" id="{177570BA-29D6-4BC3-95BC-C1B2A43E2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12</xdr:row>
      <xdr:rowOff>0</xdr:rowOff>
    </xdr:from>
    <xdr:to>
      <xdr:col>15</xdr:col>
      <xdr:colOff>304800</xdr:colOff>
      <xdr:row>27</xdr:row>
      <xdr:rowOff>0</xdr:rowOff>
    </xdr:to>
    <xdr:graphicFrame macro="">
      <xdr:nvGraphicFramePr>
        <xdr:cNvPr id="4" name="Chart 3">
          <a:extLst>
            <a:ext uri="{FF2B5EF4-FFF2-40B4-BE49-F238E27FC236}">
              <a16:creationId xmlns:a16="http://schemas.microsoft.com/office/drawing/2014/main" id="{4FF7B337-345A-4B42-93CD-F127CED59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28</xdr:row>
      <xdr:rowOff>0</xdr:rowOff>
    </xdr:from>
    <xdr:to>
      <xdr:col>15</xdr:col>
      <xdr:colOff>304800</xdr:colOff>
      <xdr:row>43</xdr:row>
      <xdr:rowOff>0</xdr:rowOff>
    </xdr:to>
    <xdr:graphicFrame macro="">
      <xdr:nvGraphicFramePr>
        <xdr:cNvPr id="5" name="Chart 4">
          <a:extLst>
            <a:ext uri="{FF2B5EF4-FFF2-40B4-BE49-F238E27FC236}">
              <a16:creationId xmlns:a16="http://schemas.microsoft.com/office/drawing/2014/main" id="{C221A483-F40A-40CF-AEF9-AD3712AD4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12</xdr:row>
      <xdr:rowOff>0</xdr:rowOff>
    </xdr:from>
    <xdr:to>
      <xdr:col>23</xdr:col>
      <xdr:colOff>304800</xdr:colOff>
      <xdr:row>27</xdr:row>
      <xdr:rowOff>0</xdr:rowOff>
    </xdr:to>
    <xdr:graphicFrame macro="">
      <xdr:nvGraphicFramePr>
        <xdr:cNvPr id="6" name="Chart 5">
          <a:extLst>
            <a:ext uri="{FF2B5EF4-FFF2-40B4-BE49-F238E27FC236}">
              <a16:creationId xmlns:a16="http://schemas.microsoft.com/office/drawing/2014/main" id="{3499C669-6ED3-450B-A881-EB4016E98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28</xdr:row>
      <xdr:rowOff>0</xdr:rowOff>
    </xdr:from>
    <xdr:to>
      <xdr:col>23</xdr:col>
      <xdr:colOff>304800</xdr:colOff>
      <xdr:row>43</xdr:row>
      <xdr:rowOff>0</xdr:rowOff>
    </xdr:to>
    <xdr:graphicFrame macro="">
      <xdr:nvGraphicFramePr>
        <xdr:cNvPr id="7" name="Chart 6">
          <a:extLst>
            <a:ext uri="{FF2B5EF4-FFF2-40B4-BE49-F238E27FC236}">
              <a16:creationId xmlns:a16="http://schemas.microsoft.com/office/drawing/2014/main" id="{518CF4BB-8583-4891-994F-7505B1C7C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12</xdr:row>
      <xdr:rowOff>0</xdr:rowOff>
    </xdr:from>
    <xdr:to>
      <xdr:col>31</xdr:col>
      <xdr:colOff>304800</xdr:colOff>
      <xdr:row>27</xdr:row>
      <xdr:rowOff>0</xdr:rowOff>
    </xdr:to>
    <xdr:graphicFrame macro="">
      <xdr:nvGraphicFramePr>
        <xdr:cNvPr id="8" name="Chart 7">
          <a:extLst>
            <a:ext uri="{FF2B5EF4-FFF2-40B4-BE49-F238E27FC236}">
              <a16:creationId xmlns:a16="http://schemas.microsoft.com/office/drawing/2014/main" id="{D3C43FF2-85BD-4DFF-92D9-082D43E6B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0</xdr:colOff>
      <xdr:row>28</xdr:row>
      <xdr:rowOff>0</xdr:rowOff>
    </xdr:from>
    <xdr:to>
      <xdr:col>31</xdr:col>
      <xdr:colOff>304800</xdr:colOff>
      <xdr:row>43</xdr:row>
      <xdr:rowOff>0</xdr:rowOff>
    </xdr:to>
    <xdr:graphicFrame macro="">
      <xdr:nvGraphicFramePr>
        <xdr:cNvPr id="9" name="Chart 8">
          <a:extLst>
            <a:ext uri="{FF2B5EF4-FFF2-40B4-BE49-F238E27FC236}">
              <a16:creationId xmlns:a16="http://schemas.microsoft.com/office/drawing/2014/main" id="{C9023E68-BBC2-4353-A59C-7FDE50D6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14655</xdr:colOff>
      <xdr:row>5</xdr:row>
      <xdr:rowOff>161349</xdr:rowOff>
    </xdr:from>
    <xdr:to>
      <xdr:col>3</xdr:col>
      <xdr:colOff>87924</xdr:colOff>
      <xdr:row>11</xdr:row>
      <xdr:rowOff>98591</xdr:rowOff>
    </xdr:to>
    <xdr:sp macro="" textlink="">
      <xdr:nvSpPr>
        <xdr:cNvPr id="10" name="Rectangle: Rounded Corners 9">
          <a:extLst>
            <a:ext uri="{FF2B5EF4-FFF2-40B4-BE49-F238E27FC236}">
              <a16:creationId xmlns:a16="http://schemas.microsoft.com/office/drawing/2014/main" id="{5358F507-A807-1F3D-4439-BBAD05DB5338}"/>
            </a:ext>
          </a:extLst>
        </xdr:cNvPr>
        <xdr:cNvSpPr/>
      </xdr:nvSpPr>
      <xdr:spPr>
        <a:xfrm>
          <a:off x="14655" y="1040580"/>
          <a:ext cx="1919654"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Candidates</a:t>
          </a:r>
          <a:r>
            <a:rPr lang="en-IN" sz="2400"/>
            <a:t>👥 </a:t>
          </a:r>
          <a:endParaRPr lang="en-IN" sz="2400" b="1"/>
        </a:p>
        <a:p>
          <a:pPr algn="ctr"/>
          <a:r>
            <a:rPr lang="en-IN" sz="2800" b="1"/>
            <a:t>1200</a:t>
          </a:r>
        </a:p>
      </xdr:txBody>
    </xdr:sp>
    <xdr:clientData/>
  </xdr:twoCellAnchor>
  <xdr:twoCellAnchor>
    <xdr:from>
      <xdr:col>3</xdr:col>
      <xdr:colOff>99845</xdr:colOff>
      <xdr:row>5</xdr:row>
      <xdr:rowOff>154324</xdr:rowOff>
    </xdr:from>
    <xdr:to>
      <xdr:col>6</xdr:col>
      <xdr:colOff>307733</xdr:colOff>
      <xdr:row>11</xdr:row>
      <xdr:rowOff>91566</xdr:rowOff>
    </xdr:to>
    <xdr:sp macro="" textlink="">
      <xdr:nvSpPr>
        <xdr:cNvPr id="11" name="Rectangle: Rounded Corners 10">
          <a:extLst>
            <a:ext uri="{FF2B5EF4-FFF2-40B4-BE49-F238E27FC236}">
              <a16:creationId xmlns:a16="http://schemas.microsoft.com/office/drawing/2014/main" id="{B48DA42A-3258-4906-BD4A-1E623D2657AA}"/>
            </a:ext>
          </a:extLst>
        </xdr:cNvPr>
        <xdr:cNvSpPr/>
      </xdr:nvSpPr>
      <xdr:spPr>
        <a:xfrm>
          <a:off x="1946230" y="1033555"/>
          <a:ext cx="2054272"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Open Jobs </a:t>
          </a:r>
          <a:r>
            <a:rPr lang="en-IN" sz="2000"/>
            <a:t>📋 </a:t>
          </a:r>
          <a:endParaRPr lang="en-IN" sz="2000" b="1"/>
        </a:p>
        <a:p>
          <a:pPr algn="ctr"/>
          <a:r>
            <a:rPr lang="en-IN" sz="2800" b="1"/>
            <a:t>50</a:t>
          </a:r>
        </a:p>
      </xdr:txBody>
    </xdr:sp>
    <xdr:clientData/>
  </xdr:twoCellAnchor>
  <xdr:twoCellAnchor>
    <xdr:from>
      <xdr:col>6</xdr:col>
      <xdr:colOff>330830</xdr:colOff>
      <xdr:row>5</xdr:row>
      <xdr:rowOff>170678</xdr:rowOff>
    </xdr:from>
    <xdr:to>
      <xdr:col>10</xdr:col>
      <xdr:colOff>131886</xdr:colOff>
      <xdr:row>11</xdr:row>
      <xdr:rowOff>107920</xdr:rowOff>
    </xdr:to>
    <xdr:sp macro="" textlink="">
      <xdr:nvSpPr>
        <xdr:cNvPr id="12" name="Rectangle: Rounded Corners 11">
          <a:extLst>
            <a:ext uri="{FF2B5EF4-FFF2-40B4-BE49-F238E27FC236}">
              <a16:creationId xmlns:a16="http://schemas.microsoft.com/office/drawing/2014/main" id="{AC98AB9D-48C8-407E-8F2D-E37D443A2345}"/>
            </a:ext>
          </a:extLst>
        </xdr:cNvPr>
        <xdr:cNvSpPr/>
      </xdr:nvSpPr>
      <xdr:spPr>
        <a:xfrm>
          <a:off x="4023599" y="1049909"/>
          <a:ext cx="2262902"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Offers </a:t>
          </a:r>
          <a:r>
            <a:rPr lang="en-IN" sz="2000"/>
            <a:t>📩 </a:t>
          </a:r>
          <a:endParaRPr lang="en-IN" sz="2000" b="1"/>
        </a:p>
        <a:p>
          <a:pPr algn="ctr"/>
          <a:r>
            <a:rPr lang="en-IN" sz="2800" b="1"/>
            <a:t>300</a:t>
          </a:r>
        </a:p>
      </xdr:txBody>
    </xdr:sp>
    <xdr:clientData/>
  </xdr:twoCellAnchor>
  <xdr:twoCellAnchor>
    <xdr:from>
      <xdr:col>10</xdr:col>
      <xdr:colOff>141074</xdr:colOff>
      <xdr:row>5</xdr:row>
      <xdr:rowOff>145700</xdr:rowOff>
    </xdr:from>
    <xdr:to>
      <xdr:col>14</xdr:col>
      <xdr:colOff>146538</xdr:colOff>
      <xdr:row>11</xdr:row>
      <xdr:rowOff>82942</xdr:rowOff>
    </xdr:to>
    <xdr:sp macro="" textlink="">
      <xdr:nvSpPr>
        <xdr:cNvPr id="13" name="Rectangle: Rounded Corners 12">
          <a:extLst>
            <a:ext uri="{FF2B5EF4-FFF2-40B4-BE49-F238E27FC236}">
              <a16:creationId xmlns:a16="http://schemas.microsoft.com/office/drawing/2014/main" id="{942AA746-3102-4BEC-A1DA-519C71A0610F}"/>
            </a:ext>
          </a:extLst>
        </xdr:cNvPr>
        <xdr:cNvSpPr/>
      </xdr:nvSpPr>
      <xdr:spPr>
        <a:xfrm>
          <a:off x="6295689" y="1024931"/>
          <a:ext cx="2467311"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Joined </a:t>
          </a:r>
          <a:r>
            <a:rPr lang="en-IN" sz="2000"/>
            <a:t>✅ </a:t>
          </a:r>
          <a:endParaRPr lang="en-IN" sz="2000" b="1"/>
        </a:p>
        <a:p>
          <a:pPr algn="ctr"/>
          <a:r>
            <a:rPr lang="en-IN" sz="2800" b="1"/>
            <a:t>220</a:t>
          </a:r>
        </a:p>
      </xdr:txBody>
    </xdr:sp>
    <xdr:clientData/>
  </xdr:twoCellAnchor>
  <xdr:twoCellAnchor editAs="oneCell">
    <xdr:from>
      <xdr:col>34</xdr:col>
      <xdr:colOff>534368</xdr:colOff>
      <xdr:row>26</xdr:row>
      <xdr:rowOff>144085</xdr:rowOff>
    </xdr:from>
    <xdr:to>
      <xdr:col>38</xdr:col>
      <xdr:colOff>29593</xdr:colOff>
      <xdr:row>44</xdr:row>
      <xdr:rowOff>118255</xdr:rowOff>
    </xdr:to>
    <mc:AlternateContent xmlns:mc="http://schemas.openxmlformats.org/markup-compatibility/2006">
      <mc:Choice xmlns:a14="http://schemas.microsoft.com/office/drawing/2010/main" Requires="a14">
        <xdr:graphicFrame macro="">
          <xdr:nvGraphicFramePr>
            <xdr:cNvPr id="14" name="Source">
              <a:extLst>
                <a:ext uri="{FF2B5EF4-FFF2-40B4-BE49-F238E27FC236}">
                  <a16:creationId xmlns:a16="http://schemas.microsoft.com/office/drawing/2014/main" id="{DB0E54F5-0F9E-F41A-BF15-93152E560E11}"/>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21460060" y="4716085"/>
              <a:ext cx="1957071" cy="3139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364856</xdr:colOff>
      <xdr:row>30</xdr:row>
      <xdr:rowOff>142067</xdr:rowOff>
    </xdr:from>
    <xdr:to>
      <xdr:col>34</xdr:col>
      <xdr:colOff>452648</xdr:colOff>
      <xdr:row>51</xdr:row>
      <xdr:rowOff>0</xdr:rowOff>
    </xdr:to>
    <mc:AlternateContent xmlns:mc="http://schemas.openxmlformats.org/markup-compatibility/2006">
      <mc:Choice xmlns:a14="http://schemas.microsoft.com/office/drawing/2010/main" Requires="a14">
        <xdr:graphicFrame macro="">
          <xdr:nvGraphicFramePr>
            <xdr:cNvPr id="15" name="Application_Month">
              <a:extLst>
                <a:ext uri="{FF2B5EF4-FFF2-40B4-BE49-F238E27FC236}">
                  <a16:creationId xmlns:a16="http://schemas.microsoft.com/office/drawing/2014/main" id="{60BDC05A-C2F8-6848-BE71-84F3871841C2}"/>
                </a:ext>
              </a:extLst>
            </xdr:cNvPr>
            <xdr:cNvGraphicFramePr/>
          </xdr:nvGraphicFramePr>
          <xdr:xfrm>
            <a:off x="0" y="0"/>
            <a:ext cx="0" cy="0"/>
          </xdr:xfrm>
          <a:graphic>
            <a:graphicData uri="http://schemas.microsoft.com/office/drawing/2010/slicer">
              <sle:slicer xmlns:sle="http://schemas.microsoft.com/office/drawing/2010/slicer" name="Application_Month"/>
            </a:graphicData>
          </a:graphic>
        </xdr:graphicFrame>
      </mc:Choice>
      <mc:Fallback>
        <xdr:sp macro="" textlink="">
          <xdr:nvSpPr>
            <xdr:cNvPr id="0" name=""/>
            <xdr:cNvSpPr>
              <a:spLocks noTextEdit="1"/>
            </xdr:cNvSpPr>
          </xdr:nvSpPr>
          <xdr:spPr>
            <a:xfrm>
              <a:off x="19444164" y="5417452"/>
              <a:ext cx="1934176" cy="3550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551723</xdr:colOff>
      <xdr:row>6</xdr:row>
      <xdr:rowOff>44799</xdr:rowOff>
    </xdr:from>
    <xdr:to>
      <xdr:col>37</xdr:col>
      <xdr:colOff>507687</xdr:colOff>
      <xdr:row>26</xdr:row>
      <xdr:rowOff>70630</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1278353A-F246-9777-09EE-1342F12562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477415" y="1099876"/>
              <a:ext cx="1802349" cy="3542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381715</xdr:colOff>
      <xdr:row>6</xdr:row>
      <xdr:rowOff>3738</xdr:rowOff>
    </xdr:from>
    <xdr:to>
      <xdr:col>34</xdr:col>
      <xdr:colOff>499255</xdr:colOff>
      <xdr:row>30</xdr:row>
      <xdr:rowOff>81528</xdr:rowOff>
    </xdr:to>
    <mc:AlternateContent xmlns:mc="http://schemas.openxmlformats.org/markup-compatibility/2006">
      <mc:Choice xmlns:a14="http://schemas.microsoft.com/office/drawing/2010/main" Requires="a14">
        <xdr:graphicFrame macro="">
          <xdr:nvGraphicFramePr>
            <xdr:cNvPr id="17" name="Recruiter_Name">
              <a:extLst>
                <a:ext uri="{FF2B5EF4-FFF2-40B4-BE49-F238E27FC236}">
                  <a16:creationId xmlns:a16="http://schemas.microsoft.com/office/drawing/2014/main" id="{525011D8-604B-8298-A3DB-1EF373D3E880}"/>
                </a:ext>
              </a:extLst>
            </xdr:cNvPr>
            <xdr:cNvGraphicFramePr/>
          </xdr:nvGraphicFramePr>
          <xdr:xfrm>
            <a:off x="0" y="0"/>
            <a:ext cx="0" cy="0"/>
          </xdr:xfrm>
          <a:graphic>
            <a:graphicData uri="http://schemas.microsoft.com/office/drawing/2010/slicer">
              <sle:slicer xmlns:sle="http://schemas.microsoft.com/office/drawing/2010/slicer" name="Recruiter_Name"/>
            </a:graphicData>
          </a:graphic>
        </xdr:graphicFrame>
      </mc:Choice>
      <mc:Fallback>
        <xdr:sp macro="" textlink="">
          <xdr:nvSpPr>
            <xdr:cNvPr id="0" name=""/>
            <xdr:cNvSpPr>
              <a:spLocks noTextEdit="1"/>
            </xdr:cNvSpPr>
          </xdr:nvSpPr>
          <xdr:spPr>
            <a:xfrm>
              <a:off x="19461023" y="1058815"/>
              <a:ext cx="1963924" cy="4298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410308</xdr:colOff>
      <xdr:row>5</xdr:row>
      <xdr:rowOff>146537</xdr:rowOff>
    </xdr:from>
    <xdr:to>
      <xdr:col>31</xdr:col>
      <xdr:colOff>337038</xdr:colOff>
      <xdr:row>11</xdr:row>
      <xdr:rowOff>83779</xdr:rowOff>
    </xdr:to>
    <xdr:sp macro="" textlink="">
      <xdr:nvSpPr>
        <xdr:cNvPr id="18" name="Rectangle: Rounded Corners 17">
          <a:extLst>
            <a:ext uri="{FF2B5EF4-FFF2-40B4-BE49-F238E27FC236}">
              <a16:creationId xmlns:a16="http://schemas.microsoft.com/office/drawing/2014/main" id="{580CC7C8-65C7-406F-B3A8-2BA7BFD10985}"/>
            </a:ext>
          </a:extLst>
        </xdr:cNvPr>
        <xdr:cNvSpPr/>
      </xdr:nvSpPr>
      <xdr:spPr>
        <a:xfrm>
          <a:off x="16412308" y="1025768"/>
          <a:ext cx="3004038"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Avg feedback</a:t>
          </a:r>
        </a:p>
        <a:p>
          <a:pPr algn="ctr"/>
          <a:r>
            <a:rPr lang="en-IN" sz="2800" b="1"/>
            <a:t>4.3</a:t>
          </a:r>
        </a:p>
      </xdr:txBody>
    </xdr:sp>
    <xdr:clientData/>
  </xdr:twoCellAnchor>
  <xdr:twoCellAnchor>
    <xdr:from>
      <xdr:col>22</xdr:col>
      <xdr:colOff>0</xdr:colOff>
      <xdr:row>5</xdr:row>
      <xdr:rowOff>152400</xdr:rowOff>
    </xdr:from>
    <xdr:to>
      <xdr:col>26</xdr:col>
      <xdr:colOff>424961</xdr:colOff>
      <xdr:row>11</xdr:row>
      <xdr:rowOff>89642</xdr:rowOff>
    </xdr:to>
    <xdr:sp macro="" textlink="">
      <xdr:nvSpPr>
        <xdr:cNvPr id="19" name="Rectangle: Rounded Corners 18">
          <a:extLst>
            <a:ext uri="{FF2B5EF4-FFF2-40B4-BE49-F238E27FC236}">
              <a16:creationId xmlns:a16="http://schemas.microsoft.com/office/drawing/2014/main" id="{D5698F07-CF88-4FCB-AB4C-0627C6329CA5}"/>
            </a:ext>
          </a:extLst>
        </xdr:cNvPr>
        <xdr:cNvSpPr/>
      </xdr:nvSpPr>
      <xdr:spPr>
        <a:xfrm>
          <a:off x="13540154" y="1031631"/>
          <a:ext cx="2886807"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Avg Salary </a:t>
          </a:r>
          <a:r>
            <a:rPr lang="en-IN" sz="2000"/>
            <a:t> </a:t>
          </a:r>
          <a:endParaRPr lang="en-IN" sz="2000" b="1"/>
        </a:p>
        <a:p>
          <a:pPr algn="ctr"/>
          <a:r>
            <a:rPr lang="en-IN" sz="2800" b="1"/>
            <a:t>10.2</a:t>
          </a:r>
          <a:r>
            <a:rPr lang="en-IN" sz="2800" b="1" baseline="0"/>
            <a:t> LPA</a:t>
          </a:r>
        </a:p>
        <a:p>
          <a:pPr algn="ctr"/>
          <a:endParaRPr lang="en-IN" sz="2800" b="1"/>
        </a:p>
      </xdr:txBody>
    </xdr:sp>
    <xdr:clientData/>
  </xdr:twoCellAnchor>
  <xdr:twoCellAnchor>
    <xdr:from>
      <xdr:col>18</xdr:col>
      <xdr:colOff>58615</xdr:colOff>
      <xdr:row>5</xdr:row>
      <xdr:rowOff>128953</xdr:rowOff>
    </xdr:from>
    <xdr:to>
      <xdr:col>22</xdr:col>
      <xdr:colOff>0</xdr:colOff>
      <xdr:row>11</xdr:row>
      <xdr:rowOff>66195</xdr:rowOff>
    </xdr:to>
    <xdr:sp macro="" textlink="">
      <xdr:nvSpPr>
        <xdr:cNvPr id="20" name="Rectangle: Rounded Corners 19">
          <a:extLst>
            <a:ext uri="{FF2B5EF4-FFF2-40B4-BE49-F238E27FC236}">
              <a16:creationId xmlns:a16="http://schemas.microsoft.com/office/drawing/2014/main" id="{622F22C2-BB06-4397-9456-DED30DDD0308}"/>
            </a:ext>
          </a:extLst>
        </xdr:cNvPr>
        <xdr:cNvSpPr/>
      </xdr:nvSpPr>
      <xdr:spPr>
        <a:xfrm>
          <a:off x="11136923" y="1008184"/>
          <a:ext cx="2403231"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Avg Experience </a:t>
          </a:r>
        </a:p>
        <a:p>
          <a:pPr algn="ctr"/>
          <a:r>
            <a:rPr lang="en-IN" sz="2800" b="1"/>
            <a:t>4.8</a:t>
          </a:r>
          <a:r>
            <a:rPr lang="en-IN" sz="2800" b="1" baseline="0"/>
            <a:t> yrs</a:t>
          </a:r>
          <a:endParaRPr lang="en-IN" sz="2800" b="1"/>
        </a:p>
      </xdr:txBody>
    </xdr:sp>
    <xdr:clientData/>
  </xdr:twoCellAnchor>
  <xdr:twoCellAnchor>
    <xdr:from>
      <xdr:col>14</xdr:col>
      <xdr:colOff>146538</xdr:colOff>
      <xdr:row>5</xdr:row>
      <xdr:rowOff>120161</xdr:rowOff>
    </xdr:from>
    <xdr:to>
      <xdr:col>18</xdr:col>
      <xdr:colOff>87923</xdr:colOff>
      <xdr:row>11</xdr:row>
      <xdr:rowOff>57403</xdr:rowOff>
    </xdr:to>
    <xdr:sp macro="" textlink="">
      <xdr:nvSpPr>
        <xdr:cNvPr id="21" name="Rectangle: Rounded Corners 20">
          <a:extLst>
            <a:ext uri="{FF2B5EF4-FFF2-40B4-BE49-F238E27FC236}">
              <a16:creationId xmlns:a16="http://schemas.microsoft.com/office/drawing/2014/main" id="{627040BE-3B07-49B1-9F55-CAD5A48E8899}"/>
            </a:ext>
          </a:extLst>
        </xdr:cNvPr>
        <xdr:cNvSpPr/>
      </xdr:nvSpPr>
      <xdr:spPr>
        <a:xfrm>
          <a:off x="8763000" y="999392"/>
          <a:ext cx="2403231" cy="992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Acceptance Rate </a:t>
          </a:r>
        </a:p>
        <a:p>
          <a:pPr algn="ctr"/>
          <a:r>
            <a:rPr lang="en-IN" sz="2800" b="1"/>
            <a:t>73%</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ruiter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ruiter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Deshmukh" refreshedDate="46236.729162152777" createdVersion="8" refreshedVersion="8" minRefreshableVersion="3" recordCount="1200" xr:uid="{C00CCBC3-BB17-44A5-BE24-6AC8F83D0A10}">
  <cacheSource type="worksheet">
    <worksheetSource name="Table7"/>
  </cacheSource>
  <cacheFields count="21">
    <cacheField name="Candidate_ID" numFmtId="0">
      <sharedItems/>
    </cacheField>
    <cacheField name="First_Name" numFmtId="0">
      <sharedItems/>
    </cacheField>
    <cacheField name="Last_Name" numFmtId="0">
      <sharedItems/>
    </cacheField>
    <cacheField name="Gender" numFmtId="0">
      <sharedItems/>
    </cacheField>
    <cacheField name="Age" numFmtId="0">
      <sharedItems containsSemiMixedTypes="0" containsString="0" containsNumber="1" containsInteger="1" minValue="21" maxValue="45"/>
    </cacheField>
    <cacheField name="Email" numFmtId="0">
      <sharedItems/>
    </cacheField>
    <cacheField name="Phone" numFmtId="0">
      <sharedItems containsSemiMixedTypes="0" containsString="0" containsNumber="1" containsInteger="1" minValue="9102299670" maxValue="9999799885"/>
    </cacheField>
    <cacheField name="City" numFmtId="0">
      <sharedItems/>
    </cacheField>
    <cacheField name="State" numFmtId="0">
      <sharedItems/>
    </cacheField>
    <cacheField name="Highest_Education" numFmtId="0">
      <sharedItems containsBlank="1"/>
    </cacheField>
    <cacheField name="Experience_Years" numFmtId="0">
      <sharedItems containsSemiMixedTypes="0" containsString="0" containsNumber="1" minValue="0" maxValue="20"/>
    </cacheField>
    <cacheField name="Current_CTC" numFmtId="0">
      <sharedItems containsString="0" containsBlank="1" containsNumber="1" minValue="2.5" maxValue="36.1"/>
    </cacheField>
    <cacheField name="Expected_CTC" numFmtId="0">
      <sharedItems containsSemiMixedTypes="0" containsString="0" containsNumber="1" minValue="2.8" maxValue="43.5"/>
    </cacheField>
    <cacheField name="Notice_Period" numFmtId="0">
      <sharedItems containsBlank="1"/>
    </cacheField>
    <cacheField name="Source" numFmtId="0">
      <sharedItems count="7">
        <s v="LinkedIn"/>
        <s v="Referral"/>
        <s v="Naukri"/>
        <s v="Indeed"/>
        <s v="Walk-In"/>
        <s v="Campus Hiring"/>
        <s v="Company Website"/>
      </sharedItems>
    </cacheField>
    <cacheField name="Applied_Date" numFmtId="14">
      <sharedItems containsSemiMixedTypes="0" containsNonDate="0" containsDate="1" containsString="0" minDate="2025-01-01T00:00:00" maxDate="2026-01-01T00:00:00"/>
    </cacheField>
    <cacheField name="Expereince_Band" numFmtId="0">
      <sharedItems count="1">
        <s v="10+ Years"/>
      </sharedItems>
    </cacheField>
    <cacheField name="Age_Group" numFmtId="0">
      <sharedItems count="4">
        <s v="20-25"/>
        <s v="26-30"/>
        <s v="36+"/>
        <s v="31-35"/>
      </sharedItems>
    </cacheField>
    <cacheField name="Application_Month" numFmtId="0">
      <sharedItems count="12">
        <s v="June"/>
        <s v="February"/>
        <s v="September"/>
        <s v="August"/>
        <s v="December"/>
        <s v="January"/>
        <s v="March"/>
        <s v="July"/>
        <s v="October"/>
        <s v="November"/>
        <s v="May"/>
        <s v="April"/>
      </sharedItems>
    </cacheField>
    <cacheField name="Application_Quarter" numFmtId="0">
      <sharedItems/>
    </cacheField>
    <cacheField name="Application_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2523874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Deshmukh" refreshedDate="46236.736429166667" createdVersion="8" refreshedVersion="8" minRefreshableVersion="3" recordCount="48" xr:uid="{8F3D5E63-D9AE-4F6B-BB80-DF2D5EDCC847}">
  <cacheSource type="worksheet">
    <worksheetSource name="Table3"/>
  </cacheSource>
  <cacheFields count="13">
    <cacheField name="Job_ID" numFmtId="0">
      <sharedItems/>
    </cacheField>
    <cacheField name="Department" numFmtId="0">
      <sharedItems count="10">
        <s v="Sales"/>
        <s v="Data Analytics"/>
        <s v="Customer Support"/>
        <s v="Legal"/>
        <s v="IT"/>
        <s v="Marketing"/>
        <s v="Finance"/>
        <s v="Data Science"/>
        <s v="Operations"/>
        <s v="HR"/>
      </sharedItems>
    </cacheField>
    <cacheField name="Role" numFmtId="0">
      <sharedItems/>
    </cacheField>
    <cacheField name="Hiring_Manager" numFmtId="0">
      <sharedItems/>
    </cacheField>
    <cacheField name="Recruiter_ID" numFmtId="0">
      <sharedItems/>
    </cacheField>
    <cacheField name="Positions_Open" numFmtId="0">
      <sharedItems containsSemiMixedTypes="0" containsString="0" containsNumber="1" containsInteger="1" minValue="1" maxValue="6"/>
    </cacheField>
    <cacheField name="Priority" numFmtId="0">
      <sharedItems/>
    </cacheField>
    <cacheField name="Location" numFmtId="0">
      <sharedItems/>
    </cacheField>
    <cacheField name="Posted_Date" numFmtId="14">
      <sharedItems containsSemiMixedTypes="0" containsNonDate="0" containsDate="1" containsString="0" minDate="2025-01-01T00:00:00" maxDate="2025-10-25T00:00:00"/>
    </cacheField>
    <cacheField name="Status" numFmtId="0">
      <sharedItems/>
    </cacheField>
    <cacheField name="Posted_Month" numFmtId="0">
      <sharedItems/>
    </cacheField>
    <cacheField name="Posted_Quarter" numFmtId="0">
      <sharedItems/>
    </cacheField>
    <cacheField name="Posted_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98412910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Deshmukh" refreshedDate="46236.736754745369" createdVersion="8" refreshedVersion="8" minRefreshableVersion="3" recordCount="15" xr:uid="{E1ECD4C9-EDAC-475A-B8D3-EF4480F1F984}">
  <cacheSource type="worksheet">
    <worksheetSource name="Table8"/>
  </cacheSource>
  <cacheFields count="7">
    <cacheField name="Recruiter_ID" numFmtId="0">
      <sharedItems/>
    </cacheField>
    <cacheField name="Recruiter_Name" numFmtId="0">
      <sharedItems count="15">
        <s v="Mark Meza"/>
        <s v="Melissa Sanchez"/>
        <s v="Joshua Diaz"/>
        <s v="Bruce Parker"/>
        <s v="Jordan Johnson"/>
        <s v="Jacqueline Kelley"/>
        <s v="Anthony Harris"/>
        <s v="Jessica Edwards"/>
        <s v="Chris Curtis"/>
        <s v="Catherine Perkins"/>
        <s v="Jody Evans"/>
        <s v="Ronald Martinez"/>
        <s v="Scott Roberts"/>
        <s v="Jennifer Cherry"/>
        <s v="Benjamin Davis"/>
      </sharedItems>
    </cacheField>
    <cacheField name="Department" numFmtId="0">
      <sharedItems/>
    </cacheField>
    <cacheField name="Experience_Years" numFmtId="0">
      <sharedItems containsSemiMixedTypes="0" containsString="0" containsNumber="1" minValue="1" maxValue="9.1999999999999993"/>
    </cacheField>
    <cacheField name="Hiring_Target" numFmtId="0">
      <sharedItems containsSemiMixedTypes="0" containsString="0" containsNumber="1" containsInteger="1" minValue="20" maxValue="48"/>
    </cacheField>
    <cacheField name="Email" numFmtId="0">
      <sharedItems/>
    </cacheField>
    <cacheField name="Target_Status" numFmtId="0">
      <sharedItems/>
    </cacheField>
  </cacheFields>
  <extLst>
    <ext xmlns:x14="http://schemas.microsoft.com/office/spreadsheetml/2009/9/main" uri="{725AE2AE-9491-48be-B2B4-4EB974FC3084}">
      <x14:pivotCacheDefinition pivotCacheId="202091646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Deshmukh" refreshedDate="46236.737095023149" createdVersion="8" refreshedVersion="8" minRefreshableVersion="3" recordCount="231" xr:uid="{A58E7052-7998-44B1-B91B-5CC546DFEAE0}">
  <cacheSource type="worksheet">
    <worksheetSource name="Table4"/>
  </cacheSource>
  <cacheFields count="11">
    <cacheField name="Offer_ID" numFmtId="0">
      <sharedItems count="231">
        <s v="OFF0002"/>
        <s v="OFF0003"/>
        <s v="OFF0004"/>
        <s v="OFF0005"/>
        <s v="OFF0006"/>
        <s v="OFF0007"/>
        <s v="OFF0008"/>
        <s v="OFF0011"/>
        <s v="OFF0012"/>
        <s v="OFF0013"/>
        <s v="OFF0014"/>
        <s v="OFF0015"/>
        <s v="OFF0016"/>
        <s v="OFF0019"/>
        <s v="OFF0020"/>
        <s v="OFF0022"/>
        <s v="OFF0023"/>
        <s v="OFF0024"/>
        <s v="OFF0025"/>
        <s v="OFF0026"/>
        <s v="OFF0027"/>
        <s v="OFF0030"/>
        <s v="OFF0031"/>
        <s v="OFF0032"/>
        <s v="OFF0033"/>
        <s v="OFF0034"/>
        <s v="OFF0035"/>
        <s v="OFF0037"/>
        <s v="OFF0038"/>
        <s v="OFF0039"/>
        <s v="OFF0040"/>
        <s v="OFF0041"/>
        <s v="OFF0042"/>
        <s v="OFF0043"/>
        <s v="OFF0044"/>
        <s v="OFF0046"/>
        <s v="OFF0047"/>
        <s v="OFF0048"/>
        <s v="OFF0049"/>
        <s v="OFF0050"/>
        <s v="OFF0051"/>
        <s v="OFF0052"/>
        <s v="OFF0053"/>
        <s v="OFF0054"/>
        <s v="OFF0055"/>
        <s v="OFF0056"/>
        <s v="OFF0057"/>
        <s v="OFF0059"/>
        <s v="OFF0060"/>
        <s v="OFF0063"/>
        <s v="OFF0064"/>
        <s v="OFF0065"/>
        <s v="OFF0067"/>
        <s v="OFF0068"/>
        <s v="OFF0069"/>
        <s v="OFF0070"/>
        <s v="OFF0071"/>
        <s v="OFF0072"/>
        <s v="OFF0073"/>
        <s v="OFF0074"/>
        <s v="OFF0075"/>
        <s v="OFF0076"/>
        <s v="OFF0077"/>
        <s v="OFF0078"/>
        <s v="OFF0080"/>
        <s v="OFF0081"/>
        <s v="OFF0082"/>
        <s v="OFF0084"/>
        <s v="OFF0085"/>
        <s v="OFF0087"/>
        <s v="OFF0089"/>
        <s v="OFF0090"/>
        <s v="OFF0091"/>
        <s v="OFF0093"/>
        <s v="OFF0094"/>
        <s v="OFF0095"/>
        <s v="OFF0096"/>
        <s v="OFF0097"/>
        <s v="OFF0098"/>
        <s v="OFF0100"/>
        <s v="OFF0102"/>
        <s v="OFF0103"/>
        <s v="OFF0107"/>
        <s v="OFF0108"/>
        <s v="OFF0111"/>
        <s v="OFF0113"/>
        <s v="OFF0114"/>
        <s v="OFF0115"/>
        <s v="OFF0116"/>
        <s v="OFF0117"/>
        <s v="OFF0118"/>
        <s v="OFF0119"/>
        <s v="OFF0120"/>
        <s v="OFF0121"/>
        <s v="OFF0122"/>
        <s v="OFF0123"/>
        <s v="OFF0124"/>
        <s v="OFF0126"/>
        <s v="OFF0127"/>
        <s v="OFF0131"/>
        <s v="OFF0132"/>
        <s v="OFF0134"/>
        <s v="OFF0135"/>
        <s v="OFF0137"/>
        <s v="OFF0138"/>
        <s v="OFF0139"/>
        <s v="OFF0140"/>
        <s v="OFF0143"/>
        <s v="OFF0144"/>
        <s v="OFF0146"/>
        <s v="OFF0147"/>
        <s v="OFF0148"/>
        <s v="OFF0150"/>
        <s v="OFF0151"/>
        <s v="OFF0152"/>
        <s v="OFF0153"/>
        <s v="OFF0154"/>
        <s v="OFF0155"/>
        <s v="OFF0157"/>
        <s v="OFF0159"/>
        <s v="OFF0160"/>
        <s v="OFF0161"/>
        <s v="OFF0162"/>
        <s v="OFF0164"/>
        <s v="OFF0165"/>
        <s v="OFF0166"/>
        <s v="OFF0167"/>
        <s v="OFF0168"/>
        <s v="OFF0169"/>
        <s v="OFF0171"/>
        <s v="OFF0172"/>
        <s v="OFF0173"/>
        <s v="OFF0175"/>
        <s v="OFF0177"/>
        <s v="OFF0178"/>
        <s v="OFF0179"/>
        <s v="OFF0180"/>
        <s v="OFF0181"/>
        <s v="OFF0182"/>
        <s v="OFF0183"/>
        <s v="OFF0185"/>
        <s v="OFF0186"/>
        <s v="OFF0188"/>
        <s v="OFF0189"/>
        <s v="OFF0190"/>
        <s v="OFF0191"/>
        <s v="OFF0194"/>
        <s v="OFF0195"/>
        <s v="OFF0197"/>
        <s v="OFF0199"/>
        <s v="OFF0200"/>
        <s v="OFF0201"/>
        <s v="OFF0203"/>
        <s v="OFF0204"/>
        <s v="OFF0205"/>
        <s v="OFF0206"/>
        <s v="OFF0207"/>
        <s v="OFF0208"/>
        <s v="OFF0209"/>
        <s v="OFF0210"/>
        <s v="OFF0211"/>
        <s v="OFF0212"/>
        <s v="OFF0213"/>
        <s v="OFF0214"/>
        <s v="OFF0216"/>
        <s v="OFF0218"/>
        <s v="OFF0219"/>
        <s v="OFF0220"/>
        <s v="OFF0221"/>
        <s v="OFF0222"/>
        <s v="OFF0225"/>
        <s v="OFF0226"/>
        <s v="OFF0227"/>
        <s v="OFF0228"/>
        <s v="OFF0230"/>
        <s v="OFF0232"/>
        <s v="OFF0233"/>
        <s v="OFF0234"/>
        <s v="OFF0235"/>
        <s v="OFF0237"/>
        <s v="OFF0238"/>
        <s v="OFF0239"/>
        <s v="OFF0240"/>
        <s v="OFF0241"/>
        <s v="OFF0242"/>
        <s v="OFF0243"/>
        <s v="OFF0244"/>
        <s v="OFF0245"/>
        <s v="OFF0246"/>
        <s v="OFF0247"/>
        <s v="OFF0250"/>
        <s v="OFF0251"/>
        <s v="OFF0252"/>
        <s v="OFF0253"/>
        <s v="OFF0254"/>
        <s v="OFF0255"/>
        <s v="OFF0257"/>
        <s v="OFF0258"/>
        <s v="OFF0260"/>
        <s v="OFF0261"/>
        <s v="OFF0262"/>
        <s v="OFF0263"/>
        <s v="OFF0265"/>
        <s v="OFF0266"/>
        <s v="OFF0267"/>
        <s v="OFF0269"/>
        <s v="OFF0270"/>
        <s v="OFF0272"/>
        <s v="OFF0273"/>
        <s v="OFF0274"/>
        <s v="OFF0275"/>
        <s v="OFF0276"/>
        <s v="OFF0277"/>
        <s v="OFF0279"/>
        <s v="OFF0280"/>
        <s v="OFF0281"/>
        <s v="OFF0282"/>
        <s v="OFF0283"/>
        <s v="OFF0285"/>
        <s v="OFF0286"/>
        <s v="OFF0287"/>
        <s v="OFF0288"/>
        <s v="OFF0290"/>
        <s v="OFF0292"/>
        <s v="OFF0296"/>
        <s v="OFF0297"/>
        <s v="OFF0299"/>
        <s v="OFF0300"/>
        <s v="OFF0301"/>
        <s v="OFF0302"/>
        <s v="OFF0304"/>
      </sharedItems>
    </cacheField>
    <cacheField name="Candidate_ID" numFmtId="0">
      <sharedItems/>
    </cacheField>
    <cacheField name="Job_ID" numFmtId="0">
      <sharedItems/>
    </cacheField>
    <cacheField name="Offer_Date" numFmtId="14">
      <sharedItems containsSemiMixedTypes="0" containsNonDate="0" containsDate="1" containsString="0" minDate="2025-01-11T00:00:00" maxDate="2025-12-06T00:00:00"/>
    </cacheField>
    <cacheField name="Offered_CTC" numFmtId="0">
      <sharedItems containsSemiMixedTypes="0" containsString="0" containsNumber="1" minValue="2.9" maxValue="43.9"/>
    </cacheField>
    <cacheField name="Candidate_Response" numFmtId="0">
      <sharedItems count="1">
        <s v="Accepted"/>
      </sharedItems>
    </cacheField>
    <cacheField name="Joining_Date" numFmtId="14">
      <sharedItems containsSemiMixedTypes="0" containsNonDate="0" containsDate="1" containsString="0" minDate="2025-01-31T00:00:00" maxDate="2026-01-01T00:00:00"/>
    </cacheField>
    <cacheField name="Offer_Status" numFmtId="0">
      <sharedItems/>
    </cacheField>
    <cacheField name="Offer_Month" numFmtId="0">
      <sharedItems/>
    </cacheField>
    <cacheField name="Offer_Quarter" numFmtId="0">
      <sharedItems/>
    </cacheField>
    <cacheField name="Offer_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Deshmukh" refreshedDate="46236.737612847224" createdVersion="8" refreshedVersion="8" minRefreshableVersion="3" recordCount="230" xr:uid="{591A8C85-DCEC-4121-A992-A56C22F44DF6}">
  <cacheSource type="worksheet">
    <worksheetSource name="Table1"/>
  </cacheSource>
  <cacheFields count="11">
    <cacheField name="Employee_ID" numFmtId="0">
      <sharedItems/>
    </cacheField>
    <cacheField name="Candidate_ID" numFmtId="0">
      <sharedItems/>
    </cacheField>
    <cacheField name="Job_ID" numFmtId="0">
      <sharedItems/>
    </cacheField>
    <cacheField name="DOJ" numFmtId="14">
      <sharedItems containsSemiMixedTypes="0" containsNonDate="0" containsDate="1" containsString="0" minDate="2025-01-31T00:00:00" maxDate="2026-01-01T00:00:00"/>
    </cacheField>
    <cacheField name="Department" numFmtId="0">
      <sharedItems/>
    </cacheField>
    <cacheField name="Designation" numFmtId="0">
      <sharedItems/>
    </cacheField>
    <cacheField name="Salary" numFmtId="0">
      <sharedItems containsSemiMixedTypes="0" containsString="0" containsNumber="1" minValue="3" maxValue="43.9"/>
    </cacheField>
    <cacheField name="Employment_Status" numFmtId="0">
      <sharedItems containsBlank="1"/>
    </cacheField>
    <cacheField name="Joining_Month" numFmtId="0">
      <sharedItems count="12">
        <s v="November"/>
        <s v="May"/>
        <s v="August"/>
        <s v="October"/>
        <s v="April"/>
        <s v="July"/>
        <s v="March"/>
        <s v="December"/>
        <s v="June"/>
        <s v="September"/>
        <s v="February"/>
        <s v="January"/>
      </sharedItems>
    </cacheField>
    <cacheField name="Joining_Quarter" numFmtId="0">
      <sharedItems/>
    </cacheField>
    <cacheField name="Joining_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CAN0001"/>
    <s v="Albert"/>
    <s v="King"/>
    <s v="Female"/>
    <n v="21"/>
    <s v="albert.king71@gmail.com"/>
    <n v="9447391878"/>
    <s v="Hyderabad"/>
    <s v="Telangana"/>
    <s v="B.Tech"/>
    <n v="1.3"/>
    <n v="14.6"/>
    <n v="20.6"/>
    <s v="15 Days"/>
    <x v="0"/>
    <d v="2025-06-21T00:00:00"/>
    <x v="0"/>
    <x v="0"/>
    <x v="0"/>
    <s v="Q2"/>
    <n v="2025"/>
  </r>
  <r>
    <s v="CAN0002"/>
    <s v="William"/>
    <s v="Mayer"/>
    <s v="Male"/>
    <n v="29"/>
    <s v="william.mayer61@gmail.com"/>
    <n v="9399497598"/>
    <s v="Kolkata"/>
    <s v="West Bengal"/>
    <s v="M.Tech"/>
    <n v="3.7"/>
    <n v="8.5"/>
    <n v="10.199999999999999"/>
    <s v="60 Days"/>
    <x v="0"/>
    <d v="2025-02-15T00:00:00"/>
    <x v="0"/>
    <x v="1"/>
    <x v="1"/>
    <s v="Q1"/>
    <n v="2025"/>
  </r>
  <r>
    <s v="CAN0003"/>
    <s v="Nathan"/>
    <s v="Beard"/>
    <s v="Male"/>
    <n v="21"/>
    <s v="nathan.beard76@gmail.com"/>
    <n v="9144739552"/>
    <s v="Noida"/>
    <s v="Uttar Pradesh"/>
    <s v="B.Tech"/>
    <n v="3.9"/>
    <n v="14.8"/>
    <n v="18.100000000000001"/>
    <s v="15 Days"/>
    <x v="1"/>
    <d v="2025-09-28T00:00:00"/>
    <x v="0"/>
    <x v="0"/>
    <x v="2"/>
    <s v="Q3"/>
    <n v="2025"/>
  </r>
  <r>
    <s v="CAN0004"/>
    <s v="Andrea"/>
    <s v="Roy"/>
    <s v="Female"/>
    <n v="27"/>
    <s v="andrea.roy20@gmail.com"/>
    <n v="9806032141"/>
    <s v="Indore"/>
    <s v="Madhya Pradesh"/>
    <s v="MBA"/>
    <n v="4"/>
    <n v="10.4"/>
    <n v="14.7"/>
    <s v="30 Days"/>
    <x v="2"/>
    <d v="2025-09-11T00:00:00"/>
    <x v="0"/>
    <x v="1"/>
    <x v="2"/>
    <s v="Q3"/>
    <n v="2025"/>
  </r>
  <r>
    <s v="CAN0005"/>
    <s v="Jose"/>
    <s v="Daniels"/>
    <s v="Male"/>
    <n v="38"/>
    <s v="jose.daniels93@gmail.com"/>
    <n v="9764331765"/>
    <s v="Pune"/>
    <s v="Maharashtra"/>
    <s v="B.Tech"/>
    <n v="10.8"/>
    <n v="19.7"/>
    <n v="27.4"/>
    <s v="30 Days"/>
    <x v="1"/>
    <d v="2025-08-08T00:00:00"/>
    <x v="0"/>
    <x v="2"/>
    <x v="3"/>
    <s v="Q3"/>
    <n v="2025"/>
  </r>
  <r>
    <s v="CAN0006"/>
    <s v="William"/>
    <s v="Brown"/>
    <s v="Female"/>
    <n v="23"/>
    <s v="william.brown65@gmail.com"/>
    <n v="9249580406"/>
    <s v="Indore"/>
    <s v="Madhya Pradesh"/>
    <s v="M.Tech"/>
    <n v="2.9"/>
    <n v="15.3"/>
    <n v="19.7"/>
    <s v="60 Days"/>
    <x v="3"/>
    <d v="2025-12-18T00:00:00"/>
    <x v="0"/>
    <x v="0"/>
    <x v="4"/>
    <s v="Q4"/>
    <n v="2025"/>
  </r>
  <r>
    <s v="CAN0007"/>
    <s v="Rebecca"/>
    <s v="Reed"/>
    <s v="Female"/>
    <n v="25"/>
    <s v="rebecca.reed92@gmail.com"/>
    <n v="9833253315"/>
    <s v="Jaipur"/>
    <s v="Rajasthan"/>
    <s v="M.Tech"/>
    <n v="3.8"/>
    <n v="10.7"/>
    <n v="12.3"/>
    <s v="Immediate"/>
    <x v="1"/>
    <d v="2025-02-23T00:00:00"/>
    <x v="0"/>
    <x v="0"/>
    <x v="1"/>
    <s v="Q1"/>
    <n v="2025"/>
  </r>
  <r>
    <s v="CAN0008"/>
    <s v="Robert"/>
    <s v="Bailey"/>
    <s v="Male"/>
    <n v="35"/>
    <s v="robert.bailey58@gmail.com"/>
    <n v="9699714064"/>
    <s v="Bengaluru"/>
    <s v="Karnataka"/>
    <s v="M.Tech"/>
    <n v="0.1"/>
    <n v="11.1"/>
    <n v="14.7"/>
    <s v="30 Days"/>
    <x v="2"/>
    <d v="2025-01-02T00:00:00"/>
    <x v="0"/>
    <x v="3"/>
    <x v="5"/>
    <s v="Q1"/>
    <n v="2025"/>
  </r>
  <r>
    <s v="CAN0009"/>
    <s v="Stacey"/>
    <s v="Gardner"/>
    <s v="Male"/>
    <n v="24"/>
    <s v="stacey.gardner9@gmail.com"/>
    <n v="9903443818"/>
    <s v="Indore"/>
    <s v="Madhya Pradesh"/>
    <s v="BBA"/>
    <n v="2.4"/>
    <n v="12.7"/>
    <n v="16.5"/>
    <s v="30 Days"/>
    <x v="0"/>
    <d v="2025-08-31T00:00:00"/>
    <x v="0"/>
    <x v="0"/>
    <x v="3"/>
    <s v="Q3"/>
    <n v="2025"/>
  </r>
  <r>
    <s v="CAN0010"/>
    <s v="Amy"/>
    <s v="Holmes"/>
    <s v="Male"/>
    <n v="26"/>
    <s v="amy.holmes10@gmail.com"/>
    <n v="9385140975"/>
    <s v="Hyderabad"/>
    <s v="Telangana"/>
    <s v="MBA"/>
    <n v="10.6"/>
    <n v="18.600000000000001"/>
    <n v="22.1"/>
    <s v="30 Days"/>
    <x v="4"/>
    <d v="2025-09-10T00:00:00"/>
    <x v="0"/>
    <x v="1"/>
    <x v="2"/>
    <s v="Q3"/>
    <n v="2025"/>
  </r>
  <r>
    <s v="CAN0011"/>
    <s v="Karl"/>
    <s v="Crawford"/>
    <s v="Female"/>
    <n v="21"/>
    <s v="karl.crawford10@gmail.com"/>
    <n v="9614333244"/>
    <s v="Indore"/>
    <s v="Madhya Pradesh"/>
    <s v="MBA"/>
    <n v="7.1"/>
    <n v="11.2"/>
    <n v="15.4"/>
    <s v="30 Days"/>
    <x v="1"/>
    <d v="2025-02-09T00:00:00"/>
    <x v="0"/>
    <x v="0"/>
    <x v="1"/>
    <s v="Q1"/>
    <n v="2025"/>
  </r>
  <r>
    <s v="CAN0012"/>
    <s v="Katherine"/>
    <s v="Gibbs"/>
    <s v="Female"/>
    <n v="28"/>
    <s v="katherine.gibbs43@gmail.com"/>
    <n v="9372666299"/>
    <s v="Pune"/>
    <s v="Maharashtra"/>
    <s v="MBA"/>
    <n v="5.6"/>
    <n v="8.1999999999999993"/>
    <n v="10"/>
    <s v="30 Days"/>
    <x v="0"/>
    <d v="2025-02-01T00:00:00"/>
    <x v="0"/>
    <x v="1"/>
    <x v="1"/>
    <s v="Q1"/>
    <n v="2025"/>
  </r>
  <r>
    <s v="CAN0013"/>
    <s v="Craig"/>
    <s v="Turner"/>
    <s v="Male"/>
    <n v="28"/>
    <s v="craig.turner87@gmail.com"/>
    <n v="9206857784"/>
    <s v="Jaipur"/>
    <s v="Rajasthan"/>
    <s v="B.Tech"/>
    <n v="7.3"/>
    <n v="11.7"/>
    <n v="15"/>
    <s v="30 Days"/>
    <x v="2"/>
    <d v="2025-08-27T00:00:00"/>
    <x v="0"/>
    <x v="1"/>
    <x v="3"/>
    <s v="Q3"/>
    <n v="2025"/>
  </r>
  <r>
    <s v="CAN0014"/>
    <s v="Stephanie"/>
    <s v="Paul"/>
    <s v="Male"/>
    <n v="24"/>
    <s v="stephanie.paul16@gmail.com"/>
    <n v="9689566415"/>
    <s v="Hyderabad"/>
    <s v="Telangana"/>
    <s v="B.Sc"/>
    <n v="1.6"/>
    <n v="3.8"/>
    <n v="4.4000000000000004"/>
    <s v="30 Days"/>
    <x v="2"/>
    <d v="2025-02-09T00:00:00"/>
    <x v="0"/>
    <x v="0"/>
    <x v="1"/>
    <s v="Q1"/>
    <n v="2025"/>
  </r>
  <r>
    <s v="CAN0015"/>
    <s v="Betty"/>
    <s v="Smith"/>
    <s v="Female"/>
    <n v="25"/>
    <s v="betty.smith58@gmail.com"/>
    <n v="9388468517"/>
    <s v="Noida"/>
    <s v="Uttar Pradesh"/>
    <s v="B.Tech"/>
    <n v="0.7"/>
    <n v="10.199999999999999"/>
    <n v="14.6"/>
    <s v="15 Days"/>
    <x v="1"/>
    <d v="2025-03-14T00:00:00"/>
    <x v="0"/>
    <x v="0"/>
    <x v="6"/>
    <s v="Q1"/>
    <n v="2025"/>
  </r>
  <r>
    <s v="CAN0016"/>
    <s v="Matthew"/>
    <s v="Roth"/>
    <s v="Female"/>
    <n v="27"/>
    <s v="matthew.roth34@gmail.com"/>
    <n v="9486067715"/>
    <s v="Pune"/>
    <s v="Maharashtra"/>
    <s v="M.Tech"/>
    <n v="5.4"/>
    <m/>
    <n v="15.9"/>
    <s v="15 Days"/>
    <x v="0"/>
    <d v="2025-07-06T00:00:00"/>
    <x v="0"/>
    <x v="1"/>
    <x v="7"/>
    <s v="Q3"/>
    <n v="2025"/>
  </r>
  <r>
    <s v="CAN0017"/>
    <s v="Kevin"/>
    <s v="Lopez"/>
    <s v="Male"/>
    <n v="41"/>
    <s v="kevin.lopez63@gmail.com"/>
    <n v="9523140736"/>
    <s v="Bengaluru"/>
    <s v="Karnataka"/>
    <s v="B.Tech"/>
    <n v="2.2000000000000002"/>
    <n v="10.6"/>
    <n v="15.2"/>
    <s v="30 Days"/>
    <x v="2"/>
    <d v="2025-03-14T00:00:00"/>
    <x v="0"/>
    <x v="2"/>
    <x v="6"/>
    <s v="Q1"/>
    <n v="2025"/>
  </r>
  <r>
    <s v="CAN0018"/>
    <s v="Mindy"/>
    <s v="Holland"/>
    <s v="Male"/>
    <n v="28"/>
    <s v="mindy.holland49@gmail.com"/>
    <n v="9439386217"/>
    <s v="Mumbai"/>
    <s v="Maharashtra"/>
    <s v="M.Sc"/>
    <n v="4.7"/>
    <n v="7.4"/>
    <n v="8.3000000000000007"/>
    <s v="60 Days"/>
    <x v="3"/>
    <d v="2025-03-03T00:00:00"/>
    <x v="0"/>
    <x v="1"/>
    <x v="6"/>
    <s v="Q1"/>
    <n v="2025"/>
  </r>
  <r>
    <s v="CAN0019"/>
    <s v="Brittany"/>
    <s v="Cooper"/>
    <s v="Female"/>
    <n v="29"/>
    <s v="brittany.cooper26@gmail.com"/>
    <n v="9865603224"/>
    <s v="Bengaluru"/>
    <s v="Karnataka"/>
    <s v="MCA"/>
    <n v="1.7"/>
    <n v="6.8"/>
    <n v="8.3000000000000007"/>
    <s v="30 Days"/>
    <x v="2"/>
    <d v="2025-10-29T00:00:00"/>
    <x v="0"/>
    <x v="1"/>
    <x v="8"/>
    <s v="Q4"/>
    <n v="2025"/>
  </r>
  <r>
    <s v="CAN0020"/>
    <s v="Mark"/>
    <s v="Savage"/>
    <s v="Male"/>
    <n v="35"/>
    <s v="mark.savage55@gmail.com"/>
    <n v="9911379878"/>
    <s v="Chennai"/>
    <s v="Tamil Nadu"/>
    <s v="M.Sc"/>
    <n v="3.1"/>
    <n v="11"/>
    <n v="13.3"/>
    <s v="Immediate"/>
    <x v="5"/>
    <d v="2025-11-22T00:00:00"/>
    <x v="0"/>
    <x v="3"/>
    <x v="9"/>
    <s v="Q4"/>
    <n v="2025"/>
  </r>
  <r>
    <s v="CAN0021"/>
    <s v="Richard"/>
    <s v="Arias"/>
    <s v="Female"/>
    <n v="26"/>
    <s v="richard.arias32@gmail.com"/>
    <n v="9385323284"/>
    <s v="Noida"/>
    <s v="Uttar Pradesh"/>
    <m/>
    <n v="3"/>
    <n v="13.6"/>
    <n v="16.100000000000001"/>
    <s v="30 Days"/>
    <x v="4"/>
    <d v="2025-01-15T00:00:00"/>
    <x v="0"/>
    <x v="1"/>
    <x v="5"/>
    <s v="Q1"/>
    <n v="2025"/>
  </r>
  <r>
    <s v="CAN0022"/>
    <s v="Ryan"/>
    <s v="Thomas"/>
    <s v="Female"/>
    <n v="27"/>
    <s v="ryan.thomas81@gmail.com"/>
    <n v="9529541462"/>
    <s v="Indore"/>
    <s v="Madhya Pradesh"/>
    <s v="M.Sc"/>
    <n v="2.8"/>
    <n v="8.3000000000000007"/>
    <n v="10.8"/>
    <s v="15 Days"/>
    <x v="0"/>
    <d v="2025-07-30T00:00:00"/>
    <x v="0"/>
    <x v="1"/>
    <x v="7"/>
    <s v="Q3"/>
    <n v="2025"/>
  </r>
  <r>
    <s v="CAN0023"/>
    <s v="William"/>
    <s v="Kramer"/>
    <s v="Male"/>
    <n v="28"/>
    <s v="william.kramer97@gmail.com"/>
    <n v="9248791121"/>
    <s v="Pune"/>
    <s v="Maharashtra"/>
    <s v="M.Sc"/>
    <n v="4"/>
    <n v="6"/>
    <n v="7.7"/>
    <s v="60 Days"/>
    <x v="1"/>
    <d v="2025-03-29T00:00:00"/>
    <x v="0"/>
    <x v="1"/>
    <x v="6"/>
    <s v="Q1"/>
    <n v="2025"/>
  </r>
  <r>
    <s v="CAN0024"/>
    <s v="Mr."/>
    <s v="Thomas"/>
    <s v="Male"/>
    <n v="28"/>
    <s v="mr..thomas44@gmail.com"/>
    <n v="9402522508"/>
    <s v="Chennai"/>
    <s v="Tamil Nadu"/>
    <s v="B.Sc"/>
    <n v="2.8"/>
    <n v="4.2"/>
    <n v="5.7"/>
    <s v="30 Days"/>
    <x v="2"/>
    <d v="2025-05-03T00:00:00"/>
    <x v="0"/>
    <x v="1"/>
    <x v="10"/>
    <s v="Q2"/>
    <n v="2025"/>
  </r>
  <r>
    <s v="CAN0025"/>
    <s v="Patricia"/>
    <s v="Brennan"/>
    <s v="Male"/>
    <n v="45"/>
    <s v="patricia.brennan72@gmail.com"/>
    <n v="9818200127"/>
    <s v="Noida"/>
    <s v="Uttar Pradesh"/>
    <s v="B.Tech"/>
    <n v="1.1000000000000001"/>
    <n v="8.3000000000000007"/>
    <n v="11.1"/>
    <s v="Immediate"/>
    <x v="1"/>
    <d v="2025-09-12T00:00:00"/>
    <x v="0"/>
    <x v="2"/>
    <x v="2"/>
    <s v="Q3"/>
    <n v="2025"/>
  </r>
  <r>
    <s v="CAN0026"/>
    <s v="Charles"/>
    <s v="Fischer"/>
    <s v="Female"/>
    <n v="29"/>
    <s v="charles.fischer58@gmail.com"/>
    <n v="9457378061"/>
    <s v="Chandigarh"/>
    <s v="Chandigarh"/>
    <s v="BBA"/>
    <n v="3.4"/>
    <n v="12.1"/>
    <n v="14.1"/>
    <s v="15 Days"/>
    <x v="0"/>
    <d v="2025-06-25T00:00:00"/>
    <x v="0"/>
    <x v="1"/>
    <x v="0"/>
    <s v="Q2"/>
    <n v="2025"/>
  </r>
  <r>
    <s v="CAN0027"/>
    <s v="Lauren"/>
    <s v="Bailey"/>
    <s v="Female"/>
    <n v="30"/>
    <s v="lauren.bailey41@gmail.com"/>
    <n v="9356760208"/>
    <s v="Gurugram"/>
    <s v="Haryana"/>
    <s v="B.Sc"/>
    <n v="11.5"/>
    <n v="15.7"/>
    <n v="20.5"/>
    <s v="60 Days"/>
    <x v="3"/>
    <d v="2025-07-31T00:00:00"/>
    <x v="0"/>
    <x v="1"/>
    <x v="7"/>
    <s v="Q3"/>
    <n v="2025"/>
  </r>
  <r>
    <s v="CAN0028"/>
    <s v="Jamie"/>
    <s v="Jones"/>
    <s v="Male"/>
    <n v="30"/>
    <s v="jamie.jones96@gmail.com"/>
    <n v="9662821260"/>
    <s v="Hyderabad"/>
    <s v="Telangana"/>
    <s v="B.Com"/>
    <n v="1.7"/>
    <n v="7.5"/>
    <n v="9.1999999999999993"/>
    <s v="Immediate"/>
    <x v="0"/>
    <d v="2025-07-04T00:00:00"/>
    <x v="0"/>
    <x v="1"/>
    <x v="7"/>
    <s v="Q3"/>
    <n v="2025"/>
  </r>
  <r>
    <s v="CAN0029"/>
    <s v="Mark"/>
    <s v="Fletcher"/>
    <s v="Male"/>
    <n v="31"/>
    <s v="mark.fletcher65@gmail.com"/>
    <n v="9668251762"/>
    <s v="Pune"/>
    <s v="Maharashtra"/>
    <m/>
    <n v="4.3"/>
    <n v="4.0999999999999996"/>
    <n v="5.7"/>
    <s v="Immediate"/>
    <x v="6"/>
    <d v="2025-07-16T00:00:00"/>
    <x v="0"/>
    <x v="3"/>
    <x v="7"/>
    <s v="Q3"/>
    <n v="2025"/>
  </r>
  <r>
    <s v="CAN0030"/>
    <s v="Robert"/>
    <s v="MD"/>
    <s v="Male"/>
    <n v="24"/>
    <s v="robert.md58@gmail.com"/>
    <n v="9563681107"/>
    <s v="Chennai"/>
    <s v="Tamil Nadu"/>
    <s v="M.Sc"/>
    <n v="2.6"/>
    <n v="10.4"/>
    <n v="14.6"/>
    <s v="Immediate"/>
    <x v="0"/>
    <d v="2025-12-30T00:00:00"/>
    <x v="0"/>
    <x v="0"/>
    <x v="4"/>
    <s v="Q4"/>
    <n v="2025"/>
  </r>
  <r>
    <s v="CAN0031"/>
    <s v="Isaac"/>
    <s v="Mcdonald"/>
    <s v="Female"/>
    <n v="35"/>
    <s v="isaac.mcdonald61@gmail.com"/>
    <n v="9730475957"/>
    <s v="Delhi"/>
    <s v="Delhi"/>
    <s v="B.Tech"/>
    <n v="7"/>
    <n v="7.9"/>
    <n v="9.9"/>
    <s v="60 Days"/>
    <x v="3"/>
    <d v="2025-08-28T00:00:00"/>
    <x v="0"/>
    <x v="3"/>
    <x v="3"/>
    <s v="Q3"/>
    <n v="2025"/>
  </r>
  <r>
    <s v="CAN0032"/>
    <s v="Matthew"/>
    <s v="Wallace"/>
    <s v="Female"/>
    <n v="30"/>
    <s v="matthew.wallace32@gmail.com"/>
    <n v="9940854936"/>
    <s v="Mumbai"/>
    <s v="Maharashtra"/>
    <s v="B.Sc"/>
    <n v="0.4"/>
    <n v="2.5"/>
    <n v="2.9"/>
    <s v="90 Days"/>
    <x v="0"/>
    <d v="2025-12-25T00:00:00"/>
    <x v="0"/>
    <x v="1"/>
    <x v="4"/>
    <s v="Q4"/>
    <n v="2025"/>
  </r>
  <r>
    <s v="CAN0033"/>
    <s v="Nicole"/>
    <s v="Mason"/>
    <s v="Female"/>
    <n v="30"/>
    <s v="nicole.mason98@gmail.com"/>
    <n v="9591049025"/>
    <s v="Mumbai"/>
    <s v="Maharashtra"/>
    <s v="M.Tech"/>
    <n v="0"/>
    <m/>
    <n v="6.9"/>
    <s v="60 Days"/>
    <x v="0"/>
    <d v="2025-01-20T00:00:00"/>
    <x v="0"/>
    <x v="1"/>
    <x v="5"/>
    <s v="Q1"/>
    <n v="2025"/>
  </r>
  <r>
    <s v="CAN0034"/>
    <s v="Cody"/>
    <s v="Smith"/>
    <s v="Female"/>
    <n v="31"/>
    <s v="cody.smith39@gmail.com"/>
    <n v="9237403356"/>
    <s v="Pune"/>
    <s v="Maharashtra"/>
    <s v="B.Sc"/>
    <n v="0.3"/>
    <n v="2.7"/>
    <n v="3.6"/>
    <s v="30 Days"/>
    <x v="0"/>
    <d v="2025-02-06T00:00:00"/>
    <x v="0"/>
    <x v="3"/>
    <x v="1"/>
    <s v="Q1"/>
    <n v="2025"/>
  </r>
  <r>
    <s v="CAN0035"/>
    <s v="Chad"/>
    <s v="Vargas"/>
    <s v="Male"/>
    <n v="24"/>
    <s v="chad.vargas75@gmail.com"/>
    <n v="9305838202"/>
    <s v="Noida"/>
    <s v="Uttar Pradesh"/>
    <s v="B.Sc"/>
    <n v="0.4"/>
    <n v="4.4000000000000004"/>
    <n v="6.1"/>
    <s v="Immediate"/>
    <x v="1"/>
    <d v="2025-08-24T00:00:00"/>
    <x v="0"/>
    <x v="0"/>
    <x v="3"/>
    <s v="Q3"/>
    <n v="2025"/>
  </r>
  <r>
    <s v="CAN0036"/>
    <s v="Kerry"/>
    <s v="Cook"/>
    <s v="Male"/>
    <n v="35"/>
    <s v="kerry.cook41@gmail.com"/>
    <n v="9792107818"/>
    <s v="Kochi"/>
    <s v="Kerala"/>
    <s v="MCA"/>
    <n v="0.7"/>
    <n v="9.9"/>
    <n v="12.6"/>
    <s v="15 Days"/>
    <x v="0"/>
    <d v="2025-07-30T00:00:00"/>
    <x v="0"/>
    <x v="3"/>
    <x v="7"/>
    <s v="Q3"/>
    <n v="2025"/>
  </r>
  <r>
    <s v="CAN0037"/>
    <s v="Eric"/>
    <s v="Blair"/>
    <s v="Female"/>
    <n v="21"/>
    <s v="eric.blair40@gmail.com"/>
    <n v="9159387283"/>
    <s v="Bengaluru"/>
    <s v="Karnataka"/>
    <s v="B.Tech"/>
    <n v="2.1"/>
    <n v="5.4"/>
    <n v="7.6"/>
    <s v="30 Days"/>
    <x v="0"/>
    <d v="2025-04-27T00:00:00"/>
    <x v="0"/>
    <x v="0"/>
    <x v="11"/>
    <s v="Q2"/>
    <n v="2025"/>
  </r>
  <r>
    <s v="CAN0038"/>
    <s v="Darlene"/>
    <s v="Roberson"/>
    <s v="Female"/>
    <n v="32"/>
    <s v="darlene.roberson48@gmail.com"/>
    <n v="9343509688"/>
    <s v="Delhi"/>
    <s v="Delhi"/>
    <s v="B.Tech"/>
    <n v="1.4"/>
    <n v="5.3"/>
    <n v="6.5"/>
    <s v="30 Days"/>
    <x v="5"/>
    <d v="2025-04-12T00:00:00"/>
    <x v="0"/>
    <x v="3"/>
    <x v="11"/>
    <s v="Q2"/>
    <n v="2025"/>
  </r>
  <r>
    <s v="CAN0039"/>
    <s v="Adam"/>
    <s v="Townsend"/>
    <s v="Male"/>
    <n v="32"/>
    <s v="adam.townsend38@gmail.com"/>
    <n v="9893633959"/>
    <s v="Kochi"/>
    <s v="Kerala"/>
    <s v="BBA"/>
    <n v="4.2"/>
    <n v="6.6"/>
    <n v="7.8"/>
    <s v="90 Days"/>
    <x v="2"/>
    <d v="2025-04-10T00:00:00"/>
    <x v="0"/>
    <x v="3"/>
    <x v="11"/>
    <s v="Q2"/>
    <n v="2025"/>
  </r>
  <r>
    <s v="CAN0040"/>
    <s v="Claire"/>
    <s v="Beard"/>
    <s v="Male"/>
    <n v="29"/>
    <s v="claire.beard29@gmail.com"/>
    <n v="9384565157"/>
    <s v="Chandigarh"/>
    <s v="Chandigarh"/>
    <s v="MCA"/>
    <n v="3.7"/>
    <n v="16.2"/>
    <n v="18.7"/>
    <s v="30 Days"/>
    <x v="1"/>
    <d v="2025-04-25T00:00:00"/>
    <x v="0"/>
    <x v="1"/>
    <x v="11"/>
    <s v="Q2"/>
    <n v="2025"/>
  </r>
  <r>
    <s v="CAN0041"/>
    <s v="Kevin"/>
    <s v="Cox"/>
    <s v="Male"/>
    <n v="29"/>
    <s v="kevin.cox86@gmail.com"/>
    <n v="9160577374"/>
    <s v="Ahmedabad"/>
    <s v="Gujarat"/>
    <s v="B.Tech"/>
    <n v="3"/>
    <n v="7.8"/>
    <n v="9.6999999999999993"/>
    <s v="15 Days"/>
    <x v="4"/>
    <d v="2025-03-14T00:00:00"/>
    <x v="0"/>
    <x v="1"/>
    <x v="6"/>
    <s v="Q1"/>
    <n v="2025"/>
  </r>
  <r>
    <s v="CAN0042"/>
    <s v="Laura"/>
    <s v="Graves"/>
    <s v="Male"/>
    <n v="36"/>
    <s v="laura.graves91@gmail.com"/>
    <n v="9164569742"/>
    <s v="Pune"/>
    <s v="Maharashtra"/>
    <s v="B.Com"/>
    <n v="11.1"/>
    <n v="23.2"/>
    <n v="32.9"/>
    <s v="60 Days"/>
    <x v="3"/>
    <d v="2025-02-10T00:00:00"/>
    <x v="0"/>
    <x v="2"/>
    <x v="1"/>
    <s v="Q1"/>
    <n v="2025"/>
  </r>
  <r>
    <s v="CAN0043"/>
    <s v="James"/>
    <s v="Brown"/>
    <s v="Female"/>
    <n v="28"/>
    <s v="james.brown43@gmail.com"/>
    <n v="9304744878"/>
    <s v="Pune"/>
    <s v="Maharashtra"/>
    <s v="M.Tech"/>
    <n v="0.5"/>
    <n v="5"/>
    <n v="6.5"/>
    <s v="30 Days"/>
    <x v="2"/>
    <d v="2025-07-13T00:00:00"/>
    <x v="0"/>
    <x v="1"/>
    <x v="7"/>
    <s v="Q3"/>
    <n v="2025"/>
  </r>
  <r>
    <s v="CAN0044"/>
    <s v="Kimberly"/>
    <s v="Wright"/>
    <s v="Female"/>
    <n v="32"/>
    <s v="kimberly.wright43@gmail.com"/>
    <n v="9575061127"/>
    <s v="Pune"/>
    <s v="Maharashtra"/>
    <s v="B.Tech"/>
    <n v="9.9"/>
    <n v="23.7"/>
    <n v="27.2"/>
    <s v="Immediate"/>
    <x v="2"/>
    <d v="2025-03-05T00:00:00"/>
    <x v="0"/>
    <x v="3"/>
    <x v="6"/>
    <s v="Q1"/>
    <n v="2025"/>
  </r>
  <r>
    <s v="CAN0045"/>
    <s v="Sharon"/>
    <s v="Williams"/>
    <s v="Female"/>
    <n v="40"/>
    <s v="sharon.williams98@gmail.com"/>
    <n v="9322696669"/>
    <s v="Noida"/>
    <s v="Uttar Pradesh"/>
    <s v="B.Com"/>
    <n v="2.5"/>
    <n v="7.8"/>
    <n v="10.9"/>
    <s v="60 Days"/>
    <x v="2"/>
    <d v="2025-01-26T00:00:00"/>
    <x v="0"/>
    <x v="2"/>
    <x v="5"/>
    <s v="Q1"/>
    <n v="2025"/>
  </r>
  <r>
    <s v="CAN0046"/>
    <s v="Jessica"/>
    <s v="Andrade"/>
    <s v="Female"/>
    <n v="38"/>
    <s v="jessica.andrade26@gmail.com"/>
    <n v="9500199030"/>
    <s v="Kolkata"/>
    <s v="West Bengal"/>
    <s v="MCA"/>
    <n v="7.3"/>
    <n v="11.6"/>
    <n v="13.7"/>
    <s v="30 Days"/>
    <x v="6"/>
    <d v="2025-01-16T00:00:00"/>
    <x v="0"/>
    <x v="2"/>
    <x v="5"/>
    <s v="Q1"/>
    <n v="2025"/>
  </r>
  <r>
    <s v="CAN0047"/>
    <s v="Joseph"/>
    <s v="Gordon"/>
    <s v="Female"/>
    <n v="24"/>
    <s v="joseph.gordon32@gmail.com"/>
    <n v="9971689949"/>
    <s v="Pune"/>
    <s v="Maharashtra"/>
    <s v="MBA"/>
    <n v="3.3"/>
    <n v="8.6"/>
    <n v="9.6999999999999993"/>
    <s v="Immediate"/>
    <x v="0"/>
    <d v="2025-02-01T00:00:00"/>
    <x v="0"/>
    <x v="0"/>
    <x v="1"/>
    <s v="Q1"/>
    <n v="2025"/>
  </r>
  <r>
    <s v="CAN0048"/>
    <s v="Max"/>
    <s v="Rivera"/>
    <s v="Male"/>
    <n v="26"/>
    <s v="max.rivera96@gmail.com"/>
    <n v="9167486538"/>
    <s v="Indore"/>
    <s v="Madhya Pradesh"/>
    <s v="M.Tech"/>
    <n v="4.5"/>
    <n v="8.8000000000000007"/>
    <n v="10.9"/>
    <s v="15 Days"/>
    <x v="4"/>
    <d v="2025-01-23T00:00:00"/>
    <x v="0"/>
    <x v="1"/>
    <x v="5"/>
    <s v="Q1"/>
    <n v="2025"/>
  </r>
  <r>
    <s v="CAN0049"/>
    <s v="Tara"/>
    <s v="Rivera"/>
    <s v="Male"/>
    <n v="25"/>
    <s v="tara.rivera92@gmail.com"/>
    <n v="9840428036"/>
    <s v="Gurugram"/>
    <s v="Haryana"/>
    <m/>
    <n v="5.8"/>
    <n v="11.1"/>
    <n v="13.5"/>
    <s v="30 Days"/>
    <x v="1"/>
    <d v="2025-11-21T00:00:00"/>
    <x v="0"/>
    <x v="0"/>
    <x v="9"/>
    <s v="Q4"/>
    <n v="2025"/>
  </r>
  <r>
    <s v="CAN0050"/>
    <s v="Thomas"/>
    <s v="Franklin"/>
    <s v="Female"/>
    <n v="39"/>
    <s v="thomas.franklin9@gmail.com"/>
    <n v="9126045435"/>
    <s v="Kochi"/>
    <s v="Kerala"/>
    <s v="B.Sc"/>
    <n v="1.7"/>
    <n v="10.6"/>
    <n v="13.5"/>
    <s v="90 Days"/>
    <x v="4"/>
    <d v="2025-07-17T00:00:00"/>
    <x v="0"/>
    <x v="2"/>
    <x v="7"/>
    <s v="Q3"/>
    <n v="2025"/>
  </r>
  <r>
    <s v="CAN0051"/>
    <s v="Jodi"/>
    <s v="Brown"/>
    <s v="Female"/>
    <n v="24"/>
    <s v="jodi.brown56@gmail.com"/>
    <n v="9974885109"/>
    <s v="Delhi"/>
    <s v="Delhi"/>
    <s v="B.Tech"/>
    <n v="9.6999999999999993"/>
    <n v="17.100000000000001"/>
    <n v="22"/>
    <s v="Immediate"/>
    <x v="6"/>
    <d v="2025-06-05T00:00:00"/>
    <x v="0"/>
    <x v="0"/>
    <x v="0"/>
    <s v="Q2"/>
    <n v="2025"/>
  </r>
  <r>
    <s v="CAN0052"/>
    <s v="Krystal"/>
    <s v="Sanders"/>
    <s v="Female"/>
    <n v="40"/>
    <s v="krystal.sanders99@gmail.com"/>
    <n v="9262473494"/>
    <s v="Ahmedabad"/>
    <s v="Gujarat"/>
    <s v="B.Sc"/>
    <n v="5.2"/>
    <n v="6.6"/>
    <n v="9.3000000000000007"/>
    <s v="30 Days"/>
    <x v="3"/>
    <d v="2025-11-02T00:00:00"/>
    <x v="0"/>
    <x v="2"/>
    <x v="9"/>
    <s v="Q4"/>
    <n v="2025"/>
  </r>
  <r>
    <s v="CAN0053"/>
    <s v="Mark"/>
    <s v="Cook"/>
    <s v="Male"/>
    <n v="32"/>
    <s v="mark.cook26@gmail.com"/>
    <n v="9520569001"/>
    <s v="Chandigarh"/>
    <s v="Chandigarh"/>
    <s v="B.Tech"/>
    <n v="2.2999999999999998"/>
    <n v="8.3000000000000007"/>
    <n v="10.4"/>
    <s v="30 Days"/>
    <x v="2"/>
    <d v="2025-10-06T00:00:00"/>
    <x v="0"/>
    <x v="3"/>
    <x v="8"/>
    <s v="Q4"/>
    <n v="2025"/>
  </r>
  <r>
    <s v="CAN0054"/>
    <s v="Martin"/>
    <s v="Carey"/>
    <s v="Male"/>
    <n v="28"/>
    <s v="martin.carey55@gmail.com"/>
    <n v="9212980632"/>
    <s v="Mumbai"/>
    <s v="Maharashtra"/>
    <s v="B.Sc"/>
    <n v="2.9"/>
    <n v="7"/>
    <n v="8"/>
    <s v="Immediate"/>
    <x v="2"/>
    <d v="2025-12-30T00:00:00"/>
    <x v="0"/>
    <x v="1"/>
    <x v="4"/>
    <s v="Q4"/>
    <n v="2025"/>
  </r>
  <r>
    <s v="CAN0055"/>
    <s v="Patrick"/>
    <s v="White"/>
    <s v="Female"/>
    <n v="30"/>
    <s v="patrick.white23@gmail.com"/>
    <n v="9351466367"/>
    <s v="Pune"/>
    <s v="Maharashtra"/>
    <s v="B.Com"/>
    <n v="0.3"/>
    <n v="2.5"/>
    <n v="3.3"/>
    <s v="30 Days"/>
    <x v="3"/>
    <d v="2025-12-07T00:00:00"/>
    <x v="0"/>
    <x v="1"/>
    <x v="4"/>
    <s v="Q4"/>
    <n v="2025"/>
  </r>
  <r>
    <s v="CAN0056"/>
    <s v="Laura"/>
    <s v="MD"/>
    <s v="Female"/>
    <n v="33"/>
    <s v="laura.md38@gmail.com"/>
    <n v="9415446180"/>
    <s v="Chennai"/>
    <s v="Tamil Nadu"/>
    <s v="M.Tech"/>
    <n v="1.1000000000000001"/>
    <n v="6.8"/>
    <n v="8.5"/>
    <s v="30 Days"/>
    <x v="0"/>
    <d v="2025-05-07T00:00:00"/>
    <x v="0"/>
    <x v="3"/>
    <x v="10"/>
    <s v="Q2"/>
    <n v="2025"/>
  </r>
  <r>
    <s v="CAN0057"/>
    <s v="Brittany"/>
    <s v="Baker"/>
    <s v="Male"/>
    <n v="30"/>
    <s v="brittany.baker31@gmail.com"/>
    <n v="9264628456"/>
    <s v="Chennai"/>
    <s v="Tamil Nadu"/>
    <m/>
    <n v="1.2"/>
    <m/>
    <n v="16.600000000000001"/>
    <s v="15 Days"/>
    <x v="2"/>
    <d v="2025-05-06T00:00:00"/>
    <x v="0"/>
    <x v="1"/>
    <x v="10"/>
    <s v="Q2"/>
    <n v="2025"/>
  </r>
  <r>
    <s v="CAN0058"/>
    <s v="Daniel"/>
    <s v="Baker"/>
    <s v="Male"/>
    <n v="31"/>
    <s v="daniel.baker30@gmail.com"/>
    <n v="9797546341"/>
    <s v="Chandigarh"/>
    <s v="Chandigarh"/>
    <s v="B.Tech"/>
    <n v="2.6"/>
    <n v="8.8000000000000007"/>
    <n v="11.2"/>
    <s v="Immediate"/>
    <x v="0"/>
    <d v="2025-04-29T00:00:00"/>
    <x v="0"/>
    <x v="3"/>
    <x v="11"/>
    <s v="Q2"/>
    <n v="2025"/>
  </r>
  <r>
    <s v="CAN0059"/>
    <s v="Christopher"/>
    <s v="David"/>
    <s v="Female"/>
    <n v="29"/>
    <s v="christopher.david48@gmail.com"/>
    <n v="9143338216"/>
    <s v="Indore"/>
    <s v="Madhya Pradesh"/>
    <m/>
    <n v="3.1"/>
    <m/>
    <n v="17.5"/>
    <s v="15 Days"/>
    <x v="4"/>
    <d v="2025-10-26T00:00:00"/>
    <x v="0"/>
    <x v="1"/>
    <x v="8"/>
    <s v="Q4"/>
    <n v="2025"/>
  </r>
  <r>
    <s v="CAN0060"/>
    <s v="Megan"/>
    <s v="Gutierrez"/>
    <s v="Male"/>
    <n v="35"/>
    <s v="megan.gutierrez10@gmail.com"/>
    <n v="9499686394"/>
    <s v="Kolkata"/>
    <s v="West Bengal"/>
    <s v="M.Sc"/>
    <n v="4.4000000000000004"/>
    <n v="13.5"/>
    <n v="17.100000000000001"/>
    <s v="15 Days"/>
    <x v="3"/>
    <d v="2025-01-04T00:00:00"/>
    <x v="0"/>
    <x v="3"/>
    <x v="5"/>
    <s v="Q1"/>
    <n v="2025"/>
  </r>
  <r>
    <s v="CAN0061"/>
    <s v="April"/>
    <s v="Henry"/>
    <s v="Male"/>
    <n v="23"/>
    <s v="april.henry77@gmail.com"/>
    <n v="9862041122"/>
    <s v="Ahmedabad"/>
    <s v="Gujarat"/>
    <s v="B.Com"/>
    <n v="12.3"/>
    <n v="16.8"/>
    <n v="19"/>
    <s v="15 Days"/>
    <x v="0"/>
    <d v="2025-05-11T00:00:00"/>
    <x v="0"/>
    <x v="0"/>
    <x v="10"/>
    <s v="Q2"/>
    <n v="2025"/>
  </r>
  <r>
    <s v="CAN0062"/>
    <s v="Justin"/>
    <s v="Harding"/>
    <s v="Male"/>
    <n v="26"/>
    <s v="justin.harding94@gmail.com"/>
    <n v="9799696144"/>
    <s v="Indore"/>
    <s v="Madhya Pradesh"/>
    <s v="B.Tech"/>
    <n v="1.5"/>
    <n v="11.4"/>
    <n v="12.8"/>
    <s v="15 Days"/>
    <x v="5"/>
    <d v="2025-04-05T00:00:00"/>
    <x v="0"/>
    <x v="1"/>
    <x v="11"/>
    <s v="Q2"/>
    <n v="2025"/>
  </r>
  <r>
    <s v="CAN0063"/>
    <s v="Robert"/>
    <s v="Sullivan"/>
    <s v="Female"/>
    <n v="40"/>
    <s v="robert.sullivan10@gmail.com"/>
    <n v="9318407432"/>
    <s v="Bengaluru"/>
    <s v="Karnataka"/>
    <s v="MBA"/>
    <n v="3.4"/>
    <n v="8"/>
    <n v="10.4"/>
    <m/>
    <x v="0"/>
    <d v="2025-07-22T00:00:00"/>
    <x v="0"/>
    <x v="2"/>
    <x v="7"/>
    <s v="Q3"/>
    <n v="2025"/>
  </r>
  <r>
    <s v="CAN0064"/>
    <s v="Jodi"/>
    <s v="Morgan"/>
    <s v="Female"/>
    <n v="38"/>
    <s v="jodi.morgan20@gmail.com"/>
    <n v="9786316388"/>
    <s v="Kolkata"/>
    <s v="West Bengal"/>
    <s v="B.Tech"/>
    <n v="0.7"/>
    <n v="3.1"/>
    <n v="3.6"/>
    <s v="30 Days"/>
    <x v="2"/>
    <d v="2025-05-26T00:00:00"/>
    <x v="0"/>
    <x v="2"/>
    <x v="10"/>
    <s v="Q2"/>
    <n v="2025"/>
  </r>
  <r>
    <s v="CAN0065"/>
    <s v="David"/>
    <s v="Carter"/>
    <s v="Female"/>
    <n v="39"/>
    <s v="david.carter54@gmail.com"/>
    <n v="9155148117"/>
    <s v="Chennai"/>
    <s v="Tamil Nadu"/>
    <s v="MBA"/>
    <n v="3.5"/>
    <n v="10.6"/>
    <n v="15"/>
    <m/>
    <x v="0"/>
    <d v="2025-07-06T00:00:00"/>
    <x v="0"/>
    <x v="2"/>
    <x v="7"/>
    <s v="Q3"/>
    <n v="2025"/>
  </r>
  <r>
    <s v="CAN0066"/>
    <s v="Elizabeth"/>
    <s v="Russell"/>
    <s v="Female"/>
    <n v="33"/>
    <s v="elizabeth.russell51@gmail.com"/>
    <n v="9881718087"/>
    <s v="Noida"/>
    <s v="Uttar Pradesh"/>
    <m/>
    <n v="0.9"/>
    <n v="6.1"/>
    <n v="6.8"/>
    <m/>
    <x v="2"/>
    <d v="2025-02-16T00:00:00"/>
    <x v="0"/>
    <x v="3"/>
    <x v="1"/>
    <s v="Q1"/>
    <n v="2025"/>
  </r>
  <r>
    <s v="CAN0067"/>
    <s v="Jessica"/>
    <s v="Kramer"/>
    <s v="Male"/>
    <n v="35"/>
    <s v="jessica.kramer47@gmail.com"/>
    <n v="9594894303"/>
    <s v="Chandigarh"/>
    <s v="Chandigarh"/>
    <m/>
    <n v="9.4"/>
    <n v="19.899999999999999"/>
    <n v="22.4"/>
    <s v="30 Days"/>
    <x v="1"/>
    <d v="2025-07-23T00:00:00"/>
    <x v="0"/>
    <x v="3"/>
    <x v="7"/>
    <s v="Q3"/>
    <n v="2025"/>
  </r>
  <r>
    <s v="CAN0068"/>
    <s v="Keith"/>
    <s v="Williams"/>
    <s v="Male"/>
    <n v="22"/>
    <s v="keith.williams80@gmail.com"/>
    <n v="9498190306"/>
    <s v="Jaipur"/>
    <s v="Rajasthan"/>
    <s v="BBA"/>
    <n v="4.4000000000000004"/>
    <n v="7.7"/>
    <n v="9"/>
    <s v="15 Days"/>
    <x v="1"/>
    <d v="2025-02-04T00:00:00"/>
    <x v="0"/>
    <x v="0"/>
    <x v="1"/>
    <s v="Q1"/>
    <n v="2025"/>
  </r>
  <r>
    <s v="CAN0069"/>
    <s v="Cristina"/>
    <s v="Holmes"/>
    <s v="Male"/>
    <n v="33"/>
    <s v="cristina.holmes63@gmail.com"/>
    <n v="9909124394"/>
    <s v="Chandigarh"/>
    <s v="Chandigarh"/>
    <s v="MBA"/>
    <n v="7.5"/>
    <n v="11.8"/>
    <n v="16.3"/>
    <s v="15 Days"/>
    <x v="3"/>
    <d v="2025-01-23T00:00:00"/>
    <x v="0"/>
    <x v="3"/>
    <x v="5"/>
    <s v="Q1"/>
    <n v="2025"/>
  </r>
  <r>
    <s v="CAN0070"/>
    <s v="Joel"/>
    <s v="Franco"/>
    <s v="Female"/>
    <n v="23"/>
    <s v="joel.franco62@gmail.com"/>
    <n v="9437719695"/>
    <s v="Bengaluru"/>
    <s v="Karnataka"/>
    <m/>
    <n v="6.5"/>
    <n v="14.6"/>
    <n v="19.399999999999999"/>
    <s v="Immediate"/>
    <x v="5"/>
    <d v="2025-12-19T00:00:00"/>
    <x v="0"/>
    <x v="0"/>
    <x v="4"/>
    <s v="Q4"/>
    <n v="2025"/>
  </r>
  <r>
    <s v="CAN0071"/>
    <s v="Tyler"/>
    <s v="Martinez"/>
    <s v="Female"/>
    <n v="29"/>
    <s v="tyler.martinez21@gmail.com"/>
    <n v="9787543116"/>
    <s v="Chandigarh"/>
    <s v="Chandigarh"/>
    <s v="M.Sc"/>
    <n v="11.6"/>
    <n v="21.7"/>
    <n v="28.8"/>
    <s v="30 Days"/>
    <x v="0"/>
    <d v="2025-08-31T00:00:00"/>
    <x v="0"/>
    <x v="1"/>
    <x v="3"/>
    <s v="Q3"/>
    <n v="2025"/>
  </r>
  <r>
    <s v="CAN0072"/>
    <s v="Christina"/>
    <s v="Garrett"/>
    <s v="Male"/>
    <n v="27"/>
    <s v="christina.garrett28@gmail.com"/>
    <n v="9144788540"/>
    <s v="Noida"/>
    <s v="Uttar Pradesh"/>
    <s v="MCA"/>
    <n v="0.9"/>
    <n v="3.9"/>
    <n v="4.5999999999999996"/>
    <s v="30 Days"/>
    <x v="0"/>
    <d v="2025-04-09T00:00:00"/>
    <x v="0"/>
    <x v="1"/>
    <x v="11"/>
    <s v="Q2"/>
    <n v="2025"/>
  </r>
  <r>
    <s v="CAN0073"/>
    <s v="Terry"/>
    <s v="Cole"/>
    <s v="Male"/>
    <n v="33"/>
    <s v="terry.cole72@gmail.com"/>
    <n v="9913317829"/>
    <s v="Pune"/>
    <s v="Maharashtra"/>
    <s v="B.Tech"/>
    <n v="0"/>
    <n v="6.9"/>
    <n v="9.6"/>
    <s v="Immediate"/>
    <x v="1"/>
    <d v="2025-10-09T00:00:00"/>
    <x v="0"/>
    <x v="3"/>
    <x v="8"/>
    <s v="Q4"/>
    <n v="2025"/>
  </r>
  <r>
    <s v="CAN0074"/>
    <s v="Katie"/>
    <s v="Richardson"/>
    <s v="Female"/>
    <n v="29"/>
    <s v="katie.richardson40@gmail.com"/>
    <n v="9796888357"/>
    <s v="Noida"/>
    <s v="Uttar Pradesh"/>
    <s v="B.Sc"/>
    <n v="2.5"/>
    <n v="12"/>
    <n v="14.4"/>
    <s v="30 Days"/>
    <x v="2"/>
    <d v="2025-09-15T00:00:00"/>
    <x v="0"/>
    <x v="1"/>
    <x v="2"/>
    <s v="Q3"/>
    <n v="2025"/>
  </r>
  <r>
    <s v="CAN0075"/>
    <s v="Kristina"/>
    <s v="Scott"/>
    <s v="Male"/>
    <n v="27"/>
    <s v="kristina.scott3@gmail.com"/>
    <n v="9103766788"/>
    <s v="Ahmedabad"/>
    <s v="Gujarat"/>
    <s v="PhD"/>
    <n v="4.9000000000000004"/>
    <n v="12.6"/>
    <n v="16"/>
    <s v="30 Days"/>
    <x v="1"/>
    <d v="2025-08-23T00:00:00"/>
    <x v="0"/>
    <x v="1"/>
    <x v="3"/>
    <s v="Q3"/>
    <n v="2025"/>
  </r>
  <r>
    <s v="CAN0076"/>
    <s v="Dana"/>
    <s v="Sheppard"/>
    <s v="Female"/>
    <n v="25"/>
    <s v="dana.sheppard61@gmail.com"/>
    <n v="9529864322"/>
    <s v="Mumbai"/>
    <s v="Maharashtra"/>
    <s v="B.Tech"/>
    <n v="7.8"/>
    <n v="14.7"/>
    <n v="18.2"/>
    <s v="30 Days"/>
    <x v="3"/>
    <d v="2025-09-16T00:00:00"/>
    <x v="0"/>
    <x v="0"/>
    <x v="2"/>
    <s v="Q3"/>
    <n v="2025"/>
  </r>
  <r>
    <s v="CAN0077"/>
    <s v="Natasha"/>
    <s v="Wall"/>
    <s v="Male"/>
    <n v="22"/>
    <s v="natasha.wall6@gmail.com"/>
    <n v="9143649358"/>
    <s v="Pune"/>
    <s v="Maharashtra"/>
    <s v="B.Tech"/>
    <n v="1.5"/>
    <n v="3.9"/>
    <n v="5.6"/>
    <s v="15 Days"/>
    <x v="5"/>
    <d v="2025-02-10T00:00:00"/>
    <x v="0"/>
    <x v="0"/>
    <x v="1"/>
    <s v="Q1"/>
    <n v="2025"/>
  </r>
  <r>
    <s v="CAN0078"/>
    <s v="Peter"/>
    <s v="Davis"/>
    <s v="Male"/>
    <n v="28"/>
    <s v="peter.davis65@gmail.com"/>
    <n v="9505726907"/>
    <s v="Pune"/>
    <s v="Maharashtra"/>
    <s v="CA"/>
    <n v="1.8"/>
    <n v="13"/>
    <n v="15.1"/>
    <s v="60 Days"/>
    <x v="4"/>
    <d v="2025-12-21T00:00:00"/>
    <x v="0"/>
    <x v="1"/>
    <x v="4"/>
    <s v="Q4"/>
    <n v="2025"/>
  </r>
  <r>
    <s v="CAN0079"/>
    <s v="Kurt"/>
    <s v="Huff"/>
    <s v="Female"/>
    <n v="23"/>
    <s v="kurt.huff25@gmail.com"/>
    <n v="9241323188"/>
    <s v="Indore"/>
    <s v="Madhya Pradesh"/>
    <s v="BBA"/>
    <n v="1.9"/>
    <n v="9.8000000000000007"/>
    <n v="14.1"/>
    <s v="60 Days"/>
    <x v="0"/>
    <d v="2025-04-24T00:00:00"/>
    <x v="0"/>
    <x v="0"/>
    <x v="11"/>
    <s v="Q2"/>
    <n v="2025"/>
  </r>
  <r>
    <s v="CAN0080"/>
    <s v="Alexander"/>
    <s v="Montgomery"/>
    <s v="Male"/>
    <n v="21"/>
    <s v="alexander.montgomery45@gmail.com"/>
    <n v="9755459940"/>
    <s v="Chandigarh"/>
    <s v="Chandigarh"/>
    <s v="B.Sc"/>
    <n v="4"/>
    <n v="11.5"/>
    <n v="14.1"/>
    <s v="30 Days"/>
    <x v="6"/>
    <d v="2025-08-22T00:00:00"/>
    <x v="0"/>
    <x v="0"/>
    <x v="3"/>
    <s v="Q3"/>
    <n v="2025"/>
  </r>
  <r>
    <s v="CAN0081"/>
    <s v="Gabriel"/>
    <s v="Curry"/>
    <s v="Male"/>
    <n v="24"/>
    <s v="gabriel.curry65@gmail.com"/>
    <n v="9615511585"/>
    <s v="Hyderabad"/>
    <s v="Telangana"/>
    <s v="M.Tech"/>
    <n v="0.7"/>
    <m/>
    <n v="9.9"/>
    <s v="15 Days"/>
    <x v="2"/>
    <d v="2025-04-12T00:00:00"/>
    <x v="0"/>
    <x v="0"/>
    <x v="11"/>
    <s v="Q2"/>
    <n v="2025"/>
  </r>
  <r>
    <s v="CAN0082"/>
    <s v="Larry"/>
    <s v="Madden"/>
    <s v="Male"/>
    <n v="31"/>
    <s v="larry.madden21@gmail.com"/>
    <n v="9783513741"/>
    <s v="Indore"/>
    <s v="Madhya Pradesh"/>
    <s v="B.Sc"/>
    <n v="1.9"/>
    <n v="14.1"/>
    <n v="17.3"/>
    <s v="30 Days"/>
    <x v="3"/>
    <d v="2025-05-16T00:00:00"/>
    <x v="0"/>
    <x v="3"/>
    <x v="10"/>
    <s v="Q2"/>
    <n v="2025"/>
  </r>
  <r>
    <s v="CAN0083"/>
    <s v="Christopher"/>
    <s v="Martin"/>
    <s v="Male"/>
    <n v="33"/>
    <s v="christopher.martin68@gmail.com"/>
    <n v="9152153331"/>
    <s v="Pune"/>
    <s v="Maharashtra"/>
    <s v="M.Sc"/>
    <n v="5.2"/>
    <n v="3.9"/>
    <n v="5.6"/>
    <s v="30 Days"/>
    <x v="1"/>
    <d v="2025-12-19T00:00:00"/>
    <x v="0"/>
    <x v="3"/>
    <x v="4"/>
    <s v="Q4"/>
    <n v="2025"/>
  </r>
  <r>
    <s v="CAN0084"/>
    <s v="Sharon"/>
    <s v="White"/>
    <s v="Female"/>
    <n v="22"/>
    <s v="sharon.white14@gmail.com"/>
    <n v="9370616861"/>
    <s v="Kolkata"/>
    <s v="West Bengal"/>
    <s v="M.Tech"/>
    <n v="2.9"/>
    <n v="5.8"/>
    <n v="7.3"/>
    <s v="60 Days"/>
    <x v="0"/>
    <d v="2025-07-08T00:00:00"/>
    <x v="0"/>
    <x v="0"/>
    <x v="7"/>
    <s v="Q3"/>
    <n v="2025"/>
  </r>
  <r>
    <s v="CAN0085"/>
    <s v="Jonathan"/>
    <s v="Jr."/>
    <s v="Female"/>
    <n v="33"/>
    <s v="jonathan.jr.47@gmail.com"/>
    <n v="9455224768"/>
    <s v="Chandigarh"/>
    <s v="Chandigarh"/>
    <s v="B.Tech"/>
    <n v="8.4"/>
    <n v="17.600000000000001"/>
    <n v="21"/>
    <s v="30 Days"/>
    <x v="4"/>
    <d v="2025-06-01T00:00:00"/>
    <x v="0"/>
    <x v="3"/>
    <x v="0"/>
    <s v="Q2"/>
    <n v="2025"/>
  </r>
  <r>
    <s v="CAN0086"/>
    <s v="Craig"/>
    <s v="Ellis"/>
    <s v="Female"/>
    <n v="31"/>
    <s v="craig.ellis33@gmail.com"/>
    <n v="9432937745"/>
    <s v="Pune"/>
    <s v="Maharashtra"/>
    <s v="CA"/>
    <n v="7.2"/>
    <m/>
    <n v="7"/>
    <s v="60 Days"/>
    <x v="6"/>
    <d v="2025-01-01T00:00:00"/>
    <x v="0"/>
    <x v="3"/>
    <x v="5"/>
    <s v="Q1"/>
    <n v="2025"/>
  </r>
  <r>
    <s v="CAN0087"/>
    <s v="Robert"/>
    <s v="Kelley"/>
    <s v="Female"/>
    <n v="34"/>
    <s v="robert.kelley29@gmail.com"/>
    <n v="9260379191"/>
    <s v="Chennai"/>
    <s v="Tamil Nadu"/>
    <s v="M.Tech"/>
    <n v="8"/>
    <n v="17.7"/>
    <n v="22.3"/>
    <m/>
    <x v="6"/>
    <d v="2025-03-09T00:00:00"/>
    <x v="0"/>
    <x v="3"/>
    <x v="6"/>
    <s v="Q1"/>
    <n v="2025"/>
  </r>
  <r>
    <s v="CAN0088"/>
    <s v="Christy"/>
    <s v="Hernandez"/>
    <s v="Male"/>
    <n v="21"/>
    <s v="christy.hernandez79@gmail.com"/>
    <n v="9801269836"/>
    <s v="Bengaluru"/>
    <s v="Karnataka"/>
    <s v="B.Tech"/>
    <n v="2"/>
    <m/>
    <n v="14.9"/>
    <s v="30 Days"/>
    <x v="0"/>
    <d v="2025-07-02T00:00:00"/>
    <x v="0"/>
    <x v="0"/>
    <x v="7"/>
    <s v="Q3"/>
    <n v="2025"/>
  </r>
  <r>
    <s v="CAN0089"/>
    <s v="Jill"/>
    <s v="Robertson"/>
    <s v="Male"/>
    <n v="21"/>
    <s v="jill.robertson53@gmail.com"/>
    <n v="9726625977"/>
    <s v="Chennai"/>
    <s v="Tamil Nadu"/>
    <s v="M.Tech"/>
    <n v="1.4"/>
    <n v="7.1"/>
    <n v="8.4"/>
    <s v="30 Days"/>
    <x v="2"/>
    <d v="2025-03-10T00:00:00"/>
    <x v="0"/>
    <x v="0"/>
    <x v="6"/>
    <s v="Q1"/>
    <n v="2025"/>
  </r>
  <r>
    <s v="CAN0090"/>
    <s v="John"/>
    <s v="Fritz"/>
    <s v="Male"/>
    <n v="35"/>
    <s v="john.fritz32@gmail.com"/>
    <n v="9859642939"/>
    <s v="Pune"/>
    <s v="Maharashtra"/>
    <s v="BBA"/>
    <n v="2.4"/>
    <n v="10.7"/>
    <n v="12.2"/>
    <s v="Immediate"/>
    <x v="5"/>
    <d v="2025-05-19T00:00:00"/>
    <x v="0"/>
    <x v="3"/>
    <x v="10"/>
    <s v="Q2"/>
    <n v="2025"/>
  </r>
  <r>
    <s v="CAN0091"/>
    <s v="Allison"/>
    <s v="Hall"/>
    <s v="Male"/>
    <n v="26"/>
    <s v="allison.hall34@gmail.com"/>
    <n v="9112343783"/>
    <s v="Bengaluru"/>
    <s v="Karnataka"/>
    <s v="M.Tech"/>
    <n v="1.9"/>
    <n v="7.9"/>
    <n v="10.3"/>
    <s v="30 Days"/>
    <x v="1"/>
    <d v="2025-08-16T00:00:00"/>
    <x v="0"/>
    <x v="1"/>
    <x v="3"/>
    <s v="Q3"/>
    <n v="2025"/>
  </r>
  <r>
    <s v="CAN0092"/>
    <s v="Jason"/>
    <s v="Aguilar"/>
    <s v="Female"/>
    <n v="31"/>
    <s v="jason.aguilar67@gmail.com"/>
    <n v="9887613653"/>
    <s v="Delhi"/>
    <s v="Delhi"/>
    <s v="B.Sc"/>
    <n v="6.5"/>
    <m/>
    <n v="17.7"/>
    <s v="Immediate"/>
    <x v="1"/>
    <d v="2025-07-27T00:00:00"/>
    <x v="0"/>
    <x v="3"/>
    <x v="7"/>
    <s v="Q3"/>
    <n v="2025"/>
  </r>
  <r>
    <s v="CAN0093"/>
    <s v="James"/>
    <s v="Ortiz"/>
    <s v="Male"/>
    <n v="29"/>
    <s v="james.ortiz21@gmail.com"/>
    <n v="9162684164"/>
    <s v="Indore"/>
    <s v="Madhya Pradesh"/>
    <s v="MBA"/>
    <n v="0.8"/>
    <n v="6.4"/>
    <n v="7.2"/>
    <s v="30 Days"/>
    <x v="6"/>
    <d v="2025-03-14T00:00:00"/>
    <x v="0"/>
    <x v="1"/>
    <x v="6"/>
    <s v="Q1"/>
    <n v="2025"/>
  </r>
  <r>
    <s v="CAN0094"/>
    <s v="Lauren"/>
    <s v="Khan"/>
    <s v="Male"/>
    <n v="24"/>
    <s v="lauren.khan67@gmail.com"/>
    <n v="9752924112"/>
    <s v="Pune"/>
    <s v="Maharashtra"/>
    <s v="BBA"/>
    <n v="0"/>
    <n v="2.5"/>
    <n v="3.3"/>
    <s v="60 Days"/>
    <x v="0"/>
    <d v="2025-06-08T00:00:00"/>
    <x v="0"/>
    <x v="0"/>
    <x v="0"/>
    <s v="Q2"/>
    <n v="2025"/>
  </r>
  <r>
    <s v="CAN0095"/>
    <s v="Regina"/>
    <s v="Mckenzie"/>
    <s v="Male"/>
    <n v="28"/>
    <s v="regina.mckenzie81@gmail.com"/>
    <n v="9152066569"/>
    <s v="Indore"/>
    <s v="Madhya Pradesh"/>
    <s v="MBA"/>
    <n v="20"/>
    <n v="29.4"/>
    <n v="37.6"/>
    <s v="30 Days"/>
    <x v="2"/>
    <d v="2025-08-12T00:00:00"/>
    <x v="0"/>
    <x v="1"/>
    <x v="3"/>
    <s v="Q3"/>
    <n v="2025"/>
  </r>
  <r>
    <s v="CAN0096"/>
    <s v="Cody"/>
    <s v="Bryan"/>
    <s v="Female"/>
    <n v="25"/>
    <s v="cody.bryan60@gmail.com"/>
    <n v="9186413189"/>
    <s v="Jaipur"/>
    <s v="Rajasthan"/>
    <s v="M.Tech"/>
    <n v="11.4"/>
    <n v="23.7"/>
    <n v="27.9"/>
    <s v="90 Days"/>
    <x v="0"/>
    <d v="2025-11-26T00:00:00"/>
    <x v="0"/>
    <x v="0"/>
    <x v="9"/>
    <s v="Q4"/>
    <n v="2025"/>
  </r>
  <r>
    <s v="CAN0097"/>
    <s v="Caitlin"/>
    <s v="Jones"/>
    <s v="Male"/>
    <n v="28"/>
    <s v="caitlin.jones43@gmail.com"/>
    <n v="9904934916"/>
    <s v="Indore"/>
    <s v="Madhya Pradesh"/>
    <s v="MBA"/>
    <n v="4.5999999999999996"/>
    <n v="9.3000000000000007"/>
    <n v="13"/>
    <s v="30 Days"/>
    <x v="0"/>
    <d v="2025-10-11T00:00:00"/>
    <x v="0"/>
    <x v="1"/>
    <x v="8"/>
    <s v="Q4"/>
    <n v="2025"/>
  </r>
  <r>
    <s v="CAN0098"/>
    <s v="Michael"/>
    <s v="Hines"/>
    <s v="Female"/>
    <n v="35"/>
    <s v="michael.hines88@gmail.com"/>
    <n v="9946591754"/>
    <s v="Indore"/>
    <s v="Madhya Pradesh"/>
    <s v="M.Tech"/>
    <n v="2.7"/>
    <n v="12.6"/>
    <n v="15.2"/>
    <s v="30 Days"/>
    <x v="4"/>
    <d v="2025-04-22T00:00:00"/>
    <x v="0"/>
    <x v="3"/>
    <x v="11"/>
    <s v="Q2"/>
    <n v="2025"/>
  </r>
  <r>
    <s v="CAN0099"/>
    <s v="Kara"/>
    <s v="Griffith"/>
    <s v="Male"/>
    <n v="25"/>
    <s v="kara.griffith65@gmail.com"/>
    <n v="9116350625"/>
    <s v="Pune"/>
    <s v="Maharashtra"/>
    <s v="B.Sc"/>
    <n v="0"/>
    <n v="4.7"/>
    <n v="5.6"/>
    <s v="30 Days"/>
    <x v="6"/>
    <d v="2025-06-17T00:00:00"/>
    <x v="0"/>
    <x v="0"/>
    <x v="0"/>
    <s v="Q2"/>
    <n v="2025"/>
  </r>
  <r>
    <s v="CAN0100"/>
    <s v="George"/>
    <s v="Graham"/>
    <s v="Male"/>
    <n v="29"/>
    <s v="george.graham50@gmail.com"/>
    <n v="9452781877"/>
    <s v="Ahmedabad"/>
    <s v="Gujarat"/>
    <s v="B.Sc"/>
    <n v="1.2"/>
    <n v="8"/>
    <n v="11.4"/>
    <s v="30 Days"/>
    <x v="5"/>
    <d v="2025-12-07T00:00:00"/>
    <x v="0"/>
    <x v="1"/>
    <x v="4"/>
    <s v="Q4"/>
    <n v="2025"/>
  </r>
  <r>
    <s v="CAN0101"/>
    <s v="Kathryn"/>
    <s v="Wallace"/>
    <s v="Female"/>
    <n v="24"/>
    <s v="kathryn.wallace69@gmail.com"/>
    <n v="9604114208"/>
    <s v="Delhi"/>
    <s v="Delhi"/>
    <s v="M.Sc"/>
    <n v="0.3"/>
    <n v="6.7"/>
    <n v="9"/>
    <s v="60 Days"/>
    <x v="2"/>
    <d v="2025-04-30T00:00:00"/>
    <x v="0"/>
    <x v="0"/>
    <x v="11"/>
    <s v="Q2"/>
    <n v="2025"/>
  </r>
  <r>
    <s v="CAN0102"/>
    <s v="Lisa"/>
    <s v="Drake"/>
    <s v="Female"/>
    <n v="21"/>
    <s v="lisa.drake40@gmail.com"/>
    <n v="9947399622"/>
    <s v="Hyderabad"/>
    <s v="Telangana"/>
    <s v="B.Com"/>
    <n v="0.1"/>
    <n v="7.8"/>
    <n v="10.199999999999999"/>
    <m/>
    <x v="0"/>
    <d v="2025-01-17T00:00:00"/>
    <x v="0"/>
    <x v="0"/>
    <x v="5"/>
    <s v="Q1"/>
    <n v="2025"/>
  </r>
  <r>
    <s v="CAN0103"/>
    <s v="Julia"/>
    <s v="Martin"/>
    <s v="Male"/>
    <n v="29"/>
    <s v="julia.martin14@gmail.com"/>
    <n v="9767834300"/>
    <s v="Indore"/>
    <s v="Madhya Pradesh"/>
    <s v="B.Tech"/>
    <n v="3.8"/>
    <n v="10.6"/>
    <n v="15.3"/>
    <s v="30 Days"/>
    <x v="0"/>
    <d v="2025-03-12T00:00:00"/>
    <x v="0"/>
    <x v="1"/>
    <x v="6"/>
    <s v="Q1"/>
    <n v="2025"/>
  </r>
  <r>
    <s v="CAN0104"/>
    <s v="Amy"/>
    <s v="Rhodes"/>
    <s v="Female"/>
    <n v="29"/>
    <s v="amy.rhodes82@gmail.com"/>
    <n v="9145791142"/>
    <s v="Jaipur"/>
    <s v="Rajasthan"/>
    <s v="B.Tech"/>
    <n v="4.7"/>
    <n v="8.4"/>
    <n v="9.5"/>
    <s v="60 Days"/>
    <x v="3"/>
    <d v="2025-04-13T00:00:00"/>
    <x v="0"/>
    <x v="1"/>
    <x v="11"/>
    <s v="Q2"/>
    <n v="2025"/>
  </r>
  <r>
    <s v="CAN0105"/>
    <s v="Amanda"/>
    <s v="White"/>
    <s v="Female"/>
    <n v="21"/>
    <s v="amanda.white69@gmail.com"/>
    <n v="9813140084"/>
    <s v="Mumbai"/>
    <s v="Maharashtra"/>
    <s v="M.Sc"/>
    <n v="6.3"/>
    <n v="12.1"/>
    <n v="16.600000000000001"/>
    <s v="30 Days"/>
    <x v="2"/>
    <d v="2025-05-07T00:00:00"/>
    <x v="0"/>
    <x v="0"/>
    <x v="10"/>
    <s v="Q2"/>
    <n v="2025"/>
  </r>
  <r>
    <s v="CAN0106"/>
    <s v="Gloria"/>
    <s v="Cochran"/>
    <s v="Male"/>
    <n v="27"/>
    <s v="gloria.cochran15@gmail.com"/>
    <n v="9136357573"/>
    <s v="Bengaluru"/>
    <s v="Karnataka"/>
    <s v="MCA"/>
    <n v="4.2"/>
    <m/>
    <n v="19"/>
    <s v="60 Days"/>
    <x v="0"/>
    <d v="2025-11-20T00:00:00"/>
    <x v="0"/>
    <x v="1"/>
    <x v="9"/>
    <s v="Q4"/>
    <n v="2025"/>
  </r>
  <r>
    <s v="CAN0107"/>
    <s v="Monica"/>
    <s v="Garcia"/>
    <s v="Female"/>
    <n v="27"/>
    <s v="monica.garcia62@gmail.com"/>
    <n v="9207242210"/>
    <s v="Pune"/>
    <s v="Maharashtra"/>
    <s v="B.Tech"/>
    <n v="2.2000000000000002"/>
    <n v="4.0999999999999996"/>
    <n v="5.6"/>
    <s v="15 Days"/>
    <x v="2"/>
    <d v="2025-08-05T00:00:00"/>
    <x v="0"/>
    <x v="1"/>
    <x v="3"/>
    <s v="Q3"/>
    <n v="2025"/>
  </r>
  <r>
    <s v="CAN0108"/>
    <s v="Dale"/>
    <s v="Gill"/>
    <s v="Male"/>
    <n v="27"/>
    <s v="dale.gill45@gmail.com"/>
    <n v="9375631957"/>
    <s v="Indore"/>
    <s v="Madhya Pradesh"/>
    <s v="B.Sc"/>
    <n v="4.9000000000000004"/>
    <n v="9.9"/>
    <n v="13.4"/>
    <s v="30 Days"/>
    <x v="2"/>
    <d v="2025-11-05T00:00:00"/>
    <x v="0"/>
    <x v="1"/>
    <x v="9"/>
    <s v="Q4"/>
    <n v="2025"/>
  </r>
  <r>
    <s v="CAN0109"/>
    <s v="Kevin"/>
    <s v="Pace"/>
    <s v="Male"/>
    <n v="22"/>
    <s v="kevin.pace37@gmail.com"/>
    <n v="9763868645"/>
    <s v="Jaipur"/>
    <s v="Rajasthan"/>
    <s v="B.Tech"/>
    <n v="5.2"/>
    <n v="9.8000000000000007"/>
    <n v="12.3"/>
    <s v="30 Days"/>
    <x v="3"/>
    <d v="2025-06-27T00:00:00"/>
    <x v="0"/>
    <x v="0"/>
    <x v="0"/>
    <s v="Q2"/>
    <n v="2025"/>
  </r>
  <r>
    <s v="CAN0110"/>
    <s v="Jenny"/>
    <s v="Ryan"/>
    <s v="Male"/>
    <n v="22"/>
    <s v="jenny.ryan7@gmail.com"/>
    <n v="9677544838"/>
    <s v="Ahmedabad"/>
    <s v="Gujarat"/>
    <s v="B.Tech"/>
    <n v="0.3"/>
    <n v="6.3"/>
    <n v="8.8000000000000007"/>
    <s v="Immediate"/>
    <x v="3"/>
    <d v="2025-03-29T00:00:00"/>
    <x v="0"/>
    <x v="0"/>
    <x v="6"/>
    <s v="Q1"/>
    <n v="2025"/>
  </r>
  <r>
    <s v="CAN0111"/>
    <s v="Christine"/>
    <s v="Kelly"/>
    <s v="Male"/>
    <n v="36"/>
    <s v="christine.kelly68@gmail.com"/>
    <n v="9316933609"/>
    <s v="Chennai"/>
    <s v="Tamil Nadu"/>
    <s v="MBA"/>
    <n v="3.4"/>
    <n v="12.4"/>
    <n v="17.899999999999999"/>
    <s v="Immediate"/>
    <x v="2"/>
    <d v="2025-09-09T00:00:00"/>
    <x v="0"/>
    <x v="2"/>
    <x v="2"/>
    <s v="Q3"/>
    <n v="2025"/>
  </r>
  <r>
    <s v="CAN0112"/>
    <s v="Tonya"/>
    <s v="Rivera"/>
    <s v="Female"/>
    <n v="22"/>
    <s v="tonya.rivera24@gmail.com"/>
    <n v="9631053022"/>
    <s v="Ahmedabad"/>
    <s v="Gujarat"/>
    <m/>
    <n v="0.1"/>
    <n v="5.9"/>
    <n v="8.1999999999999993"/>
    <s v="15 Days"/>
    <x v="6"/>
    <d v="2025-05-26T00:00:00"/>
    <x v="0"/>
    <x v="0"/>
    <x v="10"/>
    <s v="Q2"/>
    <n v="2025"/>
  </r>
  <r>
    <s v="CAN0113"/>
    <s v="Amanda"/>
    <s v="Beck"/>
    <s v="Female"/>
    <n v="21"/>
    <s v="amanda.beck90@gmail.com"/>
    <n v="9348600817"/>
    <s v="Delhi"/>
    <s v="Delhi"/>
    <s v="B.Tech"/>
    <n v="10.5"/>
    <n v="11.9"/>
    <n v="17"/>
    <s v="60 Days"/>
    <x v="2"/>
    <d v="2025-12-23T00:00:00"/>
    <x v="0"/>
    <x v="0"/>
    <x v="4"/>
    <s v="Q4"/>
    <n v="2025"/>
  </r>
  <r>
    <s v="CAN0114"/>
    <s v="Breanna"/>
    <s v="Martinez"/>
    <s v="Female"/>
    <n v="31"/>
    <s v="breanna.martinez14@gmail.com"/>
    <n v="9774237069"/>
    <s v="Gurugram"/>
    <s v="Haryana"/>
    <s v="B.Com"/>
    <n v="9.9"/>
    <m/>
    <n v="25"/>
    <s v="30 Days"/>
    <x v="6"/>
    <d v="2025-02-14T00:00:00"/>
    <x v="0"/>
    <x v="3"/>
    <x v="1"/>
    <s v="Q1"/>
    <n v="2025"/>
  </r>
  <r>
    <s v="CAN0115"/>
    <s v="Andrew"/>
    <s v="Hicks"/>
    <s v="Male"/>
    <n v="27"/>
    <s v="andrew.hicks83@gmail.com"/>
    <n v="9127030408"/>
    <s v="Gurugram"/>
    <s v="Haryana"/>
    <s v="B.Tech"/>
    <n v="0.2"/>
    <n v="6.8"/>
    <n v="8.1999999999999993"/>
    <s v="60 Days"/>
    <x v="1"/>
    <d v="2025-07-14T00:00:00"/>
    <x v="0"/>
    <x v="1"/>
    <x v="7"/>
    <s v="Q3"/>
    <n v="2025"/>
  </r>
  <r>
    <s v="CAN0116"/>
    <s v="Paula"/>
    <s v="Dixon"/>
    <s v="Other"/>
    <n v="31"/>
    <s v="paula.dixon81@gmail.com"/>
    <n v="9350799859"/>
    <s v="Delhi"/>
    <s v="Delhi"/>
    <s v="B.Tech"/>
    <n v="1.1000000000000001"/>
    <n v="4.9000000000000004"/>
    <n v="6.4"/>
    <s v="30 Days"/>
    <x v="1"/>
    <d v="2025-01-18T00:00:00"/>
    <x v="0"/>
    <x v="3"/>
    <x v="5"/>
    <s v="Q1"/>
    <n v="2025"/>
  </r>
  <r>
    <s v="CAN0117"/>
    <s v="Jeremiah"/>
    <s v="Moss"/>
    <s v="Male"/>
    <n v="26"/>
    <s v="jeremiah.moss42@gmail.com"/>
    <n v="9660205669"/>
    <s v="Pune"/>
    <s v="Maharashtra"/>
    <s v="M.Sc"/>
    <n v="6.8"/>
    <n v="13.1"/>
    <n v="16.600000000000001"/>
    <s v="30 Days"/>
    <x v="2"/>
    <d v="2025-08-26T00:00:00"/>
    <x v="0"/>
    <x v="1"/>
    <x v="3"/>
    <s v="Q3"/>
    <n v="2025"/>
  </r>
  <r>
    <s v="CAN0118"/>
    <s v="Nicholas"/>
    <s v="Jones"/>
    <s v="Male"/>
    <n v="30"/>
    <s v="nicholas.jones99@gmail.com"/>
    <n v="9376180244"/>
    <s v="Ahmedabad"/>
    <s v="Gujarat"/>
    <s v="B.Sc"/>
    <n v="4.8"/>
    <n v="7.9"/>
    <n v="9.6999999999999993"/>
    <s v="30 Days"/>
    <x v="5"/>
    <d v="2025-09-17T00:00:00"/>
    <x v="0"/>
    <x v="1"/>
    <x v="2"/>
    <s v="Q3"/>
    <n v="2025"/>
  </r>
  <r>
    <s v="CAN0119"/>
    <s v="Deborah"/>
    <s v="Lopez"/>
    <s v="Male"/>
    <n v="23"/>
    <s v="deborah.lopez39@gmail.com"/>
    <n v="9910390521"/>
    <s v="Jaipur"/>
    <s v="Rajasthan"/>
    <s v="M.Sc"/>
    <n v="3.4"/>
    <n v="5.5"/>
    <n v="7.3"/>
    <s v="30 Days"/>
    <x v="4"/>
    <d v="2025-06-17T00:00:00"/>
    <x v="0"/>
    <x v="0"/>
    <x v="0"/>
    <s v="Q2"/>
    <n v="2025"/>
  </r>
  <r>
    <s v="CAN0120"/>
    <s v="Elizabeth"/>
    <s v="Johnson"/>
    <s v="Female"/>
    <n v="37"/>
    <s v="elizabeth.johnson45@gmail.com"/>
    <n v="9272791213"/>
    <s v="Hyderabad"/>
    <s v="Telangana"/>
    <m/>
    <n v="0.6"/>
    <n v="2.5"/>
    <n v="3"/>
    <s v="90 Days"/>
    <x v="5"/>
    <d v="2025-02-22T00:00:00"/>
    <x v="0"/>
    <x v="2"/>
    <x v="1"/>
    <s v="Q1"/>
    <n v="2025"/>
  </r>
  <r>
    <s v="CAN0121"/>
    <s v="Ashley"/>
    <s v="Baker"/>
    <s v="Male"/>
    <n v="23"/>
    <s v="ashley.baker85@gmail.com"/>
    <n v="9209132960"/>
    <s v="Hyderabad"/>
    <s v="Telangana"/>
    <s v="B.Com"/>
    <n v="3"/>
    <n v="10.4"/>
    <n v="15"/>
    <s v="60 Days"/>
    <x v="3"/>
    <d v="2025-08-11T00:00:00"/>
    <x v="0"/>
    <x v="0"/>
    <x v="3"/>
    <s v="Q3"/>
    <n v="2025"/>
  </r>
  <r>
    <s v="CAN0122"/>
    <s v="James"/>
    <s v="King"/>
    <s v="Male"/>
    <n v="29"/>
    <s v="james.king14@gmail.com"/>
    <n v="9785026733"/>
    <s v="Indore"/>
    <s v="Madhya Pradesh"/>
    <s v="B.Tech"/>
    <n v="4.5999999999999996"/>
    <n v="9.1"/>
    <n v="10.8"/>
    <s v="30 Days"/>
    <x v="0"/>
    <d v="2025-07-24T00:00:00"/>
    <x v="0"/>
    <x v="1"/>
    <x v="7"/>
    <s v="Q3"/>
    <n v="2025"/>
  </r>
  <r>
    <s v="CAN0123"/>
    <s v="Susan"/>
    <s v="Bowers"/>
    <s v="Female"/>
    <n v="33"/>
    <s v="susan.bowers56@gmail.com"/>
    <n v="9844574832"/>
    <s v="Hyderabad"/>
    <s v="Telangana"/>
    <s v="BBA"/>
    <n v="4.0999999999999996"/>
    <n v="10.8"/>
    <n v="14.3"/>
    <s v="30 Days"/>
    <x v="0"/>
    <d v="2025-11-06T00:00:00"/>
    <x v="0"/>
    <x v="3"/>
    <x v="9"/>
    <s v="Q4"/>
    <n v="2025"/>
  </r>
  <r>
    <s v="CAN0124"/>
    <s v="Mr."/>
    <s v="Maxwell"/>
    <s v="Female"/>
    <n v="25"/>
    <s v="mr..maxwell1@gmail.com"/>
    <n v="9895584484"/>
    <s v="Hyderabad"/>
    <s v="Telangana"/>
    <s v="MCA"/>
    <n v="9.6"/>
    <n v="17.7"/>
    <n v="22.3"/>
    <s v="30 Days"/>
    <x v="3"/>
    <d v="2025-08-04T00:00:00"/>
    <x v="0"/>
    <x v="0"/>
    <x v="3"/>
    <s v="Q3"/>
    <n v="2025"/>
  </r>
  <r>
    <s v="CAN0125"/>
    <s v="Richard"/>
    <s v="Bautista"/>
    <s v="Female"/>
    <n v="27"/>
    <s v="richard.bautista86@gmail.com"/>
    <n v="9875477382"/>
    <s v="Pune"/>
    <s v="Maharashtra"/>
    <s v="MCA"/>
    <n v="0.6"/>
    <n v="7.8"/>
    <n v="10.7"/>
    <s v="30 Days"/>
    <x v="6"/>
    <d v="2025-12-14T00:00:00"/>
    <x v="0"/>
    <x v="1"/>
    <x v="4"/>
    <s v="Q4"/>
    <n v="2025"/>
  </r>
  <r>
    <s v="CAN0126"/>
    <s v="Kathleen"/>
    <s v="Porter"/>
    <s v="Male"/>
    <n v="34"/>
    <s v="kathleen.porter16@gmail.com"/>
    <n v="9587374311"/>
    <s v="Noida"/>
    <s v="Uttar Pradesh"/>
    <s v="B.Sc"/>
    <n v="0.7"/>
    <n v="8.1"/>
    <n v="10.8"/>
    <s v="Immediate"/>
    <x v="2"/>
    <d v="2025-07-24T00:00:00"/>
    <x v="0"/>
    <x v="3"/>
    <x v="7"/>
    <s v="Q3"/>
    <n v="2025"/>
  </r>
  <r>
    <s v="CAN0127"/>
    <s v="Derrick"/>
    <s v="Conley"/>
    <s v="Female"/>
    <n v="30"/>
    <s v="derrick.conley81@gmail.com"/>
    <n v="9267995924"/>
    <s v="Chennai"/>
    <s v="Tamil Nadu"/>
    <s v="M.Sc"/>
    <n v="5.7"/>
    <n v="13.3"/>
    <n v="17"/>
    <s v="Immediate"/>
    <x v="6"/>
    <d v="2025-09-23T00:00:00"/>
    <x v="0"/>
    <x v="1"/>
    <x v="2"/>
    <s v="Q3"/>
    <n v="2025"/>
  </r>
  <r>
    <s v="CAN0128"/>
    <s v="Larry"/>
    <s v="Shields"/>
    <s v="Female"/>
    <n v="29"/>
    <s v="larry.shields24@gmail.com"/>
    <n v="9802752967"/>
    <s v="Gurugram"/>
    <s v="Haryana"/>
    <s v="MBA"/>
    <n v="1.6"/>
    <n v="7.1"/>
    <n v="8.9"/>
    <s v="30 Days"/>
    <x v="4"/>
    <d v="2025-01-20T00:00:00"/>
    <x v="0"/>
    <x v="1"/>
    <x v="5"/>
    <s v="Q1"/>
    <n v="2025"/>
  </r>
  <r>
    <s v="CAN0129"/>
    <s v="Michael"/>
    <s v="Alvarado"/>
    <s v="Male"/>
    <n v="24"/>
    <s v="michael.alvarado28@gmail.com"/>
    <n v="9272703437"/>
    <s v="Jaipur"/>
    <s v="Rajasthan"/>
    <s v="MBA"/>
    <n v="8.6"/>
    <n v="16.2"/>
    <n v="23.2"/>
    <s v="30 Days"/>
    <x v="0"/>
    <d v="2025-10-22T00:00:00"/>
    <x v="0"/>
    <x v="0"/>
    <x v="8"/>
    <s v="Q4"/>
    <n v="2025"/>
  </r>
  <r>
    <s v="CAN0130"/>
    <s v="Nicholas"/>
    <s v="Cruz"/>
    <s v="Male"/>
    <n v="24"/>
    <s v="nicholas.cruz27@gmail.com"/>
    <n v="9870190817"/>
    <s v="Delhi"/>
    <s v="Delhi"/>
    <s v="BBA"/>
    <n v="1"/>
    <n v="7.6"/>
    <n v="10.1"/>
    <s v="60 Days"/>
    <x v="1"/>
    <d v="2025-07-30T00:00:00"/>
    <x v="0"/>
    <x v="0"/>
    <x v="7"/>
    <s v="Q3"/>
    <n v="2025"/>
  </r>
  <r>
    <s v="CAN0131"/>
    <s v="Christine"/>
    <s v="Baker"/>
    <s v="Female"/>
    <n v="32"/>
    <s v="christine.baker59@gmail.com"/>
    <n v="9325581790"/>
    <s v="Pune"/>
    <s v="Maharashtra"/>
    <s v="B.Tech"/>
    <n v="3.4"/>
    <n v="14.6"/>
    <n v="18.8"/>
    <s v="90 Days"/>
    <x v="5"/>
    <d v="2025-11-11T00:00:00"/>
    <x v="0"/>
    <x v="3"/>
    <x v="9"/>
    <s v="Q4"/>
    <n v="2025"/>
  </r>
  <r>
    <s v="CAN0132"/>
    <s v="Ronnie"/>
    <s v="Green"/>
    <s v="Male"/>
    <n v="21"/>
    <s v="ronnie.green8@gmail.com"/>
    <n v="9371074414"/>
    <s v="Chennai"/>
    <s v="Tamil Nadu"/>
    <s v="B.Com"/>
    <n v="0.5"/>
    <n v="8.1999999999999993"/>
    <n v="9.4"/>
    <s v="Immediate"/>
    <x v="6"/>
    <d v="2025-11-18T00:00:00"/>
    <x v="0"/>
    <x v="0"/>
    <x v="9"/>
    <s v="Q4"/>
    <n v="2025"/>
  </r>
  <r>
    <s v="CAN0133"/>
    <s v="Amanda"/>
    <s v="Young"/>
    <s v="Female"/>
    <n v="24"/>
    <s v="amanda.young46@gmail.com"/>
    <n v="9722958433"/>
    <s v="Chennai"/>
    <s v="Tamil Nadu"/>
    <s v="B.Tech"/>
    <n v="5.9"/>
    <n v="11.6"/>
    <n v="14.2"/>
    <s v="30 Days"/>
    <x v="4"/>
    <d v="2025-04-23T00:00:00"/>
    <x v="0"/>
    <x v="0"/>
    <x v="11"/>
    <s v="Q2"/>
    <n v="2025"/>
  </r>
  <r>
    <s v="CAN0134"/>
    <s v="Ashley"/>
    <s v="Jones"/>
    <s v="Other"/>
    <n v="29"/>
    <s v="ashley.jones51@gmail.com"/>
    <n v="9596193866"/>
    <s v="Hyderabad"/>
    <s v="Telangana"/>
    <s v="B.Tech"/>
    <n v="4.8"/>
    <n v="6.4"/>
    <n v="9.1"/>
    <s v="Immediate"/>
    <x v="3"/>
    <d v="2025-04-09T00:00:00"/>
    <x v="0"/>
    <x v="1"/>
    <x v="11"/>
    <s v="Q2"/>
    <n v="2025"/>
  </r>
  <r>
    <s v="CAN0135"/>
    <s v="Angela"/>
    <s v="Bartlett"/>
    <s v="Male"/>
    <n v="25"/>
    <s v="angela.bartlett72@gmail.com"/>
    <n v="9873850826"/>
    <s v="Hyderabad"/>
    <s v="Telangana"/>
    <s v="M.Sc"/>
    <n v="0"/>
    <n v="2.5"/>
    <n v="2.9"/>
    <s v="30 Days"/>
    <x v="3"/>
    <d v="2025-07-31T00:00:00"/>
    <x v="0"/>
    <x v="0"/>
    <x v="7"/>
    <s v="Q3"/>
    <n v="2025"/>
  </r>
  <r>
    <s v="CAN0136"/>
    <s v="Samantha"/>
    <s v="Mejia"/>
    <s v="Male"/>
    <n v="38"/>
    <s v="samantha.mejia38@gmail.com"/>
    <n v="9915923454"/>
    <s v="Kolkata"/>
    <s v="West Bengal"/>
    <s v="M.Tech"/>
    <n v="1.4"/>
    <n v="2.5"/>
    <n v="3.4"/>
    <s v="30 Days"/>
    <x v="3"/>
    <d v="2025-04-28T00:00:00"/>
    <x v="0"/>
    <x v="2"/>
    <x v="11"/>
    <s v="Q2"/>
    <n v="2025"/>
  </r>
  <r>
    <s v="CAN0137"/>
    <s v="Cynthia"/>
    <s v="Murray"/>
    <s v="Male"/>
    <n v="35"/>
    <s v="cynthia.murray49@gmail.com"/>
    <n v="9838145425"/>
    <s v="Chennai"/>
    <s v="Tamil Nadu"/>
    <s v="PhD"/>
    <n v="2.2000000000000002"/>
    <n v="14.3"/>
    <n v="19.2"/>
    <s v="30 Days"/>
    <x v="3"/>
    <d v="2025-05-24T00:00:00"/>
    <x v="0"/>
    <x v="3"/>
    <x v="10"/>
    <s v="Q2"/>
    <n v="2025"/>
  </r>
  <r>
    <s v="CAN0138"/>
    <s v="Kathryn"/>
    <s v="Gray"/>
    <s v="Male"/>
    <n v="21"/>
    <s v="kathryn.gray84@gmail.com"/>
    <n v="9424077050"/>
    <s v="Gurugram"/>
    <s v="Haryana"/>
    <s v="BBA"/>
    <n v="2.8"/>
    <n v="13.1"/>
    <n v="16.5"/>
    <s v="30 Days"/>
    <x v="5"/>
    <d v="2025-07-05T00:00:00"/>
    <x v="0"/>
    <x v="0"/>
    <x v="7"/>
    <s v="Q3"/>
    <n v="2025"/>
  </r>
  <r>
    <s v="CAN0139"/>
    <s v="Logan"/>
    <s v="Zimmerman"/>
    <s v="Male"/>
    <n v="29"/>
    <s v="logan.zimmerman39@gmail.com"/>
    <n v="9513509462"/>
    <s v="Bengaluru"/>
    <s v="Karnataka"/>
    <s v="B.Tech"/>
    <n v="0.5"/>
    <n v="3.8"/>
    <n v="5"/>
    <s v="15 Days"/>
    <x v="6"/>
    <d v="2025-09-29T00:00:00"/>
    <x v="0"/>
    <x v="1"/>
    <x v="2"/>
    <s v="Q3"/>
    <n v="2025"/>
  </r>
  <r>
    <s v="CAN0140"/>
    <s v="Gerald"/>
    <s v="Tran"/>
    <s v="Female"/>
    <n v="21"/>
    <s v="gerald.tran82@gmail.com"/>
    <n v="9725406665"/>
    <s v="Bengaluru"/>
    <s v="Karnataka"/>
    <s v="M.Tech"/>
    <n v="2"/>
    <n v="8.6999999999999993"/>
    <n v="10.3"/>
    <s v="Immediate"/>
    <x v="2"/>
    <d v="2025-11-08T00:00:00"/>
    <x v="0"/>
    <x v="0"/>
    <x v="9"/>
    <s v="Q4"/>
    <n v="2025"/>
  </r>
  <r>
    <s v="CAN0141"/>
    <s v="Jessica"/>
    <s v="Smith"/>
    <s v="Male"/>
    <n v="29"/>
    <s v="jessica.smith19@gmail.com"/>
    <n v="9350870590"/>
    <s v="Pune"/>
    <s v="Maharashtra"/>
    <s v="MBA"/>
    <n v="2.2999999999999998"/>
    <n v="12.2"/>
    <n v="15.1"/>
    <m/>
    <x v="6"/>
    <d v="2025-10-01T00:00:00"/>
    <x v="0"/>
    <x v="1"/>
    <x v="8"/>
    <s v="Q4"/>
    <n v="2025"/>
  </r>
  <r>
    <s v="CAN0142"/>
    <s v="Dr."/>
    <s v="Briggs"/>
    <s v="Male"/>
    <n v="28"/>
    <s v="dr..briggs89@gmail.com"/>
    <n v="9753229242"/>
    <s v="Chandigarh"/>
    <s v="Chandigarh"/>
    <s v="B.Tech"/>
    <n v="5.0999999999999996"/>
    <n v="13.9"/>
    <n v="19.7"/>
    <s v="30 Days"/>
    <x v="1"/>
    <d v="2025-06-02T00:00:00"/>
    <x v="0"/>
    <x v="1"/>
    <x v="0"/>
    <s v="Q2"/>
    <n v="2025"/>
  </r>
  <r>
    <s v="CAN0143"/>
    <s v="Andrea"/>
    <s v="Hamilton"/>
    <s v="Male"/>
    <n v="28"/>
    <s v="andrea.hamilton89@gmail.com"/>
    <n v="9328815215"/>
    <s v="Kolkata"/>
    <s v="West Bengal"/>
    <s v="B.Tech"/>
    <n v="1.1000000000000001"/>
    <n v="7.7"/>
    <n v="10.8"/>
    <s v="30 Days"/>
    <x v="0"/>
    <d v="2025-03-02T00:00:00"/>
    <x v="0"/>
    <x v="1"/>
    <x v="6"/>
    <s v="Q1"/>
    <n v="2025"/>
  </r>
  <r>
    <s v="CAN0144"/>
    <s v="Lisa"/>
    <s v="Gray"/>
    <s v="Male"/>
    <n v="30"/>
    <s v="lisa.gray30@gmail.com"/>
    <n v="9988042342"/>
    <s v="Pune"/>
    <s v="Maharashtra"/>
    <s v="BBA"/>
    <n v="4.4000000000000004"/>
    <m/>
    <n v="14.3"/>
    <s v="30 Days"/>
    <x v="6"/>
    <d v="2025-12-25T00:00:00"/>
    <x v="0"/>
    <x v="1"/>
    <x v="4"/>
    <s v="Q4"/>
    <n v="2025"/>
  </r>
  <r>
    <s v="CAN0145"/>
    <s v="Maria"/>
    <s v="Duke"/>
    <s v="Male"/>
    <n v="36"/>
    <s v="maria.duke64@gmail.com"/>
    <n v="9276755499"/>
    <s v="Kolkata"/>
    <s v="West Bengal"/>
    <s v="M.Tech"/>
    <n v="1.1000000000000001"/>
    <n v="9.4"/>
    <n v="12.8"/>
    <s v="15 Days"/>
    <x v="2"/>
    <d v="2025-12-23T00:00:00"/>
    <x v="0"/>
    <x v="2"/>
    <x v="4"/>
    <s v="Q4"/>
    <n v="2025"/>
  </r>
  <r>
    <s v="CAN0146"/>
    <s v="Jennifer"/>
    <s v="Shields"/>
    <s v="Female"/>
    <n v="29"/>
    <s v="jennifer.shields86@gmail.com"/>
    <n v="9418705292"/>
    <s v="Kochi"/>
    <s v="Kerala"/>
    <s v="BBA"/>
    <n v="5.3"/>
    <n v="11.6"/>
    <n v="14.6"/>
    <s v="90 Days"/>
    <x v="5"/>
    <d v="2025-04-03T00:00:00"/>
    <x v="0"/>
    <x v="1"/>
    <x v="11"/>
    <s v="Q2"/>
    <n v="2025"/>
  </r>
  <r>
    <s v="CAN0147"/>
    <s v="Robert"/>
    <s v="Baker"/>
    <s v="Female"/>
    <n v="25"/>
    <s v="robert.baker82@gmail.com"/>
    <n v="9794197228"/>
    <s v="Bengaluru"/>
    <s v="Karnataka"/>
    <s v="B.Tech"/>
    <n v="0.5"/>
    <n v="9.4"/>
    <n v="10.7"/>
    <s v="30 Days"/>
    <x v="4"/>
    <d v="2025-02-18T00:00:00"/>
    <x v="0"/>
    <x v="0"/>
    <x v="1"/>
    <s v="Q1"/>
    <n v="2025"/>
  </r>
  <r>
    <s v="CAN0148"/>
    <s v="Patricia"/>
    <s v="Andrade"/>
    <s v="Male"/>
    <n v="35"/>
    <s v="patricia.andrade63@gmail.com"/>
    <n v="9913006991"/>
    <s v="Indore"/>
    <s v="Madhya Pradesh"/>
    <s v="B.Tech"/>
    <n v="5.5"/>
    <n v="12.8"/>
    <n v="15.2"/>
    <s v="30 Days"/>
    <x v="0"/>
    <d v="2025-02-18T00:00:00"/>
    <x v="0"/>
    <x v="3"/>
    <x v="1"/>
    <s v="Q1"/>
    <n v="2025"/>
  </r>
  <r>
    <s v="CAN0149"/>
    <s v="Michael"/>
    <s v="Murray"/>
    <s v="Female"/>
    <n v="26"/>
    <s v="michael.murray47@gmail.com"/>
    <n v="9466480328"/>
    <s v="Delhi"/>
    <s v="Delhi"/>
    <m/>
    <n v="0.7"/>
    <n v="7.3"/>
    <n v="9.5"/>
    <s v="60 Days"/>
    <x v="2"/>
    <d v="2025-06-25T00:00:00"/>
    <x v="0"/>
    <x v="1"/>
    <x v="0"/>
    <s v="Q2"/>
    <n v="2025"/>
  </r>
  <r>
    <s v="CAN0150"/>
    <s v="Aaron"/>
    <s v="Ramirez"/>
    <s v="Male"/>
    <n v="23"/>
    <s v="aaron.ramirez71@gmail.com"/>
    <n v="9156607974"/>
    <s v="Kochi"/>
    <s v="Kerala"/>
    <s v="B.Sc"/>
    <n v="12.4"/>
    <n v="24.8"/>
    <n v="30.7"/>
    <s v="30 Days"/>
    <x v="2"/>
    <d v="2025-05-20T00:00:00"/>
    <x v="0"/>
    <x v="0"/>
    <x v="10"/>
    <s v="Q2"/>
    <n v="2025"/>
  </r>
  <r>
    <s v="CAN0151"/>
    <s v="Brandi"/>
    <s v="Hill"/>
    <s v="Female"/>
    <n v="24"/>
    <s v="brandi.hill45@gmail.com"/>
    <n v="9318540283"/>
    <s v="Pune"/>
    <s v="Maharashtra"/>
    <s v="BBA"/>
    <n v="1.4"/>
    <n v="9.6999999999999993"/>
    <n v="11.2"/>
    <s v="15 Days"/>
    <x v="5"/>
    <d v="2025-03-07T00:00:00"/>
    <x v="0"/>
    <x v="0"/>
    <x v="6"/>
    <s v="Q1"/>
    <n v="2025"/>
  </r>
  <r>
    <s v="CAN0152"/>
    <s v="Beth"/>
    <s v="Gordon"/>
    <s v="Female"/>
    <n v="28"/>
    <s v="beth.gordon82@gmail.com"/>
    <n v="9194034249"/>
    <s v="Chandigarh"/>
    <s v="Chandigarh"/>
    <s v="PhD"/>
    <n v="0.3"/>
    <n v="5.4"/>
    <n v="6.8"/>
    <s v="30 Days"/>
    <x v="2"/>
    <d v="2025-10-21T00:00:00"/>
    <x v="0"/>
    <x v="1"/>
    <x v="8"/>
    <s v="Q4"/>
    <n v="2025"/>
  </r>
  <r>
    <s v="CAN0153"/>
    <s v="Jennifer"/>
    <s v="Adkins"/>
    <s v="Male"/>
    <n v="28"/>
    <s v="jennifer.adkins39@gmail.com"/>
    <n v="9216501538"/>
    <s v="Bengaluru"/>
    <s v="Karnataka"/>
    <s v="B.Tech"/>
    <n v="2.7"/>
    <n v="11.7"/>
    <n v="16.3"/>
    <s v="30 Days"/>
    <x v="3"/>
    <d v="2025-01-31T00:00:00"/>
    <x v="0"/>
    <x v="1"/>
    <x v="5"/>
    <s v="Q1"/>
    <n v="2025"/>
  </r>
  <r>
    <s v="CAN0154"/>
    <s v="Leslie"/>
    <s v="Cooley"/>
    <s v="Female"/>
    <n v="32"/>
    <s v="leslie.cooley70@gmail.com"/>
    <n v="9756850935"/>
    <s v="Noida"/>
    <s v="Uttar Pradesh"/>
    <s v="M.Tech"/>
    <n v="1.5"/>
    <n v="10.199999999999999"/>
    <n v="13.5"/>
    <s v="30 Days"/>
    <x v="1"/>
    <d v="2025-12-15T00:00:00"/>
    <x v="0"/>
    <x v="3"/>
    <x v="4"/>
    <s v="Q4"/>
    <n v="2025"/>
  </r>
  <r>
    <s v="CAN0155"/>
    <s v="Maureen"/>
    <s v="Valenzuela"/>
    <s v="Male"/>
    <n v="31"/>
    <s v="maureen.valenzuela6@gmail.com"/>
    <n v="9816188128"/>
    <s v="Pune"/>
    <s v="Maharashtra"/>
    <s v="BBA"/>
    <n v="8.6999999999999993"/>
    <n v="18.7"/>
    <n v="25.7"/>
    <s v="Immediate"/>
    <x v="0"/>
    <d v="2025-01-19T00:00:00"/>
    <x v="0"/>
    <x v="3"/>
    <x v="5"/>
    <s v="Q1"/>
    <n v="2025"/>
  </r>
  <r>
    <s v="CAN0156"/>
    <s v="Richard"/>
    <s v="Cook"/>
    <s v="Male"/>
    <n v="25"/>
    <s v="richard.cook13@gmail.com"/>
    <n v="9804071242"/>
    <s v="Bengaluru"/>
    <s v="Karnataka"/>
    <s v="B.Com"/>
    <n v="1.4"/>
    <n v="6.7"/>
    <n v="9.3000000000000007"/>
    <s v="60 Days"/>
    <x v="1"/>
    <d v="2025-05-13T00:00:00"/>
    <x v="0"/>
    <x v="0"/>
    <x v="10"/>
    <s v="Q2"/>
    <n v="2025"/>
  </r>
  <r>
    <s v="CAN0157"/>
    <s v="Steven"/>
    <s v="Cabrera"/>
    <s v="Female"/>
    <n v="26"/>
    <s v="steven.cabrera24@gmail.com"/>
    <n v="9552887885"/>
    <s v="Bengaluru"/>
    <s v="Karnataka"/>
    <s v="B.Sc"/>
    <n v="0.1"/>
    <n v="3.3"/>
    <n v="4.2"/>
    <s v="30 Days"/>
    <x v="6"/>
    <d v="2025-01-28T00:00:00"/>
    <x v="0"/>
    <x v="1"/>
    <x v="5"/>
    <s v="Q1"/>
    <n v="2025"/>
  </r>
  <r>
    <s v="CAN0158"/>
    <s v="Daniel"/>
    <s v="Ross"/>
    <s v="Male"/>
    <n v="30"/>
    <s v="daniel.ross67@gmail.com"/>
    <n v="9142283358"/>
    <s v="Kochi"/>
    <s v="Kerala"/>
    <s v="B.Tech"/>
    <n v="1.9"/>
    <n v="10.3"/>
    <n v="14.3"/>
    <s v="30 Days"/>
    <x v="6"/>
    <d v="2025-08-17T00:00:00"/>
    <x v="0"/>
    <x v="1"/>
    <x v="3"/>
    <s v="Q3"/>
    <n v="2025"/>
  </r>
  <r>
    <s v="CAN0159"/>
    <s v="Christine"/>
    <s v="Woods"/>
    <s v="Male"/>
    <n v="22"/>
    <s v="christine.woods88@gmail.com"/>
    <n v="9515691458"/>
    <s v="Ahmedabad"/>
    <s v="Gujarat"/>
    <s v="M.Tech"/>
    <n v="1.9"/>
    <n v="7.3"/>
    <n v="10.4"/>
    <s v="90 Days"/>
    <x v="2"/>
    <d v="2025-07-31T00:00:00"/>
    <x v="0"/>
    <x v="0"/>
    <x v="7"/>
    <s v="Q3"/>
    <n v="2025"/>
  </r>
  <r>
    <s v="CAN0160"/>
    <s v="Helen"/>
    <s v="PhD"/>
    <s v="Female"/>
    <n v="31"/>
    <s v="helen.phd11@gmail.com"/>
    <n v="9792032856"/>
    <s v="Delhi"/>
    <s v="Delhi"/>
    <s v="B.Tech"/>
    <n v="3"/>
    <n v="10.1"/>
    <n v="11.8"/>
    <s v="Immediate"/>
    <x v="0"/>
    <d v="2025-12-17T00:00:00"/>
    <x v="0"/>
    <x v="3"/>
    <x v="4"/>
    <s v="Q4"/>
    <n v="2025"/>
  </r>
  <r>
    <s v="CAN0161"/>
    <s v="Sean"/>
    <s v="Cole"/>
    <s v="Female"/>
    <n v="24"/>
    <s v="sean.cole12@gmail.com"/>
    <n v="9334339003"/>
    <s v="Kochi"/>
    <s v="Kerala"/>
    <s v="B.Tech"/>
    <n v="1.6"/>
    <n v="6.7"/>
    <n v="8.5"/>
    <m/>
    <x v="1"/>
    <d v="2025-08-19T00:00:00"/>
    <x v="0"/>
    <x v="0"/>
    <x v="3"/>
    <s v="Q3"/>
    <n v="2025"/>
  </r>
  <r>
    <s v="CAN0162"/>
    <s v="Kathleen"/>
    <s v="Lopez"/>
    <s v="Female"/>
    <n v="33"/>
    <s v="kathleen.lopez24@gmail.com"/>
    <n v="9153836024"/>
    <s v="Gurugram"/>
    <s v="Haryana"/>
    <s v="MBA"/>
    <n v="6.2"/>
    <n v="13.5"/>
    <n v="18.3"/>
    <s v="60 Days"/>
    <x v="5"/>
    <d v="2025-02-13T00:00:00"/>
    <x v="0"/>
    <x v="3"/>
    <x v="1"/>
    <s v="Q1"/>
    <n v="2025"/>
  </r>
  <r>
    <s v="CAN0163"/>
    <s v="Christina"/>
    <s v="Christensen"/>
    <s v="Male"/>
    <n v="30"/>
    <s v="christina.christensen72@gmail.com"/>
    <n v="9861535445"/>
    <s v="Delhi"/>
    <s v="Delhi"/>
    <s v="BBA"/>
    <n v="2.2999999999999998"/>
    <n v="7.9"/>
    <n v="11.3"/>
    <s v="15 Days"/>
    <x v="4"/>
    <d v="2025-01-17T00:00:00"/>
    <x v="0"/>
    <x v="1"/>
    <x v="5"/>
    <s v="Q1"/>
    <n v="2025"/>
  </r>
  <r>
    <s v="CAN0164"/>
    <s v="Brenda"/>
    <s v="Elliott"/>
    <s v="Male"/>
    <n v="21"/>
    <s v="brenda.elliott2@gmail.com"/>
    <n v="9798681096"/>
    <s v="Pune"/>
    <s v="Maharashtra"/>
    <s v="M.Sc"/>
    <n v="3.1"/>
    <n v="14.1"/>
    <n v="16.2"/>
    <s v="15 Days"/>
    <x v="5"/>
    <d v="2025-03-26T00:00:00"/>
    <x v="0"/>
    <x v="0"/>
    <x v="6"/>
    <s v="Q1"/>
    <n v="2025"/>
  </r>
  <r>
    <s v="CAN0165"/>
    <s v="Janet"/>
    <s v="Martinez"/>
    <s v="Female"/>
    <n v="29"/>
    <s v="janet.martinez63@gmail.com"/>
    <n v="9753853155"/>
    <s v="Bengaluru"/>
    <s v="Karnataka"/>
    <m/>
    <n v="5"/>
    <n v="10.6"/>
    <n v="15.2"/>
    <s v="30 Days"/>
    <x v="2"/>
    <d v="2025-03-27T00:00:00"/>
    <x v="0"/>
    <x v="1"/>
    <x v="6"/>
    <s v="Q1"/>
    <n v="2025"/>
  </r>
  <r>
    <s v="CAN0166"/>
    <s v="Kyle"/>
    <s v="Smith"/>
    <s v="Male"/>
    <n v="25"/>
    <s v="kyle.smith15@gmail.com"/>
    <n v="9490053461"/>
    <s v="Pune"/>
    <s v="Maharashtra"/>
    <s v="B.Tech"/>
    <n v="0.6"/>
    <n v="7.8"/>
    <n v="10.8"/>
    <s v="30 Days"/>
    <x v="3"/>
    <d v="2025-08-20T00:00:00"/>
    <x v="0"/>
    <x v="0"/>
    <x v="3"/>
    <s v="Q3"/>
    <n v="2025"/>
  </r>
  <r>
    <s v="CAN0167"/>
    <s v="Scott"/>
    <s v="Tucker"/>
    <s v="Female"/>
    <n v="23"/>
    <s v="scott.tucker97@gmail.com"/>
    <n v="9708614627"/>
    <s v="Gurugram"/>
    <s v="Haryana"/>
    <s v="B.Sc"/>
    <n v="0.9"/>
    <n v="9.8000000000000007"/>
    <n v="11.2"/>
    <s v="90 Days"/>
    <x v="5"/>
    <d v="2025-11-04T00:00:00"/>
    <x v="0"/>
    <x v="0"/>
    <x v="9"/>
    <s v="Q4"/>
    <n v="2025"/>
  </r>
  <r>
    <s v="CAN0168"/>
    <s v="Thomas"/>
    <s v="Newman"/>
    <s v="Male"/>
    <n v="24"/>
    <s v="thomas.newman78@gmail.com"/>
    <n v="9879224582"/>
    <s v="Bengaluru"/>
    <s v="Karnataka"/>
    <s v="M.Sc"/>
    <n v="1.1000000000000001"/>
    <n v="7.9"/>
    <n v="10.4"/>
    <s v="15 Days"/>
    <x v="2"/>
    <d v="2025-05-07T00:00:00"/>
    <x v="0"/>
    <x v="0"/>
    <x v="10"/>
    <s v="Q2"/>
    <n v="2025"/>
  </r>
  <r>
    <s v="CAN0169"/>
    <s v="Wendy"/>
    <s v="Johnson"/>
    <s v="Male"/>
    <n v="28"/>
    <s v="wendy.johnson88@gmail.com"/>
    <n v="9503941567"/>
    <s v="Ahmedabad"/>
    <s v="Gujarat"/>
    <s v="MBA"/>
    <n v="3.7"/>
    <m/>
    <n v="11.7"/>
    <s v="30 Days"/>
    <x v="5"/>
    <d v="2025-06-14T00:00:00"/>
    <x v="0"/>
    <x v="1"/>
    <x v="0"/>
    <s v="Q2"/>
    <n v="2025"/>
  </r>
  <r>
    <s v="CAN0170"/>
    <s v="Ronnie"/>
    <s v="Meyers"/>
    <s v="Male"/>
    <n v="21"/>
    <s v="ronnie.meyers55@gmail.com"/>
    <n v="9268878587"/>
    <s v="Ahmedabad"/>
    <s v="Gujarat"/>
    <s v="MCA"/>
    <n v="0.4"/>
    <n v="9.1"/>
    <n v="12.5"/>
    <s v="60 Days"/>
    <x v="2"/>
    <d v="2025-03-14T00:00:00"/>
    <x v="0"/>
    <x v="0"/>
    <x v="6"/>
    <s v="Q1"/>
    <n v="2025"/>
  </r>
  <r>
    <s v="CAN0171"/>
    <s v="Debbie"/>
    <s v="Lam"/>
    <s v="Female"/>
    <n v="34"/>
    <s v="debbie.lam74@gmail.com"/>
    <n v="9257838996"/>
    <s v="Chennai"/>
    <s v="Tamil Nadu"/>
    <s v="CA"/>
    <n v="3.4"/>
    <n v="10.5"/>
    <n v="14.5"/>
    <s v="30 Days"/>
    <x v="3"/>
    <d v="2025-09-13T00:00:00"/>
    <x v="0"/>
    <x v="3"/>
    <x v="2"/>
    <s v="Q3"/>
    <n v="2025"/>
  </r>
  <r>
    <s v="CAN0172"/>
    <s v="Paul"/>
    <s v="Roach"/>
    <s v="Male"/>
    <n v="22"/>
    <s v="paul.roach11@gmail.com"/>
    <n v="9679800384"/>
    <s v="Kolkata"/>
    <s v="West Bengal"/>
    <s v="BBA"/>
    <n v="1.3"/>
    <n v="6.2"/>
    <n v="7.7"/>
    <s v="60 Days"/>
    <x v="5"/>
    <d v="2025-04-30T00:00:00"/>
    <x v="0"/>
    <x v="0"/>
    <x v="11"/>
    <s v="Q2"/>
    <n v="2025"/>
  </r>
  <r>
    <s v="CAN0173"/>
    <s v="John"/>
    <s v="Spencer"/>
    <s v="Male"/>
    <n v="23"/>
    <s v="john.spencer8@gmail.com"/>
    <n v="9827634013"/>
    <s v="Noida"/>
    <s v="Uttar Pradesh"/>
    <s v="BBA"/>
    <n v="0.1"/>
    <n v="5.0999999999999996"/>
    <n v="6.1"/>
    <s v="15 Days"/>
    <x v="3"/>
    <d v="2025-07-17T00:00:00"/>
    <x v="0"/>
    <x v="0"/>
    <x v="7"/>
    <s v="Q3"/>
    <n v="2025"/>
  </r>
  <r>
    <s v="CAN0174"/>
    <s v="Corey"/>
    <s v="Campbell"/>
    <s v="Male"/>
    <n v="26"/>
    <s v="corey.campbell12@gmail.com"/>
    <n v="9675688772"/>
    <s v="Chandigarh"/>
    <s v="Chandigarh"/>
    <s v="B.Com"/>
    <n v="5.6"/>
    <n v="22.3"/>
    <n v="25.4"/>
    <s v="30 Days"/>
    <x v="1"/>
    <d v="2025-05-13T00:00:00"/>
    <x v="0"/>
    <x v="1"/>
    <x v="10"/>
    <s v="Q2"/>
    <n v="2025"/>
  </r>
  <r>
    <s v="CAN0175"/>
    <s v="Matthew"/>
    <s v="Robertson"/>
    <s v="Female"/>
    <n v="38"/>
    <s v="matthew.robertson67@gmail.com"/>
    <n v="9444663392"/>
    <s v="Delhi"/>
    <s v="Delhi"/>
    <s v="BBA"/>
    <n v="0.5"/>
    <n v="4.7"/>
    <n v="5.6"/>
    <s v="15 Days"/>
    <x v="0"/>
    <d v="2025-12-25T00:00:00"/>
    <x v="0"/>
    <x v="2"/>
    <x v="4"/>
    <s v="Q4"/>
    <n v="2025"/>
  </r>
  <r>
    <s v="CAN0176"/>
    <s v="Megan"/>
    <s v="Adkins"/>
    <s v="Male"/>
    <n v="28"/>
    <s v="megan.adkins74@gmail.com"/>
    <n v="9706052959"/>
    <s v="Gurugram"/>
    <s v="Haryana"/>
    <m/>
    <n v="0.4"/>
    <n v="3.7"/>
    <n v="4.8"/>
    <s v="Immediate"/>
    <x v="0"/>
    <d v="2025-09-10T00:00:00"/>
    <x v="0"/>
    <x v="1"/>
    <x v="2"/>
    <s v="Q3"/>
    <n v="2025"/>
  </r>
  <r>
    <s v="CAN0177"/>
    <s v="Benjamin"/>
    <s v="Dunn"/>
    <s v="Male"/>
    <n v="30"/>
    <s v="benjamin.dunn14@gmail.com"/>
    <n v="9499075839"/>
    <s v="Pune"/>
    <s v="Maharashtra"/>
    <s v="BBA"/>
    <n v="0.7"/>
    <n v="15"/>
    <n v="17.2"/>
    <s v="15 Days"/>
    <x v="0"/>
    <d v="2025-05-24T00:00:00"/>
    <x v="0"/>
    <x v="1"/>
    <x v="10"/>
    <s v="Q2"/>
    <n v="2025"/>
  </r>
  <r>
    <s v="CAN0178"/>
    <s v="Elizabeth"/>
    <s v="Grant"/>
    <s v="Male"/>
    <n v="42"/>
    <s v="elizabeth.grant3@gmail.com"/>
    <n v="9201022751"/>
    <s v="Bengaluru"/>
    <s v="Karnataka"/>
    <m/>
    <n v="3"/>
    <n v="10.199999999999999"/>
    <n v="14.4"/>
    <s v="30 Days"/>
    <x v="1"/>
    <d v="2025-04-20T00:00:00"/>
    <x v="0"/>
    <x v="2"/>
    <x v="11"/>
    <s v="Q2"/>
    <n v="2025"/>
  </r>
  <r>
    <s v="CAN0179"/>
    <s v="Robert"/>
    <s v="Lopez"/>
    <s v="Male"/>
    <n v="25"/>
    <s v="robert.lopez36@gmail.com"/>
    <n v="9557360319"/>
    <s v="Mumbai"/>
    <s v="Maharashtra"/>
    <s v="MCA"/>
    <n v="5.2"/>
    <n v="14.6"/>
    <n v="20"/>
    <m/>
    <x v="4"/>
    <d v="2025-05-11T00:00:00"/>
    <x v="0"/>
    <x v="0"/>
    <x v="10"/>
    <s v="Q2"/>
    <n v="2025"/>
  </r>
  <r>
    <s v="CAN0180"/>
    <s v="Jenna"/>
    <s v="Johnson"/>
    <s v="Female"/>
    <n v="31"/>
    <s v="jenna.johnson44@gmail.com"/>
    <n v="9315810415"/>
    <s v="Pune"/>
    <s v="Maharashtra"/>
    <s v="B.Com"/>
    <n v="15.5"/>
    <n v="22.6"/>
    <n v="25.5"/>
    <s v="Immediate"/>
    <x v="2"/>
    <d v="2025-12-28T00:00:00"/>
    <x v="0"/>
    <x v="3"/>
    <x v="4"/>
    <s v="Q4"/>
    <n v="2025"/>
  </r>
  <r>
    <s v="CAN0181"/>
    <s v="David"/>
    <s v="Parsons"/>
    <s v="Male"/>
    <n v="31"/>
    <s v="david.parsons9@gmail.com"/>
    <n v="9742170818"/>
    <s v="Pune"/>
    <s v="Maharashtra"/>
    <s v="B.Com"/>
    <n v="2.6"/>
    <n v="11.4"/>
    <n v="13.2"/>
    <s v="90 Days"/>
    <x v="0"/>
    <d v="2025-10-17T00:00:00"/>
    <x v="0"/>
    <x v="3"/>
    <x v="8"/>
    <s v="Q4"/>
    <n v="2025"/>
  </r>
  <r>
    <s v="CAN0182"/>
    <s v="Leslie"/>
    <s v="Graham"/>
    <s v="Male"/>
    <n v="32"/>
    <s v="leslie.graham12@gmail.com"/>
    <n v="9819107969"/>
    <s v="Kolkata"/>
    <s v="West Bengal"/>
    <s v="B.Com"/>
    <n v="2.2000000000000002"/>
    <n v="9.1999999999999993"/>
    <n v="11.7"/>
    <s v="15 Days"/>
    <x v="4"/>
    <d v="2025-04-24T00:00:00"/>
    <x v="0"/>
    <x v="3"/>
    <x v="11"/>
    <s v="Q2"/>
    <n v="2025"/>
  </r>
  <r>
    <s v="CAN0183"/>
    <s v="Clayton"/>
    <s v="Smith"/>
    <s v="Male"/>
    <n v="26"/>
    <s v="clayton.smith33@gmail.com"/>
    <n v="9477968850"/>
    <s v="Bengaluru"/>
    <s v="Karnataka"/>
    <s v="MCA"/>
    <n v="0.9"/>
    <n v="7.7"/>
    <n v="10.9"/>
    <s v="60 Days"/>
    <x v="0"/>
    <d v="2025-09-20T00:00:00"/>
    <x v="0"/>
    <x v="1"/>
    <x v="2"/>
    <s v="Q3"/>
    <n v="2025"/>
  </r>
  <r>
    <s v="CAN0184"/>
    <s v="Jose"/>
    <s v="Wiley"/>
    <s v="Female"/>
    <n v="35"/>
    <s v="jose.wiley83@gmail.com"/>
    <n v="9917815280"/>
    <s v="Delhi"/>
    <s v="Delhi"/>
    <s v="B.Tech"/>
    <n v="0.5"/>
    <n v="4.4000000000000004"/>
    <n v="5.0999999999999996"/>
    <s v="60 Days"/>
    <x v="6"/>
    <d v="2025-12-13T00:00:00"/>
    <x v="0"/>
    <x v="3"/>
    <x v="4"/>
    <s v="Q4"/>
    <n v="2025"/>
  </r>
  <r>
    <s v="CAN0185"/>
    <s v="Alexandria"/>
    <s v="Love"/>
    <s v="Female"/>
    <n v="34"/>
    <s v="alexandria.love76@gmail.com"/>
    <n v="9735081064"/>
    <s v="Delhi"/>
    <s v="Delhi"/>
    <s v="MBA"/>
    <n v="3.6"/>
    <n v="7.5"/>
    <n v="8.6999999999999993"/>
    <s v="15 Days"/>
    <x v="0"/>
    <d v="2025-03-05T00:00:00"/>
    <x v="0"/>
    <x v="3"/>
    <x v="6"/>
    <s v="Q1"/>
    <n v="2025"/>
  </r>
  <r>
    <s v="CAN0186"/>
    <s v="Christopher"/>
    <s v="Bruce"/>
    <s v="Male"/>
    <n v="22"/>
    <s v="christopher.bruce49@gmail.com"/>
    <n v="9281008353"/>
    <s v="Delhi"/>
    <s v="Delhi"/>
    <s v="B.Sc"/>
    <n v="0.5"/>
    <n v="6.8"/>
    <n v="7.9"/>
    <s v="30 Days"/>
    <x v="0"/>
    <d v="2025-04-10T00:00:00"/>
    <x v="0"/>
    <x v="0"/>
    <x v="11"/>
    <s v="Q2"/>
    <n v="2025"/>
  </r>
  <r>
    <s v="CAN0187"/>
    <s v="Curtis"/>
    <s v="Duncan"/>
    <s v="Female"/>
    <n v="27"/>
    <s v="curtis.duncan21@gmail.com"/>
    <n v="9994251041"/>
    <s v="Hyderabad"/>
    <s v="Telangana"/>
    <s v="B.Tech"/>
    <n v="0.6"/>
    <n v="4.2"/>
    <n v="5.6"/>
    <s v="30 Days"/>
    <x v="3"/>
    <d v="2025-08-17T00:00:00"/>
    <x v="0"/>
    <x v="1"/>
    <x v="3"/>
    <s v="Q3"/>
    <n v="2025"/>
  </r>
  <r>
    <s v="CAN0188"/>
    <s v="Sally"/>
    <s v="Vance"/>
    <s v="Female"/>
    <n v="30"/>
    <s v="sally.vance50@gmail.com"/>
    <n v="9123338996"/>
    <s v="Pune"/>
    <s v="Maharashtra"/>
    <s v="B.Tech"/>
    <n v="1.7"/>
    <n v="8.4"/>
    <n v="12.1"/>
    <s v="15 Days"/>
    <x v="0"/>
    <d v="2025-03-01T00:00:00"/>
    <x v="0"/>
    <x v="1"/>
    <x v="6"/>
    <s v="Q1"/>
    <n v="2025"/>
  </r>
  <r>
    <s v="CAN0189"/>
    <s v="Mackenzie"/>
    <s v="Ford"/>
    <s v="Female"/>
    <n v="29"/>
    <s v="mackenzie.ford19@gmail.com"/>
    <n v="9456459817"/>
    <s v="Hyderabad"/>
    <s v="Telangana"/>
    <s v="MBA"/>
    <n v="9.1"/>
    <n v="13.8"/>
    <n v="16.3"/>
    <s v="30 Days"/>
    <x v="6"/>
    <d v="2025-08-13T00:00:00"/>
    <x v="0"/>
    <x v="1"/>
    <x v="3"/>
    <s v="Q3"/>
    <n v="2025"/>
  </r>
  <r>
    <s v="CAN0190"/>
    <s v="Ruben"/>
    <s v="Frank"/>
    <s v="Female"/>
    <n v="21"/>
    <s v="ruben.frank35@gmail.com"/>
    <n v="9549106497"/>
    <s v="Noida"/>
    <s v="Uttar Pradesh"/>
    <s v="B.Sc"/>
    <n v="2.1"/>
    <n v="11.3"/>
    <n v="12.8"/>
    <s v="30 Days"/>
    <x v="2"/>
    <d v="2025-03-27T00:00:00"/>
    <x v="0"/>
    <x v="0"/>
    <x v="6"/>
    <s v="Q1"/>
    <n v="2025"/>
  </r>
  <r>
    <s v="CAN0191"/>
    <s v="Carol"/>
    <s v="Mcgee"/>
    <s v="Male"/>
    <n v="25"/>
    <s v="carol.mcgee14@gmail.com"/>
    <n v="9441521687"/>
    <s v="Delhi"/>
    <s v="Delhi"/>
    <s v="MCA"/>
    <n v="7"/>
    <n v="12.4"/>
    <n v="14.4"/>
    <s v="90 Days"/>
    <x v="0"/>
    <d v="2025-12-09T00:00:00"/>
    <x v="0"/>
    <x v="0"/>
    <x v="4"/>
    <s v="Q4"/>
    <n v="2025"/>
  </r>
  <r>
    <s v="CAN0192"/>
    <s v="Jasmine"/>
    <s v="Gomez"/>
    <s v="Female"/>
    <n v="23"/>
    <s v="jasmine.gomez72@gmail.com"/>
    <n v="9612663781"/>
    <s v="Kochi"/>
    <s v="Kerala"/>
    <s v="B.Sc"/>
    <n v="0.2"/>
    <n v="5.7"/>
    <n v="6.9"/>
    <s v="15 Days"/>
    <x v="2"/>
    <d v="2025-05-14T00:00:00"/>
    <x v="0"/>
    <x v="0"/>
    <x v="10"/>
    <s v="Q2"/>
    <n v="2025"/>
  </r>
  <r>
    <s v="CAN0193"/>
    <s v="Douglas"/>
    <s v="Pope"/>
    <s v="Other"/>
    <n v="35"/>
    <s v="douglas.pope31@gmail.com"/>
    <n v="9204759463"/>
    <s v="Noida"/>
    <s v="Uttar Pradesh"/>
    <s v="B.Sc"/>
    <n v="3.7"/>
    <n v="14.9"/>
    <n v="21.1"/>
    <s v="Immediate"/>
    <x v="5"/>
    <d v="2025-05-31T00:00:00"/>
    <x v="0"/>
    <x v="3"/>
    <x v="10"/>
    <s v="Q2"/>
    <n v="2025"/>
  </r>
  <r>
    <s v="CAN0194"/>
    <s v="Lisa"/>
    <s v="Summers"/>
    <s v="Male"/>
    <n v="43"/>
    <s v="lisa.summers82@gmail.com"/>
    <n v="9117210500"/>
    <s v="Delhi"/>
    <s v="Delhi"/>
    <s v="M.Sc"/>
    <n v="4.0999999999999996"/>
    <n v="10.6"/>
    <n v="13.1"/>
    <s v="Immediate"/>
    <x v="0"/>
    <d v="2025-09-27T00:00:00"/>
    <x v="0"/>
    <x v="2"/>
    <x v="2"/>
    <s v="Q3"/>
    <n v="2025"/>
  </r>
  <r>
    <s v="CAN0195"/>
    <s v="Christian"/>
    <s v="Sherman"/>
    <s v="Male"/>
    <n v="37"/>
    <s v="christian.sherman47@gmail.com"/>
    <n v="9567345470"/>
    <s v="Bengaluru"/>
    <s v="Karnataka"/>
    <s v="MCA"/>
    <n v="0.4"/>
    <n v="7"/>
    <n v="8.3000000000000007"/>
    <s v="30 Days"/>
    <x v="0"/>
    <d v="2025-04-03T00:00:00"/>
    <x v="0"/>
    <x v="2"/>
    <x v="11"/>
    <s v="Q2"/>
    <n v="2025"/>
  </r>
  <r>
    <s v="CAN0196"/>
    <s v="Mrs."/>
    <s v="Patterson"/>
    <s v="Male"/>
    <n v="29"/>
    <s v="mrs..patterson30@gmail.com"/>
    <n v="9864094322"/>
    <s v="Pune"/>
    <s v="Maharashtra"/>
    <s v="B.Tech"/>
    <n v="1.1000000000000001"/>
    <n v="10"/>
    <n v="11.5"/>
    <s v="Immediate"/>
    <x v="1"/>
    <d v="2025-09-11T00:00:00"/>
    <x v="0"/>
    <x v="1"/>
    <x v="2"/>
    <s v="Q3"/>
    <n v="2025"/>
  </r>
  <r>
    <s v="CAN0197"/>
    <s v="Christian"/>
    <s v="Strong"/>
    <s v="Female"/>
    <n v="33"/>
    <s v="christian.strong23@gmail.com"/>
    <n v="9321225083"/>
    <s v="Pune"/>
    <s v="Maharashtra"/>
    <s v="M.Tech"/>
    <n v="2.6"/>
    <n v="11.7"/>
    <n v="15.8"/>
    <s v="60 Days"/>
    <x v="1"/>
    <d v="2025-04-14T00:00:00"/>
    <x v="0"/>
    <x v="3"/>
    <x v="11"/>
    <s v="Q2"/>
    <n v="2025"/>
  </r>
  <r>
    <s v="CAN0198"/>
    <s v="Tony"/>
    <s v="Clark"/>
    <s v="Male"/>
    <n v="29"/>
    <s v="tony.clark89@gmail.com"/>
    <n v="9886747013"/>
    <s v="Kolkata"/>
    <s v="West Bengal"/>
    <s v="B.Com"/>
    <n v="1.8"/>
    <n v="3"/>
    <n v="4.0999999999999996"/>
    <s v="Immediate"/>
    <x v="3"/>
    <d v="2025-06-21T00:00:00"/>
    <x v="0"/>
    <x v="1"/>
    <x v="0"/>
    <s v="Q2"/>
    <n v="2025"/>
  </r>
  <r>
    <s v="CAN0199"/>
    <s v="Alex"/>
    <s v="Stout"/>
    <s v="Male"/>
    <n v="28"/>
    <s v="alex.stout82@gmail.com"/>
    <n v="9629373090"/>
    <s v="Mumbai"/>
    <s v="Maharashtra"/>
    <s v="B.Tech"/>
    <n v="4"/>
    <n v="9"/>
    <n v="12.8"/>
    <s v="30 Days"/>
    <x v="6"/>
    <d v="2025-05-17T00:00:00"/>
    <x v="0"/>
    <x v="1"/>
    <x v="10"/>
    <s v="Q2"/>
    <n v="2025"/>
  </r>
  <r>
    <s v="CAN0200"/>
    <s v="Carly"/>
    <s v="Mckenzie"/>
    <s v="Male"/>
    <n v="36"/>
    <s v="carly.mckenzie73@gmail.com"/>
    <n v="9992948204"/>
    <s v="Gurugram"/>
    <s v="Haryana"/>
    <s v="B.Tech"/>
    <n v="6.3"/>
    <n v="14.7"/>
    <n v="19.899999999999999"/>
    <s v="30 Days"/>
    <x v="6"/>
    <d v="2025-07-02T00:00:00"/>
    <x v="0"/>
    <x v="2"/>
    <x v="7"/>
    <s v="Q3"/>
    <n v="2025"/>
  </r>
  <r>
    <s v="CAN0201"/>
    <s v="Andrew"/>
    <s v="Dickerson"/>
    <s v="Male"/>
    <n v="35"/>
    <s v="andrew.dickerson58@gmail.com"/>
    <n v="9653648588"/>
    <s v="Mumbai"/>
    <s v="Maharashtra"/>
    <s v="B.Tech"/>
    <n v="1.4"/>
    <n v="4.0999999999999996"/>
    <n v="5.6"/>
    <s v="60 Days"/>
    <x v="6"/>
    <d v="2025-06-14T00:00:00"/>
    <x v="0"/>
    <x v="3"/>
    <x v="0"/>
    <s v="Q2"/>
    <n v="2025"/>
  </r>
  <r>
    <s v="CAN0202"/>
    <s v="Kurt"/>
    <s v="Smith"/>
    <s v="Female"/>
    <n v="34"/>
    <s v="kurt.smith49@gmail.com"/>
    <n v="9718810062"/>
    <s v="Chandigarh"/>
    <s v="Chandigarh"/>
    <m/>
    <n v="1"/>
    <n v="2.9"/>
    <n v="3.5"/>
    <s v="Immediate"/>
    <x v="3"/>
    <d v="2025-08-17T00:00:00"/>
    <x v="0"/>
    <x v="3"/>
    <x v="3"/>
    <s v="Q3"/>
    <n v="2025"/>
  </r>
  <r>
    <s v="CAN0203"/>
    <s v="Elaine"/>
    <s v="Hall"/>
    <s v="Male"/>
    <n v="30"/>
    <s v="elaine.hall68@gmail.com"/>
    <n v="9963827604"/>
    <s v="Kolkata"/>
    <s v="West Bengal"/>
    <s v="B.Tech"/>
    <n v="2.4"/>
    <n v="9"/>
    <n v="10.8"/>
    <m/>
    <x v="1"/>
    <d v="2025-03-27T00:00:00"/>
    <x v="0"/>
    <x v="1"/>
    <x v="6"/>
    <s v="Q1"/>
    <n v="2025"/>
  </r>
  <r>
    <s v="CAN0204"/>
    <s v="Karen"/>
    <s v="Fuller"/>
    <s v="Male"/>
    <n v="23"/>
    <s v="karen.fuller33@gmail.com"/>
    <n v="9696313505"/>
    <s v="Kochi"/>
    <s v="Kerala"/>
    <s v="CA"/>
    <n v="8.6999999999999993"/>
    <n v="11.4"/>
    <n v="12.8"/>
    <s v="60 Days"/>
    <x v="3"/>
    <d v="2025-05-14T00:00:00"/>
    <x v="0"/>
    <x v="0"/>
    <x v="10"/>
    <s v="Q2"/>
    <n v="2025"/>
  </r>
  <r>
    <s v="CAN0205"/>
    <s v="David"/>
    <s v="Taylor"/>
    <s v="Male"/>
    <n v="25"/>
    <s v="david.taylor77@gmail.com"/>
    <n v="9783798727"/>
    <s v="Ahmedabad"/>
    <s v="Gujarat"/>
    <s v="BBA"/>
    <n v="1.7"/>
    <n v="9.5"/>
    <n v="11.4"/>
    <s v="30 Days"/>
    <x v="2"/>
    <d v="2025-02-18T00:00:00"/>
    <x v="0"/>
    <x v="0"/>
    <x v="1"/>
    <s v="Q1"/>
    <n v="2025"/>
  </r>
  <r>
    <s v="CAN0206"/>
    <s v="Jacob"/>
    <s v="Andrews"/>
    <s v="Female"/>
    <n v="21"/>
    <s v="jacob.andrews6@gmail.com"/>
    <n v="9393145555"/>
    <s v="Mumbai"/>
    <s v="Maharashtra"/>
    <s v="BBA"/>
    <n v="2"/>
    <n v="9.6"/>
    <n v="12.6"/>
    <s v="60 Days"/>
    <x v="0"/>
    <d v="2025-03-04T00:00:00"/>
    <x v="0"/>
    <x v="0"/>
    <x v="6"/>
    <s v="Q1"/>
    <n v="2025"/>
  </r>
  <r>
    <s v="CAN0207"/>
    <s v="Lauren"/>
    <s v="Moyer"/>
    <s v="Male"/>
    <n v="27"/>
    <s v="lauren.moyer18@gmail.com"/>
    <n v="9681536088"/>
    <s v="Ahmedabad"/>
    <s v="Gujarat"/>
    <s v="B.Sc"/>
    <n v="0.2"/>
    <n v="8.9"/>
    <n v="10.6"/>
    <s v="30 Days"/>
    <x v="2"/>
    <d v="2025-07-23T00:00:00"/>
    <x v="0"/>
    <x v="1"/>
    <x v="7"/>
    <s v="Q3"/>
    <n v="2025"/>
  </r>
  <r>
    <s v="CAN0208"/>
    <s v="Joshua"/>
    <s v="Montes"/>
    <s v="Male"/>
    <n v="32"/>
    <s v="joshua.montes3@gmail.com"/>
    <n v="9781816911"/>
    <s v="Noida"/>
    <s v="Uttar Pradesh"/>
    <s v="MBA"/>
    <n v="1.2"/>
    <n v="6"/>
    <n v="7.9"/>
    <s v="30 Days"/>
    <x v="0"/>
    <d v="2025-01-27T00:00:00"/>
    <x v="0"/>
    <x v="3"/>
    <x v="5"/>
    <s v="Q1"/>
    <n v="2025"/>
  </r>
  <r>
    <s v="CAN0209"/>
    <s v="Brian"/>
    <s v="Cameron"/>
    <s v="Female"/>
    <n v="23"/>
    <s v="brian.cameron44@gmail.com"/>
    <n v="9530255655"/>
    <s v="Hyderabad"/>
    <s v="Telangana"/>
    <s v="M.Sc"/>
    <n v="6"/>
    <n v="18"/>
    <n v="24.4"/>
    <s v="60 Days"/>
    <x v="1"/>
    <d v="2025-06-14T00:00:00"/>
    <x v="0"/>
    <x v="0"/>
    <x v="0"/>
    <s v="Q2"/>
    <n v="2025"/>
  </r>
  <r>
    <s v="CAN0210"/>
    <s v="Anna"/>
    <s v="Marshall"/>
    <s v="Female"/>
    <n v="26"/>
    <s v="anna.marshall72@gmail.com"/>
    <n v="9157502286"/>
    <s v="Gurugram"/>
    <s v="Haryana"/>
    <s v="BBA"/>
    <n v="3.3"/>
    <n v="9.9"/>
    <n v="14.2"/>
    <s v="90 Days"/>
    <x v="0"/>
    <d v="2025-08-05T00:00:00"/>
    <x v="0"/>
    <x v="1"/>
    <x v="3"/>
    <s v="Q3"/>
    <n v="2025"/>
  </r>
  <r>
    <s v="CAN0211"/>
    <s v="James"/>
    <s v="DDS"/>
    <s v="Female"/>
    <n v="23"/>
    <s v="james.dds2@gmail.com"/>
    <n v="9491305848"/>
    <s v="Mumbai"/>
    <s v="Maharashtra"/>
    <s v="M.Tech"/>
    <n v="3.5"/>
    <n v="8.4"/>
    <n v="9.6"/>
    <s v="30 Days"/>
    <x v="1"/>
    <d v="2025-01-11T00:00:00"/>
    <x v="0"/>
    <x v="0"/>
    <x v="5"/>
    <s v="Q1"/>
    <n v="2025"/>
  </r>
  <r>
    <s v="CAN0212"/>
    <s v="Kathleen"/>
    <s v="Spears"/>
    <s v="Male"/>
    <n v="27"/>
    <s v="kathleen.spears54@gmail.com"/>
    <n v="9526330948"/>
    <s v="Chandigarh"/>
    <s v="Chandigarh"/>
    <s v="PhD"/>
    <n v="5"/>
    <n v="15.4"/>
    <n v="19.600000000000001"/>
    <s v="Immediate"/>
    <x v="4"/>
    <d v="2025-01-21T00:00:00"/>
    <x v="0"/>
    <x v="1"/>
    <x v="5"/>
    <s v="Q1"/>
    <n v="2025"/>
  </r>
  <r>
    <s v="CAN0213"/>
    <s v="Jennifer"/>
    <s v="Cruz"/>
    <s v="Male"/>
    <n v="39"/>
    <s v="jennifer.cruz83@gmail.com"/>
    <n v="9766714113"/>
    <s v="Chennai"/>
    <s v="Tamil Nadu"/>
    <s v="MCA"/>
    <n v="0.8"/>
    <n v="3.4"/>
    <n v="4.5"/>
    <s v="30 Days"/>
    <x v="3"/>
    <d v="2025-01-19T00:00:00"/>
    <x v="0"/>
    <x v="2"/>
    <x v="5"/>
    <s v="Q1"/>
    <n v="2025"/>
  </r>
  <r>
    <s v="CAN0214"/>
    <s v="Kari"/>
    <s v="Sparks"/>
    <s v="Female"/>
    <n v="23"/>
    <s v="kari.sparks33@gmail.com"/>
    <n v="9230673949"/>
    <s v="Kolkata"/>
    <s v="West Bengal"/>
    <s v="B.Tech"/>
    <n v="3.5"/>
    <n v="2.5"/>
    <n v="3"/>
    <s v="Immediate"/>
    <x v="0"/>
    <d v="2025-06-27T00:00:00"/>
    <x v="0"/>
    <x v="0"/>
    <x v="0"/>
    <s v="Q2"/>
    <n v="2025"/>
  </r>
  <r>
    <s v="CAN0215"/>
    <s v="Colton"/>
    <s v="Daniels"/>
    <s v="Female"/>
    <n v="26"/>
    <s v="colton.daniels16@gmail.com"/>
    <n v="9164788806"/>
    <s v="Ahmedabad"/>
    <s v="Gujarat"/>
    <s v="CA"/>
    <n v="3"/>
    <n v="6.7"/>
    <n v="9.5"/>
    <m/>
    <x v="0"/>
    <d v="2025-10-30T00:00:00"/>
    <x v="0"/>
    <x v="1"/>
    <x v="8"/>
    <s v="Q4"/>
    <n v="2025"/>
  </r>
  <r>
    <s v="CAN0216"/>
    <s v="Susan"/>
    <s v="Grimes"/>
    <s v="Male"/>
    <n v="34"/>
    <s v="susan.grimes19@gmail.com"/>
    <n v="9572421861"/>
    <s v="Mumbai"/>
    <s v="Maharashtra"/>
    <s v="BBA"/>
    <n v="0.9"/>
    <n v="3"/>
    <n v="4.2"/>
    <s v="60 Days"/>
    <x v="1"/>
    <d v="2025-05-21T00:00:00"/>
    <x v="0"/>
    <x v="3"/>
    <x v="10"/>
    <s v="Q2"/>
    <n v="2025"/>
  </r>
  <r>
    <s v="CAN0217"/>
    <s v="Sandra"/>
    <s v="Boyd"/>
    <s v="Male"/>
    <n v="29"/>
    <s v="sandra.boyd12@gmail.com"/>
    <n v="9895002293"/>
    <s v="Kolkata"/>
    <s v="West Bengal"/>
    <s v="B.Sc"/>
    <n v="4.2"/>
    <n v="7.5"/>
    <n v="9.5"/>
    <s v="30 Days"/>
    <x v="0"/>
    <d v="2025-07-17T00:00:00"/>
    <x v="0"/>
    <x v="1"/>
    <x v="7"/>
    <s v="Q3"/>
    <n v="2025"/>
  </r>
  <r>
    <s v="CAN0218"/>
    <s v="Arthur"/>
    <s v="Mora"/>
    <s v="Male"/>
    <n v="22"/>
    <s v="arthur.mora91@gmail.com"/>
    <n v="9493863266"/>
    <s v="Delhi"/>
    <s v="Delhi"/>
    <s v="MCA"/>
    <n v="11.8"/>
    <n v="17.5"/>
    <n v="21.4"/>
    <s v="30 Days"/>
    <x v="3"/>
    <d v="2025-01-16T00:00:00"/>
    <x v="0"/>
    <x v="0"/>
    <x v="5"/>
    <s v="Q1"/>
    <n v="2025"/>
  </r>
  <r>
    <s v="CAN0219"/>
    <s v="Timothy"/>
    <s v="PhD"/>
    <s v="Male"/>
    <n v="27"/>
    <s v="timothy.phd29@gmail.com"/>
    <n v="9302726844"/>
    <s v="Kolkata"/>
    <s v="West Bengal"/>
    <s v="M.Tech"/>
    <n v="0.3"/>
    <n v="3.7"/>
    <n v="5.3"/>
    <s v="30 Days"/>
    <x v="6"/>
    <d v="2025-03-25T00:00:00"/>
    <x v="0"/>
    <x v="1"/>
    <x v="6"/>
    <s v="Q1"/>
    <n v="2025"/>
  </r>
  <r>
    <s v="CAN0220"/>
    <s v="Sean"/>
    <s v="Rocha"/>
    <s v="Female"/>
    <n v="32"/>
    <s v="sean.rocha31@gmail.com"/>
    <n v="9447841361"/>
    <s v="Kolkata"/>
    <s v="West Bengal"/>
    <s v="B.Com"/>
    <n v="1.8"/>
    <n v="9.5"/>
    <n v="11.5"/>
    <s v="60 Days"/>
    <x v="0"/>
    <d v="2025-01-30T00:00:00"/>
    <x v="0"/>
    <x v="3"/>
    <x v="5"/>
    <s v="Q1"/>
    <n v="2025"/>
  </r>
  <r>
    <s v="CAN0221"/>
    <s v="Hannah"/>
    <s v="Bush"/>
    <s v="Female"/>
    <n v="31"/>
    <s v="hannah.bush21@gmail.com"/>
    <n v="9691769757"/>
    <s v="Mumbai"/>
    <s v="Maharashtra"/>
    <s v="M.Tech"/>
    <n v="0.9"/>
    <n v="11.6"/>
    <n v="14.3"/>
    <s v="30 Days"/>
    <x v="1"/>
    <d v="2025-08-14T00:00:00"/>
    <x v="0"/>
    <x v="3"/>
    <x v="3"/>
    <s v="Q3"/>
    <n v="2025"/>
  </r>
  <r>
    <s v="CAN0222"/>
    <s v="Melissa"/>
    <s v="Phelps"/>
    <s v="Male"/>
    <n v="26"/>
    <s v="melissa.phelps98@gmail.com"/>
    <n v="9217300116"/>
    <s v="Kolkata"/>
    <s v="West Bengal"/>
    <s v="B.Sc"/>
    <n v="1.9"/>
    <n v="9"/>
    <n v="12.9"/>
    <s v="30 Days"/>
    <x v="0"/>
    <d v="2025-06-22T00:00:00"/>
    <x v="0"/>
    <x v="1"/>
    <x v="0"/>
    <s v="Q2"/>
    <n v="2025"/>
  </r>
  <r>
    <s v="CAN0223"/>
    <s v="Barbara"/>
    <s v="Wheeler"/>
    <s v="Female"/>
    <n v="37"/>
    <s v="barbara.wheeler18@gmail.com"/>
    <n v="9825145069"/>
    <s v="Hyderabad"/>
    <s v="Telangana"/>
    <s v="M.Tech"/>
    <n v="6.1"/>
    <n v="17.8"/>
    <n v="24.9"/>
    <s v="60 Days"/>
    <x v="1"/>
    <d v="2025-09-01T00:00:00"/>
    <x v="0"/>
    <x v="2"/>
    <x v="2"/>
    <s v="Q3"/>
    <n v="2025"/>
  </r>
  <r>
    <s v="CAN0224"/>
    <s v="Kerry"/>
    <s v="Andrade"/>
    <s v="Male"/>
    <n v="21"/>
    <s v="kerry.andrade81@gmail.com"/>
    <n v="9860801941"/>
    <s v="Pune"/>
    <s v="Maharashtra"/>
    <s v="MCA"/>
    <n v="8.1999999999999993"/>
    <n v="19.3"/>
    <n v="22.4"/>
    <s v="60 Days"/>
    <x v="0"/>
    <d v="2025-10-09T00:00:00"/>
    <x v="0"/>
    <x v="0"/>
    <x v="8"/>
    <s v="Q4"/>
    <n v="2025"/>
  </r>
  <r>
    <s v="CAN0225"/>
    <s v="Amanda"/>
    <s v="Schmidt"/>
    <s v="Female"/>
    <n v="22"/>
    <s v="amanda.schmidt64@gmail.com"/>
    <n v="9526805305"/>
    <s v="Ahmedabad"/>
    <s v="Gujarat"/>
    <s v="B.Tech"/>
    <n v="1.2"/>
    <n v="2.5"/>
    <n v="3.5"/>
    <s v="15 Days"/>
    <x v="1"/>
    <d v="2025-02-26T00:00:00"/>
    <x v="0"/>
    <x v="0"/>
    <x v="1"/>
    <s v="Q1"/>
    <n v="2025"/>
  </r>
  <r>
    <s v="CAN0226"/>
    <s v="Jason"/>
    <s v="Fisher"/>
    <s v="Male"/>
    <n v="26"/>
    <s v="jason.fisher58@gmail.com"/>
    <n v="9843720192"/>
    <s v="Delhi"/>
    <s v="Delhi"/>
    <s v="B.Sc"/>
    <n v="0.7"/>
    <n v="8.1"/>
    <n v="10"/>
    <s v="30 Days"/>
    <x v="1"/>
    <d v="2025-11-01T00:00:00"/>
    <x v="0"/>
    <x v="1"/>
    <x v="9"/>
    <s v="Q4"/>
    <n v="2025"/>
  </r>
  <r>
    <s v="CAN0227"/>
    <s v="Richard"/>
    <s v="Nelson"/>
    <s v="Male"/>
    <n v="30"/>
    <s v="richard.nelson42@gmail.com"/>
    <n v="9107260639"/>
    <s v="Chandigarh"/>
    <s v="Chandigarh"/>
    <s v="MBA"/>
    <n v="1.2"/>
    <n v="10.1"/>
    <n v="14.6"/>
    <s v="30 Days"/>
    <x v="2"/>
    <d v="2025-10-02T00:00:00"/>
    <x v="0"/>
    <x v="1"/>
    <x v="8"/>
    <s v="Q4"/>
    <n v="2025"/>
  </r>
  <r>
    <s v="CAN0228"/>
    <s v="Benjamin"/>
    <s v="Gonzales"/>
    <s v="Male"/>
    <n v="34"/>
    <s v="benjamin.gonzales19@gmail.com"/>
    <n v="9567771192"/>
    <s v="Ahmedabad"/>
    <s v="Gujarat"/>
    <s v="B.Com"/>
    <n v="4.5999999999999996"/>
    <n v="10.9"/>
    <n v="13"/>
    <s v="60 Days"/>
    <x v="2"/>
    <d v="2025-11-08T00:00:00"/>
    <x v="0"/>
    <x v="3"/>
    <x v="9"/>
    <s v="Q4"/>
    <n v="2025"/>
  </r>
  <r>
    <s v="CAN0229"/>
    <s v="Patricia"/>
    <s v="Foster"/>
    <s v="Female"/>
    <n v="34"/>
    <s v="patricia.foster42@gmail.com"/>
    <n v="9319375683"/>
    <s v="Noida"/>
    <s v="Uttar Pradesh"/>
    <s v="MCA"/>
    <n v="3.2"/>
    <n v="9.4"/>
    <n v="13.5"/>
    <s v="Immediate"/>
    <x v="0"/>
    <d v="2025-09-12T00:00:00"/>
    <x v="0"/>
    <x v="3"/>
    <x v="2"/>
    <s v="Q3"/>
    <n v="2025"/>
  </r>
  <r>
    <s v="CAN0230"/>
    <s v="Sherri"/>
    <s v="Dunlap"/>
    <s v="Male"/>
    <n v="25"/>
    <s v="sherri.dunlap69@gmail.com"/>
    <n v="9930519543"/>
    <s v="Chennai"/>
    <s v="Tamil Nadu"/>
    <s v="M.Tech"/>
    <n v="2.8"/>
    <m/>
    <n v="5.7"/>
    <s v="30 Days"/>
    <x v="1"/>
    <d v="2025-12-17T00:00:00"/>
    <x v="0"/>
    <x v="0"/>
    <x v="4"/>
    <s v="Q4"/>
    <n v="2025"/>
  </r>
  <r>
    <s v="CAN0231"/>
    <s v="Brooke"/>
    <s v="Harper"/>
    <s v="Male"/>
    <n v="30"/>
    <s v="brooke.harper60@gmail.com"/>
    <n v="9484090395"/>
    <s v="Bengaluru"/>
    <s v="Karnataka"/>
    <s v="M.Tech"/>
    <n v="3.3"/>
    <n v="15.9"/>
    <n v="19.7"/>
    <s v="90 Days"/>
    <x v="5"/>
    <d v="2025-09-26T00:00:00"/>
    <x v="0"/>
    <x v="1"/>
    <x v="2"/>
    <s v="Q3"/>
    <n v="2025"/>
  </r>
  <r>
    <s v="CAN0232"/>
    <s v="Christopher"/>
    <s v="Mccarthy"/>
    <s v="Male"/>
    <n v="24"/>
    <s v="christopher.mccarthy53@gmail.com"/>
    <n v="9502025682"/>
    <s v="Kolkata"/>
    <s v="West Bengal"/>
    <s v="B.Com"/>
    <n v="3.7"/>
    <n v="7.7"/>
    <n v="10.1"/>
    <s v="30 Days"/>
    <x v="6"/>
    <d v="2025-08-04T00:00:00"/>
    <x v="0"/>
    <x v="0"/>
    <x v="3"/>
    <s v="Q3"/>
    <n v="2025"/>
  </r>
  <r>
    <s v="CAN0233"/>
    <s v="Ryan"/>
    <s v="Bates"/>
    <s v="Male"/>
    <n v="24"/>
    <s v="ryan.bates57@gmail.com"/>
    <n v="9923912230"/>
    <s v="Ahmedabad"/>
    <s v="Gujarat"/>
    <s v="MCA"/>
    <n v="9"/>
    <n v="21.8"/>
    <n v="28.6"/>
    <s v="30 Days"/>
    <x v="3"/>
    <d v="2025-02-17T00:00:00"/>
    <x v="0"/>
    <x v="0"/>
    <x v="1"/>
    <s v="Q1"/>
    <n v="2025"/>
  </r>
  <r>
    <s v="CAN0234"/>
    <s v="Ryan"/>
    <s v="Marks"/>
    <s v="Male"/>
    <n v="34"/>
    <s v="ryan.marks41@gmail.com"/>
    <n v="9493695718"/>
    <s v="Mumbai"/>
    <s v="Maharashtra"/>
    <s v="M.Sc"/>
    <n v="1.6"/>
    <n v="11.1"/>
    <n v="14.3"/>
    <s v="Immediate"/>
    <x v="6"/>
    <d v="2025-12-20T00:00:00"/>
    <x v="0"/>
    <x v="3"/>
    <x v="4"/>
    <s v="Q4"/>
    <n v="2025"/>
  </r>
  <r>
    <s v="CAN0235"/>
    <s v="Jamie"/>
    <s v="Harris"/>
    <s v="Male"/>
    <n v="24"/>
    <s v="jamie.harris66@gmail.com"/>
    <n v="9551924124"/>
    <s v="Pune"/>
    <s v="Maharashtra"/>
    <s v="B.Tech"/>
    <n v="0.9"/>
    <m/>
    <n v="7.1"/>
    <s v="30 Days"/>
    <x v="1"/>
    <d v="2025-04-07T00:00:00"/>
    <x v="0"/>
    <x v="0"/>
    <x v="11"/>
    <s v="Q2"/>
    <n v="2025"/>
  </r>
  <r>
    <s v="CAN0236"/>
    <s v="Michele"/>
    <s v="Stein"/>
    <s v="Male"/>
    <n v="38"/>
    <s v="michele.stein8@gmail.com"/>
    <n v="9776562780"/>
    <s v="Ahmedabad"/>
    <s v="Gujarat"/>
    <s v="M.Tech"/>
    <n v="10.3"/>
    <n v="20"/>
    <n v="24.7"/>
    <s v="90 Days"/>
    <x v="1"/>
    <d v="2025-01-22T00:00:00"/>
    <x v="0"/>
    <x v="2"/>
    <x v="5"/>
    <s v="Q1"/>
    <n v="2025"/>
  </r>
  <r>
    <s v="CAN0237"/>
    <s v="Rebecca"/>
    <s v="Alvarez"/>
    <s v="Female"/>
    <n v="31"/>
    <s v="rebecca.alvarez2@gmail.com"/>
    <n v="9945717365"/>
    <s v="Bengaluru"/>
    <s v="Karnataka"/>
    <s v="B.Sc"/>
    <n v="8.6"/>
    <n v="17.7"/>
    <n v="23.9"/>
    <s v="Immediate"/>
    <x v="2"/>
    <d v="2025-02-20T00:00:00"/>
    <x v="0"/>
    <x v="3"/>
    <x v="1"/>
    <s v="Q1"/>
    <n v="2025"/>
  </r>
  <r>
    <s v="CAN0238"/>
    <s v="Daniel"/>
    <s v="Richards"/>
    <s v="Female"/>
    <n v="29"/>
    <s v="daniel.richards86@gmail.com"/>
    <n v="9131709843"/>
    <s v="Hyderabad"/>
    <s v="Telangana"/>
    <s v="B.Tech"/>
    <n v="2.9"/>
    <n v="11.8"/>
    <n v="16.2"/>
    <s v="30 Days"/>
    <x v="6"/>
    <d v="2025-09-30T00:00:00"/>
    <x v="0"/>
    <x v="1"/>
    <x v="2"/>
    <s v="Q3"/>
    <n v="2025"/>
  </r>
  <r>
    <s v="CAN0239"/>
    <s v="Daniel"/>
    <s v="Brown"/>
    <s v="Male"/>
    <n v="26"/>
    <s v="daniel.brown19@gmail.com"/>
    <n v="9716830021"/>
    <s v="Hyderabad"/>
    <s v="Telangana"/>
    <s v="B.Com"/>
    <n v="4.4000000000000004"/>
    <n v="15.1"/>
    <n v="17.5"/>
    <s v="15 Days"/>
    <x v="3"/>
    <d v="2025-02-24T00:00:00"/>
    <x v="0"/>
    <x v="1"/>
    <x v="1"/>
    <s v="Q1"/>
    <n v="2025"/>
  </r>
  <r>
    <s v="CAN0240"/>
    <s v="Christina"/>
    <s v="Henderson"/>
    <s v="Male"/>
    <n v="22"/>
    <s v="christina.henderson10@gmail.com"/>
    <n v="9283111403"/>
    <s v="Kolkata"/>
    <s v="West Bengal"/>
    <s v="BBA"/>
    <n v="4.9000000000000004"/>
    <n v="9.8000000000000007"/>
    <n v="12.5"/>
    <s v="30 Days"/>
    <x v="3"/>
    <d v="2025-11-29T00:00:00"/>
    <x v="0"/>
    <x v="0"/>
    <x v="9"/>
    <s v="Q4"/>
    <n v="2025"/>
  </r>
  <r>
    <s v="CAN0241"/>
    <s v="Jillian"/>
    <s v="Giles"/>
    <s v="Male"/>
    <n v="24"/>
    <s v="jillian.giles99@gmail.com"/>
    <n v="9721527842"/>
    <s v="Gurugram"/>
    <s v="Haryana"/>
    <s v="B.Tech"/>
    <n v="2.5"/>
    <n v="13.2"/>
    <n v="15.8"/>
    <s v="15 Days"/>
    <x v="0"/>
    <d v="2025-11-18T00:00:00"/>
    <x v="0"/>
    <x v="0"/>
    <x v="9"/>
    <s v="Q4"/>
    <n v="2025"/>
  </r>
  <r>
    <s v="CAN0242"/>
    <s v="Tony"/>
    <s v="Douglas"/>
    <s v="Male"/>
    <n v="21"/>
    <s v="tony.douglas75@gmail.com"/>
    <n v="9167669938"/>
    <s v="Gurugram"/>
    <s v="Haryana"/>
    <s v="B.Tech"/>
    <n v="2.2000000000000002"/>
    <n v="12.3"/>
    <n v="16.3"/>
    <s v="Immediate"/>
    <x v="0"/>
    <d v="2025-07-22T00:00:00"/>
    <x v="0"/>
    <x v="0"/>
    <x v="7"/>
    <s v="Q3"/>
    <n v="2025"/>
  </r>
  <r>
    <s v="CAN0243"/>
    <s v="Ashley"/>
    <s v="Andrews"/>
    <s v="Female"/>
    <n v="30"/>
    <s v="ashley.andrews6@gmail.com"/>
    <n v="9572061016"/>
    <s v="Bengaluru"/>
    <s v="Karnataka"/>
    <s v="M.Tech"/>
    <n v="1.5"/>
    <n v="2.5"/>
    <n v="3"/>
    <s v="Immediate"/>
    <x v="6"/>
    <d v="2025-03-30T00:00:00"/>
    <x v="0"/>
    <x v="1"/>
    <x v="6"/>
    <s v="Q1"/>
    <n v="2025"/>
  </r>
  <r>
    <s v="CAN0244"/>
    <s v="William"/>
    <s v="Phillips"/>
    <s v="Male"/>
    <n v="35"/>
    <s v="william.phillips59@gmail.com"/>
    <n v="9426070212"/>
    <s v="Noida"/>
    <s v="Uttar Pradesh"/>
    <s v="M.Tech"/>
    <n v="9.6"/>
    <n v="21.3"/>
    <n v="30.6"/>
    <s v="30 Days"/>
    <x v="6"/>
    <d v="2025-05-05T00:00:00"/>
    <x v="0"/>
    <x v="3"/>
    <x v="10"/>
    <s v="Q2"/>
    <n v="2025"/>
  </r>
  <r>
    <s v="CAN0245"/>
    <s v="Travis"/>
    <s v="Hardy"/>
    <s v="Female"/>
    <n v="33"/>
    <s v="travis.hardy87@gmail.com"/>
    <n v="9871446735"/>
    <s v="Ahmedabad"/>
    <s v="Gujarat"/>
    <s v="B.Sc"/>
    <n v="7.9"/>
    <n v="21.6"/>
    <n v="26.4"/>
    <s v="60 Days"/>
    <x v="2"/>
    <d v="2025-05-05T00:00:00"/>
    <x v="0"/>
    <x v="3"/>
    <x v="10"/>
    <s v="Q2"/>
    <n v="2025"/>
  </r>
  <r>
    <s v="CAN0246"/>
    <s v="Catherine"/>
    <s v="Nielsen"/>
    <s v="Male"/>
    <n v="24"/>
    <s v="catherine.nielsen22@gmail.com"/>
    <n v="9484824829"/>
    <s v="Noida"/>
    <s v="Uttar Pradesh"/>
    <s v="B.Tech"/>
    <n v="5.4"/>
    <n v="8"/>
    <n v="11.5"/>
    <s v="15 Days"/>
    <x v="1"/>
    <d v="2025-02-28T00:00:00"/>
    <x v="0"/>
    <x v="0"/>
    <x v="1"/>
    <s v="Q1"/>
    <n v="2025"/>
  </r>
  <r>
    <s v="CAN0247"/>
    <s v="Kevin"/>
    <s v="Strong"/>
    <s v="Male"/>
    <n v="24"/>
    <s v="kevin.strong50@gmail.com"/>
    <n v="9460648771"/>
    <s v="Noida"/>
    <s v="Uttar Pradesh"/>
    <s v="M.Tech"/>
    <n v="1.9"/>
    <n v="17"/>
    <n v="24.4"/>
    <s v="30 Days"/>
    <x v="6"/>
    <d v="2025-10-11T00:00:00"/>
    <x v="0"/>
    <x v="0"/>
    <x v="8"/>
    <s v="Q4"/>
    <n v="2025"/>
  </r>
  <r>
    <s v="CAN0248"/>
    <s v="Amy"/>
    <s v="Garcia"/>
    <s v="Male"/>
    <n v="26"/>
    <s v="amy.garcia25@gmail.com"/>
    <n v="9601452306"/>
    <s v="Chennai"/>
    <s v="Tamil Nadu"/>
    <s v="B.Com"/>
    <n v="0.7"/>
    <n v="10.4"/>
    <n v="13.1"/>
    <s v="15 Days"/>
    <x v="0"/>
    <d v="2025-03-21T00:00:00"/>
    <x v="0"/>
    <x v="1"/>
    <x v="6"/>
    <s v="Q1"/>
    <n v="2025"/>
  </r>
  <r>
    <s v="CAN0249"/>
    <s v="Christine"/>
    <s v="Booker"/>
    <s v="Male"/>
    <n v="21"/>
    <s v="christine.booker17@gmail.com"/>
    <n v="9199462111"/>
    <s v="Hyderabad"/>
    <s v="Telangana"/>
    <s v="B.Sc"/>
    <n v="7.9"/>
    <n v="14.2"/>
    <n v="19.8"/>
    <s v="Immediate"/>
    <x v="2"/>
    <d v="2025-05-03T00:00:00"/>
    <x v="0"/>
    <x v="0"/>
    <x v="10"/>
    <s v="Q2"/>
    <n v="2025"/>
  </r>
  <r>
    <s v="CAN0250"/>
    <s v="Laura"/>
    <s v="Mills"/>
    <s v="Male"/>
    <n v="21"/>
    <s v="laura.mills46@gmail.com"/>
    <n v="9332439504"/>
    <s v="Jaipur"/>
    <s v="Rajasthan"/>
    <s v="B.Com"/>
    <n v="5.0999999999999996"/>
    <n v="11"/>
    <n v="14.6"/>
    <s v="30 Days"/>
    <x v="2"/>
    <d v="2025-09-01T00:00:00"/>
    <x v="0"/>
    <x v="0"/>
    <x v="2"/>
    <s v="Q3"/>
    <n v="2025"/>
  </r>
  <r>
    <s v="CAN0251"/>
    <s v="Joe"/>
    <s v="Haley"/>
    <s v="Male"/>
    <n v="28"/>
    <s v="joe.haley30@gmail.com"/>
    <n v="9586074502"/>
    <s v="Pune"/>
    <s v="Maharashtra"/>
    <s v="B.Tech"/>
    <n v="2.7"/>
    <n v="2.5"/>
    <n v="3.4"/>
    <s v="15 Days"/>
    <x v="6"/>
    <d v="2025-10-28T00:00:00"/>
    <x v="0"/>
    <x v="1"/>
    <x v="8"/>
    <s v="Q4"/>
    <n v="2025"/>
  </r>
  <r>
    <s v="CAN0252"/>
    <s v="Robert"/>
    <s v="Gonzalez"/>
    <s v="Other"/>
    <n v="29"/>
    <s v="robert.gonzalez69@gmail.com"/>
    <n v="9364409614"/>
    <s v="Noida"/>
    <s v="Uttar Pradesh"/>
    <s v="M.Tech"/>
    <n v="8.8000000000000007"/>
    <n v="18.399999999999999"/>
    <n v="21.9"/>
    <s v="60 Days"/>
    <x v="0"/>
    <d v="2025-09-20T00:00:00"/>
    <x v="0"/>
    <x v="1"/>
    <x v="2"/>
    <s v="Q3"/>
    <n v="2025"/>
  </r>
  <r>
    <s v="CAN0253"/>
    <s v="Michelle"/>
    <s v="Vazquez"/>
    <s v="Male"/>
    <n v="30"/>
    <s v="michelle.vazquez35@gmail.com"/>
    <n v="9890207748"/>
    <s v="Chandigarh"/>
    <s v="Chandigarh"/>
    <s v="MBA"/>
    <n v="6.1"/>
    <n v="14.5"/>
    <n v="16.399999999999999"/>
    <m/>
    <x v="0"/>
    <d v="2025-01-08T00:00:00"/>
    <x v="0"/>
    <x v="1"/>
    <x v="5"/>
    <s v="Q1"/>
    <n v="2025"/>
  </r>
  <r>
    <s v="CAN0254"/>
    <s v="Patricia"/>
    <s v="Taylor"/>
    <s v="Male"/>
    <n v="28"/>
    <s v="patricia.taylor12@gmail.com"/>
    <n v="9845889116"/>
    <s v="Pune"/>
    <s v="Maharashtra"/>
    <s v="MBA"/>
    <n v="0.7"/>
    <n v="3.4"/>
    <n v="4.0999999999999996"/>
    <s v="15 Days"/>
    <x v="6"/>
    <d v="2025-02-04T00:00:00"/>
    <x v="0"/>
    <x v="1"/>
    <x v="1"/>
    <s v="Q1"/>
    <n v="2025"/>
  </r>
  <r>
    <s v="CAN0255"/>
    <s v="Cynthia"/>
    <s v="Rodriguez"/>
    <s v="Female"/>
    <n v="31"/>
    <s v="cynthia.rodriguez47@gmail.com"/>
    <n v="9964555813"/>
    <s v="Kolkata"/>
    <s v="West Bengal"/>
    <s v="MBA"/>
    <n v="1.6"/>
    <n v="12.2"/>
    <n v="14.4"/>
    <s v="30 Days"/>
    <x v="0"/>
    <d v="2025-05-28T00:00:00"/>
    <x v="0"/>
    <x v="3"/>
    <x v="10"/>
    <s v="Q2"/>
    <n v="2025"/>
  </r>
  <r>
    <s v="CAN0256"/>
    <s v="James"/>
    <s v="Johnson"/>
    <s v="Male"/>
    <n v="26"/>
    <s v="james.johnson92@gmail.com"/>
    <n v="9528393728"/>
    <s v="Chennai"/>
    <s v="Tamil Nadu"/>
    <s v="B.Com"/>
    <n v="9.3000000000000007"/>
    <n v="12.6"/>
    <n v="17.600000000000001"/>
    <s v="30 Days"/>
    <x v="1"/>
    <d v="2025-11-18T00:00:00"/>
    <x v="0"/>
    <x v="1"/>
    <x v="9"/>
    <s v="Q4"/>
    <n v="2025"/>
  </r>
  <r>
    <s v="CAN0257"/>
    <s v="Jenna"/>
    <s v="Farmer"/>
    <s v="Female"/>
    <n v="36"/>
    <s v="jenna.farmer17@gmail.com"/>
    <n v="9396912199"/>
    <s v="Pune"/>
    <s v="Maharashtra"/>
    <s v="B.Tech"/>
    <n v="2.2999999999999998"/>
    <n v="7.7"/>
    <n v="10.4"/>
    <s v="30 Days"/>
    <x v="2"/>
    <d v="2025-07-31T00:00:00"/>
    <x v="0"/>
    <x v="2"/>
    <x v="7"/>
    <s v="Q3"/>
    <n v="2025"/>
  </r>
  <r>
    <s v="CAN0258"/>
    <s v="Mark"/>
    <s v="Paul"/>
    <s v="Male"/>
    <n v="25"/>
    <s v="mark.paul91@gmail.com"/>
    <n v="9850812476"/>
    <s v="Delhi"/>
    <s v="Delhi"/>
    <s v="B.Sc"/>
    <n v="16.3"/>
    <n v="23.2"/>
    <n v="32.5"/>
    <s v="30 Days"/>
    <x v="1"/>
    <d v="2025-04-04T00:00:00"/>
    <x v="0"/>
    <x v="0"/>
    <x v="11"/>
    <s v="Q2"/>
    <n v="2025"/>
  </r>
  <r>
    <s v="CAN0259"/>
    <s v="Robert"/>
    <s v="Goodman"/>
    <s v="Male"/>
    <n v="24"/>
    <s v="robert.goodman35@gmail.com"/>
    <n v="9753819400"/>
    <s v="Jaipur"/>
    <s v="Rajasthan"/>
    <s v="B.Tech"/>
    <n v="0.7"/>
    <n v="3.4"/>
    <n v="4.5999999999999996"/>
    <s v="30 Days"/>
    <x v="1"/>
    <d v="2025-08-09T00:00:00"/>
    <x v="0"/>
    <x v="0"/>
    <x v="3"/>
    <s v="Q3"/>
    <n v="2025"/>
  </r>
  <r>
    <s v="CAN0260"/>
    <s v="Danny"/>
    <s v="Soto"/>
    <s v="Male"/>
    <n v="21"/>
    <s v="danny.soto39@gmail.com"/>
    <n v="9267706832"/>
    <s v="Noida"/>
    <s v="Uttar Pradesh"/>
    <s v="MBA"/>
    <n v="6.9"/>
    <n v="10.7"/>
    <n v="13.9"/>
    <s v="30 Days"/>
    <x v="6"/>
    <d v="2025-10-17T00:00:00"/>
    <x v="0"/>
    <x v="0"/>
    <x v="8"/>
    <s v="Q4"/>
    <n v="2025"/>
  </r>
  <r>
    <s v="CAN0261"/>
    <s v="Leah"/>
    <s v="Williams"/>
    <s v="Female"/>
    <n v="44"/>
    <s v="leah.williams73@gmail.com"/>
    <n v="9634607216"/>
    <s v="Jaipur"/>
    <s v="Rajasthan"/>
    <s v="M.Tech"/>
    <n v="1"/>
    <n v="5.6"/>
    <n v="8"/>
    <s v="30 Days"/>
    <x v="1"/>
    <d v="2025-01-01T00:00:00"/>
    <x v="0"/>
    <x v="2"/>
    <x v="5"/>
    <s v="Q1"/>
    <n v="2025"/>
  </r>
  <r>
    <s v="CAN0262"/>
    <s v="Jody"/>
    <s v="Ramirez"/>
    <s v="Male"/>
    <n v="28"/>
    <s v="jody.ramirez98@gmail.com"/>
    <n v="9933731892"/>
    <s v="Pune"/>
    <s v="Maharashtra"/>
    <s v="B.Sc"/>
    <n v="0.4"/>
    <n v="5.5"/>
    <n v="6.2"/>
    <m/>
    <x v="1"/>
    <d v="2025-01-25T00:00:00"/>
    <x v="0"/>
    <x v="1"/>
    <x v="5"/>
    <s v="Q1"/>
    <n v="2025"/>
  </r>
  <r>
    <s v="CAN0263"/>
    <s v="Elizabeth"/>
    <s v="Lewis"/>
    <s v="Female"/>
    <n v="30"/>
    <s v="elizabeth.lewis88@gmail.com"/>
    <n v="9219386478"/>
    <s v="Bengaluru"/>
    <s v="Karnataka"/>
    <s v="MBA"/>
    <n v="8.1999999999999993"/>
    <n v="18.100000000000001"/>
    <n v="21.5"/>
    <s v="60 Days"/>
    <x v="3"/>
    <d v="2025-02-14T00:00:00"/>
    <x v="0"/>
    <x v="1"/>
    <x v="1"/>
    <s v="Q1"/>
    <n v="2025"/>
  </r>
  <r>
    <s v="CAN0264"/>
    <s v="Karen"/>
    <s v="David"/>
    <s v="Male"/>
    <n v="30"/>
    <s v="karen.david96@gmail.com"/>
    <n v="9522662874"/>
    <s v="Jaipur"/>
    <s v="Rajasthan"/>
    <s v="M.Tech"/>
    <n v="2.2000000000000002"/>
    <n v="11.4"/>
    <n v="13.6"/>
    <s v="30 Days"/>
    <x v="2"/>
    <d v="2025-08-06T00:00:00"/>
    <x v="0"/>
    <x v="1"/>
    <x v="3"/>
    <s v="Q3"/>
    <n v="2025"/>
  </r>
  <r>
    <s v="CAN0265"/>
    <s v="Victoria"/>
    <s v="Willis"/>
    <s v="Male"/>
    <n v="33"/>
    <s v="victoria.willis44@gmail.com"/>
    <n v="9842621891"/>
    <s v="Kolkata"/>
    <s v="West Bengal"/>
    <s v="MBA"/>
    <n v="2.2999999999999998"/>
    <n v="11"/>
    <n v="15.3"/>
    <s v="30 Days"/>
    <x v="2"/>
    <d v="2025-01-28T00:00:00"/>
    <x v="0"/>
    <x v="3"/>
    <x v="5"/>
    <s v="Q1"/>
    <n v="2025"/>
  </r>
  <r>
    <s v="CAN0266"/>
    <s v="Joseph"/>
    <s v="Smith"/>
    <s v="Female"/>
    <n v="21"/>
    <s v="joseph.smith27@gmail.com"/>
    <n v="9559937729"/>
    <s v="Pune"/>
    <s v="Maharashtra"/>
    <m/>
    <n v="1.1000000000000001"/>
    <n v="2.5"/>
    <n v="3.6"/>
    <s v="Immediate"/>
    <x v="3"/>
    <d v="2025-01-23T00:00:00"/>
    <x v="0"/>
    <x v="0"/>
    <x v="5"/>
    <s v="Q1"/>
    <n v="2025"/>
  </r>
  <r>
    <s v="CAN0267"/>
    <s v="Dwayne"/>
    <s v="Sanchez"/>
    <s v="Female"/>
    <n v="42"/>
    <s v="dwayne.sanchez72@gmail.com"/>
    <n v="9380458724"/>
    <s v="Pune"/>
    <s v="Maharashtra"/>
    <s v="M.Tech"/>
    <n v="4.5"/>
    <n v="11.4"/>
    <n v="16.399999999999999"/>
    <s v="30 Days"/>
    <x v="1"/>
    <d v="2025-05-08T00:00:00"/>
    <x v="0"/>
    <x v="2"/>
    <x v="10"/>
    <s v="Q2"/>
    <n v="2025"/>
  </r>
  <r>
    <s v="CAN0268"/>
    <s v="Frank"/>
    <s v="Cobb"/>
    <s v="Female"/>
    <n v="29"/>
    <s v="frank.cobb22@gmail.com"/>
    <n v="9484212527"/>
    <s v="Gurugram"/>
    <s v="Haryana"/>
    <s v="B.Com"/>
    <n v="0.8"/>
    <n v="8"/>
    <n v="9.5"/>
    <s v="15 Days"/>
    <x v="0"/>
    <d v="2025-12-28T00:00:00"/>
    <x v="0"/>
    <x v="1"/>
    <x v="4"/>
    <s v="Q4"/>
    <n v="2025"/>
  </r>
  <r>
    <s v="CAN0269"/>
    <s v="Stacey"/>
    <s v="Alvarez"/>
    <s v="Male"/>
    <n v="31"/>
    <s v="stacey.alvarez62@gmail.com"/>
    <n v="9355413796"/>
    <s v="Jaipur"/>
    <s v="Rajasthan"/>
    <s v="B.Sc"/>
    <n v="3.2"/>
    <n v="7.5"/>
    <n v="9.6999999999999993"/>
    <s v="30 Days"/>
    <x v="6"/>
    <d v="2025-06-29T00:00:00"/>
    <x v="0"/>
    <x v="3"/>
    <x v="0"/>
    <s v="Q2"/>
    <n v="2025"/>
  </r>
  <r>
    <s v="CAN0270"/>
    <s v="Regina"/>
    <s v="Gibson"/>
    <s v="Female"/>
    <n v="33"/>
    <s v="regina.gibson18@gmail.com"/>
    <n v="9859903545"/>
    <s v="Pune"/>
    <s v="Maharashtra"/>
    <s v="M.Tech"/>
    <n v="9"/>
    <n v="16.100000000000001"/>
    <n v="19.3"/>
    <s v="30 Days"/>
    <x v="0"/>
    <d v="2025-08-06T00:00:00"/>
    <x v="0"/>
    <x v="3"/>
    <x v="3"/>
    <s v="Q3"/>
    <n v="2025"/>
  </r>
  <r>
    <s v="CAN0271"/>
    <s v="Bethany"/>
    <s v="Rodriguez"/>
    <s v="Female"/>
    <n v="30"/>
    <s v="bethany.rodriguez22@gmail.com"/>
    <n v="9826950117"/>
    <s v="Pune"/>
    <s v="Maharashtra"/>
    <s v="B.Tech"/>
    <n v="1.4"/>
    <m/>
    <n v="7.5"/>
    <s v="60 Days"/>
    <x v="2"/>
    <d v="2025-04-16T00:00:00"/>
    <x v="0"/>
    <x v="1"/>
    <x v="11"/>
    <s v="Q2"/>
    <n v="2025"/>
  </r>
  <r>
    <s v="CAN0272"/>
    <s v="Hannah"/>
    <s v="Gonzalez"/>
    <s v="Male"/>
    <n v="29"/>
    <s v="hannah.gonzalez38@gmail.com"/>
    <n v="9113283590"/>
    <s v="Gurugram"/>
    <s v="Haryana"/>
    <s v="BBA"/>
    <n v="4.2"/>
    <n v="7.2"/>
    <n v="8.1999999999999993"/>
    <s v="60 Days"/>
    <x v="2"/>
    <d v="2025-02-26T00:00:00"/>
    <x v="0"/>
    <x v="1"/>
    <x v="1"/>
    <s v="Q1"/>
    <n v="2025"/>
  </r>
  <r>
    <s v="CAN0273"/>
    <s v="Lauren"/>
    <s v="Conrad"/>
    <s v="Female"/>
    <n v="22"/>
    <s v="lauren.conrad58@gmail.com"/>
    <n v="9221320311"/>
    <s v="Pune"/>
    <s v="Maharashtra"/>
    <s v="B.Com"/>
    <n v="0.2"/>
    <n v="6.2"/>
    <n v="7.9"/>
    <s v="30 Days"/>
    <x v="0"/>
    <d v="2025-02-06T00:00:00"/>
    <x v="0"/>
    <x v="0"/>
    <x v="1"/>
    <s v="Q1"/>
    <n v="2025"/>
  </r>
  <r>
    <s v="CAN0274"/>
    <s v="Alan"/>
    <s v="MD"/>
    <s v="Male"/>
    <n v="28"/>
    <s v="alan.md60@gmail.com"/>
    <n v="9905784842"/>
    <s v="Delhi"/>
    <s v="Delhi"/>
    <s v="B.Tech"/>
    <n v="1.3"/>
    <n v="5.6"/>
    <n v="7.6"/>
    <s v="90 Days"/>
    <x v="1"/>
    <d v="2025-02-25T00:00:00"/>
    <x v="0"/>
    <x v="1"/>
    <x v="1"/>
    <s v="Q1"/>
    <n v="2025"/>
  </r>
  <r>
    <s v="CAN0275"/>
    <s v="David"/>
    <s v="Brown"/>
    <s v="Female"/>
    <n v="27"/>
    <s v="david.brown56@gmail.com"/>
    <n v="9624354674"/>
    <s v="Hyderabad"/>
    <s v="Telangana"/>
    <s v="MBA"/>
    <n v="17.8"/>
    <n v="27.8"/>
    <n v="34.1"/>
    <s v="30 Days"/>
    <x v="0"/>
    <d v="2025-05-27T00:00:00"/>
    <x v="0"/>
    <x v="1"/>
    <x v="10"/>
    <s v="Q2"/>
    <n v="2025"/>
  </r>
  <r>
    <s v="CAN0276"/>
    <s v="Paul"/>
    <s v="Brown"/>
    <s v="Female"/>
    <n v="35"/>
    <s v="paul.brown94@gmail.com"/>
    <n v="9800728003"/>
    <s v="Jaipur"/>
    <s v="Rajasthan"/>
    <s v="B.Sc"/>
    <n v="0.4"/>
    <n v="8.1999999999999993"/>
    <n v="9.8000000000000007"/>
    <m/>
    <x v="0"/>
    <d v="2025-07-22T00:00:00"/>
    <x v="0"/>
    <x v="3"/>
    <x v="7"/>
    <s v="Q3"/>
    <n v="2025"/>
  </r>
  <r>
    <s v="CAN0277"/>
    <s v="Derek"/>
    <s v="Daniel"/>
    <s v="Female"/>
    <n v="39"/>
    <s v="derek.daniel38@gmail.com"/>
    <n v="9495016500"/>
    <s v="Pune"/>
    <s v="Maharashtra"/>
    <s v="CA"/>
    <n v="0.9"/>
    <m/>
    <n v="7.4"/>
    <s v="60 Days"/>
    <x v="5"/>
    <d v="2025-02-22T00:00:00"/>
    <x v="0"/>
    <x v="2"/>
    <x v="1"/>
    <s v="Q1"/>
    <n v="2025"/>
  </r>
  <r>
    <s v="CAN0278"/>
    <s v="Devin"/>
    <s v="Haynes"/>
    <s v="Female"/>
    <n v="30"/>
    <s v="devin.haynes40@gmail.com"/>
    <n v="9897063427"/>
    <s v="Ahmedabad"/>
    <s v="Gujarat"/>
    <s v="B.Com"/>
    <n v="5.6"/>
    <n v="10.4"/>
    <n v="12.3"/>
    <s v="60 Days"/>
    <x v="2"/>
    <d v="2025-07-08T00:00:00"/>
    <x v="0"/>
    <x v="1"/>
    <x v="7"/>
    <s v="Q3"/>
    <n v="2025"/>
  </r>
  <r>
    <s v="CAN0279"/>
    <s v="Jacob"/>
    <s v="Jackson"/>
    <s v="Male"/>
    <n v="28"/>
    <s v="jacob.jackson48@gmail.com"/>
    <n v="9999603119"/>
    <s v="Kochi"/>
    <s v="Kerala"/>
    <s v="B.Sc"/>
    <n v="0.8"/>
    <n v="6.5"/>
    <n v="7.4"/>
    <s v="Immediate"/>
    <x v="3"/>
    <d v="2025-12-28T00:00:00"/>
    <x v="0"/>
    <x v="1"/>
    <x v="4"/>
    <s v="Q4"/>
    <n v="2025"/>
  </r>
  <r>
    <s v="CAN0280"/>
    <s v="Kimberly"/>
    <s v="Davis"/>
    <s v="Male"/>
    <n v="36"/>
    <s v="kimberly.davis7@gmail.com"/>
    <n v="9332402751"/>
    <s v="Delhi"/>
    <s v="Delhi"/>
    <s v="BBA"/>
    <n v="0.2"/>
    <n v="3.6"/>
    <n v="4.9000000000000004"/>
    <s v="90 Days"/>
    <x v="1"/>
    <d v="2025-11-17T00:00:00"/>
    <x v="0"/>
    <x v="2"/>
    <x v="9"/>
    <s v="Q4"/>
    <n v="2025"/>
  </r>
  <r>
    <s v="CAN0281"/>
    <s v="Jorge"/>
    <s v="Wagner"/>
    <s v="Male"/>
    <n v="30"/>
    <s v="jorge.wagner89@gmail.com"/>
    <n v="9344275481"/>
    <s v="Pune"/>
    <s v="Maharashtra"/>
    <s v="B.Tech"/>
    <n v="0.7"/>
    <n v="10"/>
    <n v="13.3"/>
    <m/>
    <x v="4"/>
    <d v="2025-08-14T00:00:00"/>
    <x v="0"/>
    <x v="1"/>
    <x v="3"/>
    <s v="Q3"/>
    <n v="2025"/>
  </r>
  <r>
    <s v="CAN0282"/>
    <s v="Randy"/>
    <s v="Dawson"/>
    <s v="Male"/>
    <n v="30"/>
    <s v="randy.dawson28@gmail.com"/>
    <n v="9876261974"/>
    <s v="Gurugram"/>
    <s v="Haryana"/>
    <s v="B.Tech"/>
    <n v="0.5"/>
    <n v="8.1999999999999993"/>
    <n v="11.5"/>
    <s v="60 Days"/>
    <x v="3"/>
    <d v="2025-08-06T00:00:00"/>
    <x v="0"/>
    <x v="1"/>
    <x v="3"/>
    <s v="Q3"/>
    <n v="2025"/>
  </r>
  <r>
    <s v="CAN0283"/>
    <s v="Cristina"/>
    <s v="Johnson"/>
    <s v="Male"/>
    <n v="34"/>
    <s v="cristina.johnson10@gmail.com"/>
    <n v="9810414526"/>
    <s v="Bengaluru"/>
    <s v="Karnataka"/>
    <s v="BBA"/>
    <n v="13"/>
    <n v="15.9"/>
    <n v="20"/>
    <s v="15 Days"/>
    <x v="2"/>
    <d v="2025-12-08T00:00:00"/>
    <x v="0"/>
    <x v="3"/>
    <x v="4"/>
    <s v="Q4"/>
    <n v="2025"/>
  </r>
  <r>
    <s v="CAN0284"/>
    <s v="Brenda"/>
    <s v="Hill"/>
    <s v="Female"/>
    <n v="31"/>
    <s v="brenda.hill23@gmail.com"/>
    <n v="9878196229"/>
    <s v="Pune"/>
    <s v="Maharashtra"/>
    <s v="B.Com"/>
    <n v="3.2"/>
    <n v="13.4"/>
    <n v="15"/>
    <s v="60 Days"/>
    <x v="5"/>
    <d v="2025-10-18T00:00:00"/>
    <x v="0"/>
    <x v="3"/>
    <x v="8"/>
    <s v="Q4"/>
    <n v="2025"/>
  </r>
  <r>
    <s v="CAN0285"/>
    <s v="Lauren"/>
    <s v="Martinez"/>
    <s v="Male"/>
    <n v="23"/>
    <s v="lauren.martinez11@gmail.com"/>
    <n v="9682742929"/>
    <s v="Gurugram"/>
    <s v="Haryana"/>
    <s v="BBA"/>
    <n v="8.1999999999999993"/>
    <n v="15.9"/>
    <n v="20.100000000000001"/>
    <s v="30 Days"/>
    <x v="1"/>
    <d v="2025-03-21T00:00:00"/>
    <x v="0"/>
    <x v="0"/>
    <x v="6"/>
    <s v="Q1"/>
    <n v="2025"/>
  </r>
  <r>
    <s v="CAN0286"/>
    <s v="Jose"/>
    <s v="Marshall"/>
    <s v="Female"/>
    <n v="28"/>
    <s v="jose.marshall78@gmail.com"/>
    <n v="9765579543"/>
    <s v="Mumbai"/>
    <s v="Maharashtra"/>
    <s v="M.Sc"/>
    <n v="2.2000000000000002"/>
    <n v="11.8"/>
    <n v="13.4"/>
    <s v="30 Days"/>
    <x v="1"/>
    <d v="2025-06-02T00:00:00"/>
    <x v="0"/>
    <x v="1"/>
    <x v="0"/>
    <s v="Q2"/>
    <n v="2025"/>
  </r>
  <r>
    <s v="CAN0287"/>
    <s v="Travis"/>
    <s v="Clark"/>
    <s v="Female"/>
    <n v="22"/>
    <s v="travis.clark54@gmail.com"/>
    <n v="9495822723"/>
    <s v="Delhi"/>
    <s v="Delhi"/>
    <s v="M.Tech"/>
    <n v="1"/>
    <n v="8.6"/>
    <n v="10"/>
    <s v="60 Days"/>
    <x v="1"/>
    <d v="2025-11-21T00:00:00"/>
    <x v="0"/>
    <x v="0"/>
    <x v="9"/>
    <s v="Q4"/>
    <n v="2025"/>
  </r>
  <r>
    <s v="CAN0288"/>
    <s v="Craig"/>
    <s v="Robinson"/>
    <s v="Male"/>
    <n v="21"/>
    <s v="craig.robinson25@gmail.com"/>
    <n v="9338889608"/>
    <s v="Pune"/>
    <s v="Maharashtra"/>
    <s v="MBA"/>
    <n v="2.2999999999999998"/>
    <n v="9.6"/>
    <n v="12.9"/>
    <m/>
    <x v="1"/>
    <d v="2025-10-12T00:00:00"/>
    <x v="0"/>
    <x v="0"/>
    <x v="8"/>
    <s v="Q4"/>
    <n v="2025"/>
  </r>
  <r>
    <s v="CAN0289"/>
    <s v="William"/>
    <s v="Banks"/>
    <s v="Female"/>
    <n v="29"/>
    <s v="william.banks54@gmail.com"/>
    <n v="9486548365"/>
    <s v="Kolkata"/>
    <s v="West Bengal"/>
    <s v="B.Sc"/>
    <n v="1.8"/>
    <m/>
    <n v="6.2"/>
    <s v="15 Days"/>
    <x v="0"/>
    <d v="2025-04-14T00:00:00"/>
    <x v="0"/>
    <x v="1"/>
    <x v="11"/>
    <s v="Q2"/>
    <n v="2025"/>
  </r>
  <r>
    <s v="CAN0290"/>
    <s v="Ashley"/>
    <s v="Ferguson"/>
    <s v="Female"/>
    <n v="33"/>
    <s v="ashley.ferguson15@gmail.com"/>
    <n v="9337575264"/>
    <s v="Kochi"/>
    <s v="Kerala"/>
    <s v="M.Sc"/>
    <n v="2.6"/>
    <n v="8.5"/>
    <n v="11.3"/>
    <s v="15 Days"/>
    <x v="5"/>
    <d v="2025-12-30T00:00:00"/>
    <x v="0"/>
    <x v="3"/>
    <x v="4"/>
    <s v="Q4"/>
    <n v="2025"/>
  </r>
  <r>
    <s v="CAN0291"/>
    <s v="Regina"/>
    <s v="Rodriguez"/>
    <s v="Male"/>
    <n v="23"/>
    <s v="regina.rodriguez71@gmail.com"/>
    <n v="9591940125"/>
    <s v="Hyderabad"/>
    <s v="Telangana"/>
    <s v="M.Tech"/>
    <n v="2"/>
    <n v="10.5"/>
    <n v="14.2"/>
    <s v="30 Days"/>
    <x v="6"/>
    <d v="2025-10-18T00:00:00"/>
    <x v="0"/>
    <x v="0"/>
    <x v="8"/>
    <s v="Q4"/>
    <n v="2025"/>
  </r>
  <r>
    <s v="CAN0292"/>
    <s v="Andrew"/>
    <s v="Frazier"/>
    <s v="Male"/>
    <n v="29"/>
    <s v="andrew.frazier53@gmail.com"/>
    <n v="9829600427"/>
    <s v="Mumbai"/>
    <s v="Maharashtra"/>
    <s v="M.Sc"/>
    <n v="2.8"/>
    <n v="13"/>
    <n v="15.1"/>
    <s v="30 Days"/>
    <x v="1"/>
    <d v="2025-02-28T00:00:00"/>
    <x v="0"/>
    <x v="1"/>
    <x v="1"/>
    <s v="Q1"/>
    <n v="2025"/>
  </r>
  <r>
    <s v="CAN0293"/>
    <s v="Thomas"/>
    <s v="Hernandez"/>
    <s v="Female"/>
    <n v="24"/>
    <s v="thomas.hernandez93@gmail.com"/>
    <n v="9653144772"/>
    <s v="Mumbai"/>
    <s v="Maharashtra"/>
    <s v="BBA"/>
    <n v="3.4"/>
    <n v="12.5"/>
    <n v="16.8"/>
    <s v="30 Days"/>
    <x v="4"/>
    <d v="2025-04-09T00:00:00"/>
    <x v="0"/>
    <x v="0"/>
    <x v="11"/>
    <s v="Q2"/>
    <n v="2025"/>
  </r>
  <r>
    <s v="CAN0294"/>
    <s v="Brianna"/>
    <s v="Matthews"/>
    <s v="Female"/>
    <n v="32"/>
    <s v="brianna.matthews12@gmail.com"/>
    <n v="9246890418"/>
    <s v="Gurugram"/>
    <s v="Haryana"/>
    <s v="MBA"/>
    <n v="12.5"/>
    <n v="23.1"/>
    <n v="26.3"/>
    <s v="15 Days"/>
    <x v="2"/>
    <d v="2025-01-08T00:00:00"/>
    <x v="0"/>
    <x v="3"/>
    <x v="5"/>
    <s v="Q1"/>
    <n v="2025"/>
  </r>
  <r>
    <s v="CAN0295"/>
    <s v="Dana"/>
    <s v="Gross"/>
    <s v="Female"/>
    <n v="24"/>
    <s v="dana.gross28@gmail.com"/>
    <n v="9593605226"/>
    <s v="Chennai"/>
    <s v="Tamil Nadu"/>
    <s v="B.Tech"/>
    <n v="1.7"/>
    <n v="8.8000000000000007"/>
    <n v="10.199999999999999"/>
    <s v="60 Days"/>
    <x v="0"/>
    <d v="2025-04-14T00:00:00"/>
    <x v="0"/>
    <x v="0"/>
    <x v="11"/>
    <s v="Q2"/>
    <n v="2025"/>
  </r>
  <r>
    <s v="CAN0296"/>
    <s v="Clarence"/>
    <s v="Mccoy"/>
    <s v="Female"/>
    <n v="24"/>
    <s v="clarence.mccoy94@gmail.com"/>
    <n v="9480814921"/>
    <s v="Pune"/>
    <s v="Maharashtra"/>
    <s v="B.Com"/>
    <n v="1.1000000000000001"/>
    <m/>
    <n v="3.9"/>
    <s v="60 Days"/>
    <x v="3"/>
    <d v="2025-01-06T00:00:00"/>
    <x v="0"/>
    <x v="0"/>
    <x v="5"/>
    <s v="Q1"/>
    <n v="2025"/>
  </r>
  <r>
    <s v="CAN0297"/>
    <s v="Katie"/>
    <s v="May"/>
    <s v="Female"/>
    <n v="21"/>
    <s v="katie.may16@gmail.com"/>
    <n v="9356946361"/>
    <s v="Gurugram"/>
    <s v="Haryana"/>
    <s v="BBA"/>
    <n v="9.6"/>
    <n v="16"/>
    <n v="20.7"/>
    <s v="30 Days"/>
    <x v="2"/>
    <d v="2025-11-06T00:00:00"/>
    <x v="0"/>
    <x v="0"/>
    <x v="9"/>
    <s v="Q4"/>
    <n v="2025"/>
  </r>
  <r>
    <s v="CAN0298"/>
    <s v="Gerald"/>
    <s v="James"/>
    <s v="Male"/>
    <n v="21"/>
    <s v="gerald.james46@gmail.com"/>
    <n v="9689304955"/>
    <s v="Gurugram"/>
    <s v="Haryana"/>
    <s v="M.Sc"/>
    <n v="7.9"/>
    <n v="15.8"/>
    <n v="18.3"/>
    <s v="60 Days"/>
    <x v="5"/>
    <d v="2025-05-11T00:00:00"/>
    <x v="0"/>
    <x v="0"/>
    <x v="10"/>
    <s v="Q2"/>
    <n v="2025"/>
  </r>
  <r>
    <s v="CAN0299"/>
    <s v="James"/>
    <s v="Foster"/>
    <s v="Male"/>
    <n v="23"/>
    <s v="james.foster89@gmail.com"/>
    <n v="9579713483"/>
    <s v="Bengaluru"/>
    <s v="Karnataka"/>
    <s v="M.Sc"/>
    <n v="9.3000000000000007"/>
    <n v="15.3"/>
    <n v="20.100000000000001"/>
    <s v="Immediate"/>
    <x v="0"/>
    <d v="2025-02-26T00:00:00"/>
    <x v="0"/>
    <x v="0"/>
    <x v="1"/>
    <s v="Q1"/>
    <n v="2025"/>
  </r>
  <r>
    <s v="CAN0300"/>
    <s v="Steven"/>
    <s v="Hill"/>
    <s v="Male"/>
    <n v="23"/>
    <s v="steven.hill34@gmail.com"/>
    <n v="9298930857"/>
    <s v="Pune"/>
    <s v="Maharashtra"/>
    <s v="M.Tech"/>
    <n v="2.2999999999999998"/>
    <n v="11.9"/>
    <n v="14.5"/>
    <s v="30 Days"/>
    <x v="2"/>
    <d v="2025-03-15T00:00:00"/>
    <x v="0"/>
    <x v="0"/>
    <x v="6"/>
    <s v="Q1"/>
    <n v="2025"/>
  </r>
  <r>
    <s v="CAN0301"/>
    <s v="Ruben"/>
    <s v="MD"/>
    <s v="Female"/>
    <n v="31"/>
    <s v="ruben.md33@gmail.com"/>
    <n v="9678138719"/>
    <s v="Jaipur"/>
    <s v="Rajasthan"/>
    <s v="MBA"/>
    <n v="2.9"/>
    <n v="10.199999999999999"/>
    <n v="12.3"/>
    <s v="30 Days"/>
    <x v="0"/>
    <d v="2025-03-19T00:00:00"/>
    <x v="0"/>
    <x v="3"/>
    <x v="6"/>
    <s v="Q1"/>
    <n v="2025"/>
  </r>
  <r>
    <s v="CAN0302"/>
    <s v="Antonio"/>
    <s v="Adams"/>
    <s v="Male"/>
    <n v="23"/>
    <s v="antonio.adams62@gmail.com"/>
    <n v="9133973841"/>
    <s v="Chandigarh"/>
    <s v="Chandigarh"/>
    <s v="M.Sc"/>
    <n v="4.3"/>
    <n v="10.199999999999999"/>
    <n v="11.7"/>
    <s v="30 Days"/>
    <x v="1"/>
    <d v="2025-11-04T00:00:00"/>
    <x v="0"/>
    <x v="0"/>
    <x v="9"/>
    <s v="Q4"/>
    <n v="2025"/>
  </r>
  <r>
    <s v="CAN0303"/>
    <s v="Todd"/>
    <s v="Baker"/>
    <s v="Male"/>
    <n v="33"/>
    <s v="todd.baker61@gmail.com"/>
    <n v="9269955648"/>
    <s v="Jaipur"/>
    <s v="Rajasthan"/>
    <s v="M.Sc"/>
    <n v="0.1"/>
    <n v="4.8"/>
    <n v="6"/>
    <s v="60 Days"/>
    <x v="1"/>
    <d v="2025-02-08T00:00:00"/>
    <x v="0"/>
    <x v="3"/>
    <x v="1"/>
    <s v="Q1"/>
    <n v="2025"/>
  </r>
  <r>
    <s v="CAN0304"/>
    <s v="John"/>
    <s v="Ballard"/>
    <s v="Male"/>
    <n v="23"/>
    <s v="john.ballard68@gmail.com"/>
    <n v="9332265771"/>
    <s v="Chennai"/>
    <s v="Tamil Nadu"/>
    <s v="MCA"/>
    <n v="1.6"/>
    <n v="2.8"/>
    <n v="3.7"/>
    <s v="Immediate"/>
    <x v="0"/>
    <d v="2025-07-04T00:00:00"/>
    <x v="0"/>
    <x v="0"/>
    <x v="7"/>
    <s v="Q3"/>
    <n v="2025"/>
  </r>
  <r>
    <s v="CAN0305"/>
    <s v="Marc"/>
    <s v="Ortiz"/>
    <s v="Female"/>
    <n v="36"/>
    <s v="marc.ortiz43@gmail.com"/>
    <n v="9719594610"/>
    <s v="Delhi"/>
    <s v="Delhi"/>
    <s v="B.Com"/>
    <n v="11"/>
    <n v="17.3"/>
    <n v="21.4"/>
    <s v="Immediate"/>
    <x v="1"/>
    <d v="2025-06-20T00:00:00"/>
    <x v="0"/>
    <x v="2"/>
    <x v="0"/>
    <s v="Q2"/>
    <n v="2025"/>
  </r>
  <r>
    <s v="CAN0306"/>
    <s v="Ronald"/>
    <s v="Allen"/>
    <s v="Male"/>
    <n v="25"/>
    <s v="ronald.allen32@gmail.com"/>
    <n v="9593285269"/>
    <s v="Indore"/>
    <s v="Madhya Pradesh"/>
    <s v="PhD"/>
    <n v="6.2"/>
    <n v="18.3"/>
    <n v="20.8"/>
    <s v="Immediate"/>
    <x v="5"/>
    <d v="2025-05-20T00:00:00"/>
    <x v="0"/>
    <x v="0"/>
    <x v="10"/>
    <s v="Q2"/>
    <n v="2025"/>
  </r>
  <r>
    <s v="CAN0307"/>
    <s v="Michael"/>
    <s v="Thomas"/>
    <s v="Male"/>
    <n v="26"/>
    <s v="michael.thomas9@gmail.com"/>
    <n v="9636872765"/>
    <s v="Chennai"/>
    <s v="Tamil Nadu"/>
    <s v="B.Com"/>
    <n v="0.1"/>
    <n v="7.5"/>
    <n v="9.8000000000000007"/>
    <s v="30 Days"/>
    <x v="0"/>
    <d v="2025-12-24T00:00:00"/>
    <x v="0"/>
    <x v="1"/>
    <x v="4"/>
    <s v="Q4"/>
    <n v="2025"/>
  </r>
  <r>
    <s v="CAN0308"/>
    <s v="Charles"/>
    <s v="Hutchinson"/>
    <s v="Male"/>
    <n v="25"/>
    <s v="charles.hutchinson72@gmail.com"/>
    <n v="9927761281"/>
    <s v="Mumbai"/>
    <s v="Maharashtra"/>
    <s v="M.Sc"/>
    <n v="1.3"/>
    <n v="7.7"/>
    <n v="10.6"/>
    <s v="30 Days"/>
    <x v="1"/>
    <d v="2025-07-05T00:00:00"/>
    <x v="0"/>
    <x v="0"/>
    <x v="7"/>
    <s v="Q3"/>
    <n v="2025"/>
  </r>
  <r>
    <s v="CAN0309"/>
    <s v="Joseph"/>
    <s v="Hernandez"/>
    <s v="Female"/>
    <n v="30"/>
    <s v="joseph.hernandez31@gmail.com"/>
    <n v="9955450766"/>
    <s v="Pune"/>
    <s v="Maharashtra"/>
    <s v="MBA"/>
    <n v="3.1"/>
    <n v="15"/>
    <n v="18.3"/>
    <s v="60 Days"/>
    <x v="3"/>
    <d v="2025-09-18T00:00:00"/>
    <x v="0"/>
    <x v="1"/>
    <x v="2"/>
    <s v="Q3"/>
    <n v="2025"/>
  </r>
  <r>
    <s v="CAN0310"/>
    <s v="Jodi"/>
    <s v="Miller"/>
    <s v="Female"/>
    <n v="33"/>
    <s v="jodi.miller32@gmail.com"/>
    <n v="9476271130"/>
    <s v="Kochi"/>
    <s v="Kerala"/>
    <s v="M.Tech"/>
    <n v="9"/>
    <n v="12"/>
    <n v="15"/>
    <s v="Immediate"/>
    <x v="2"/>
    <d v="2025-06-15T00:00:00"/>
    <x v="0"/>
    <x v="3"/>
    <x v="0"/>
    <s v="Q2"/>
    <n v="2025"/>
  </r>
  <r>
    <s v="CAN0311"/>
    <s v="Scott"/>
    <s v="Jones"/>
    <s v="Female"/>
    <n v="30"/>
    <s v="scott.jones62@gmail.com"/>
    <n v="9640879485"/>
    <s v="Gurugram"/>
    <s v="Haryana"/>
    <s v="MCA"/>
    <n v="0.1"/>
    <n v="3"/>
    <n v="4.2"/>
    <s v="90 Days"/>
    <x v="0"/>
    <d v="2025-04-16T00:00:00"/>
    <x v="0"/>
    <x v="1"/>
    <x v="11"/>
    <s v="Q2"/>
    <n v="2025"/>
  </r>
  <r>
    <s v="CAN0312"/>
    <s v="Tara"/>
    <s v="White"/>
    <s v="Male"/>
    <n v="25"/>
    <s v="tara.white86@gmail.com"/>
    <n v="9586541291"/>
    <s v="Noida"/>
    <s v="Uttar Pradesh"/>
    <s v="BBA"/>
    <n v="0.6"/>
    <n v="5.8"/>
    <n v="7.6"/>
    <s v="15 Days"/>
    <x v="0"/>
    <d v="2025-02-03T00:00:00"/>
    <x v="0"/>
    <x v="0"/>
    <x v="1"/>
    <s v="Q1"/>
    <n v="2025"/>
  </r>
  <r>
    <s v="CAN0313"/>
    <s v="Anthony"/>
    <s v="Grant"/>
    <s v="Male"/>
    <n v="33"/>
    <s v="anthony.grant93@gmail.com"/>
    <n v="9431245500"/>
    <s v="Chennai"/>
    <s v="Tamil Nadu"/>
    <s v="MBA"/>
    <n v="2.5"/>
    <n v="7.7"/>
    <n v="10"/>
    <s v="90 Days"/>
    <x v="2"/>
    <d v="2025-04-08T00:00:00"/>
    <x v="0"/>
    <x v="3"/>
    <x v="11"/>
    <s v="Q2"/>
    <n v="2025"/>
  </r>
  <r>
    <s v="CAN0314"/>
    <s v="April"/>
    <s v="Myers"/>
    <s v="Female"/>
    <n v="21"/>
    <s v="april.myers11@gmail.com"/>
    <n v="9728056232"/>
    <s v="Pune"/>
    <s v="Maharashtra"/>
    <s v="B.Sc"/>
    <n v="4.8"/>
    <n v="9.4"/>
    <n v="11.6"/>
    <s v="30 Days"/>
    <x v="4"/>
    <d v="2025-12-20T00:00:00"/>
    <x v="0"/>
    <x v="0"/>
    <x v="4"/>
    <s v="Q4"/>
    <n v="2025"/>
  </r>
  <r>
    <s v="CAN0315"/>
    <s v="Michael"/>
    <s v="Jones"/>
    <s v="Male"/>
    <n v="33"/>
    <s v="michael.jones9@gmail.com"/>
    <n v="9620244895"/>
    <s v="Gurugram"/>
    <s v="Haryana"/>
    <s v="MCA"/>
    <n v="1.6"/>
    <n v="9.8000000000000007"/>
    <n v="11.9"/>
    <s v="15 Days"/>
    <x v="0"/>
    <d v="2025-03-26T00:00:00"/>
    <x v="0"/>
    <x v="3"/>
    <x v="6"/>
    <s v="Q1"/>
    <n v="2025"/>
  </r>
  <r>
    <s v="CAN0316"/>
    <s v="Susan"/>
    <s v="Williams"/>
    <s v="Female"/>
    <n v="33"/>
    <s v="susan.williams31@gmail.com"/>
    <n v="9856338515"/>
    <s v="Bengaluru"/>
    <s v="Karnataka"/>
    <s v="B.Tech"/>
    <n v="1.2"/>
    <n v="8.4"/>
    <n v="10.5"/>
    <s v="15 Days"/>
    <x v="1"/>
    <d v="2025-09-14T00:00:00"/>
    <x v="0"/>
    <x v="3"/>
    <x v="2"/>
    <s v="Q3"/>
    <n v="2025"/>
  </r>
  <r>
    <s v="CAN0317"/>
    <s v="Donna"/>
    <s v="Torres"/>
    <s v="Female"/>
    <n v="28"/>
    <s v="donna.torres26@gmail.com"/>
    <n v="9359561679"/>
    <s v="Jaipur"/>
    <s v="Rajasthan"/>
    <s v="B.Tech"/>
    <n v="2.4"/>
    <n v="9.9"/>
    <n v="11.5"/>
    <s v="Immediate"/>
    <x v="0"/>
    <d v="2025-10-22T00:00:00"/>
    <x v="0"/>
    <x v="1"/>
    <x v="8"/>
    <s v="Q4"/>
    <n v="2025"/>
  </r>
  <r>
    <s v="CAN0318"/>
    <s v="Mindy"/>
    <s v="Mccoy"/>
    <s v="Male"/>
    <n v="29"/>
    <s v="mindy.mccoy18@gmail.com"/>
    <n v="9105422495"/>
    <s v="Hyderabad"/>
    <s v="Telangana"/>
    <s v="B.Sc"/>
    <n v="9.3000000000000007"/>
    <n v="15.5"/>
    <n v="20.6"/>
    <s v="Immediate"/>
    <x v="2"/>
    <d v="2025-01-15T00:00:00"/>
    <x v="0"/>
    <x v="1"/>
    <x v="5"/>
    <s v="Q1"/>
    <n v="2025"/>
  </r>
  <r>
    <s v="CAN0319"/>
    <s v="Ronnie"/>
    <s v="Rose"/>
    <s v="Male"/>
    <n v="23"/>
    <s v="ronnie.rose42@gmail.com"/>
    <n v="9904580945"/>
    <s v="Bengaluru"/>
    <s v="Karnataka"/>
    <s v="M.Tech"/>
    <n v="10.1"/>
    <n v="20.7"/>
    <n v="26"/>
    <s v="30 Days"/>
    <x v="2"/>
    <d v="2025-01-30T00:00:00"/>
    <x v="0"/>
    <x v="0"/>
    <x v="5"/>
    <s v="Q1"/>
    <n v="2025"/>
  </r>
  <r>
    <s v="CAN0320"/>
    <s v="Barbara"/>
    <s v="Watson"/>
    <s v="Female"/>
    <n v="32"/>
    <s v="barbara.watson6@gmail.com"/>
    <n v="9193628188"/>
    <s v="Pune"/>
    <s v="Maharashtra"/>
    <s v="M.Tech"/>
    <n v="6"/>
    <n v="14"/>
    <n v="19.3"/>
    <s v="90 Days"/>
    <x v="2"/>
    <d v="2025-08-26T00:00:00"/>
    <x v="0"/>
    <x v="3"/>
    <x v="3"/>
    <s v="Q3"/>
    <n v="2025"/>
  </r>
  <r>
    <s v="CAN0321"/>
    <s v="Joshua"/>
    <s v="Brooks"/>
    <s v="Female"/>
    <n v="21"/>
    <s v="joshua.brooks4@gmail.com"/>
    <n v="9440259851"/>
    <s v="Ahmedabad"/>
    <s v="Gujarat"/>
    <s v="M.Tech"/>
    <n v="12"/>
    <n v="18.2"/>
    <n v="22.3"/>
    <s v="30 Days"/>
    <x v="5"/>
    <d v="2025-06-18T00:00:00"/>
    <x v="0"/>
    <x v="0"/>
    <x v="0"/>
    <s v="Q2"/>
    <n v="2025"/>
  </r>
  <r>
    <s v="CAN0322"/>
    <s v="Lauren"/>
    <s v="Harris"/>
    <s v="Male"/>
    <n v="37"/>
    <s v="lauren.harris3@gmail.com"/>
    <n v="9267709346"/>
    <s v="Hyderabad"/>
    <s v="Telangana"/>
    <s v="B.Tech"/>
    <n v="1"/>
    <m/>
    <n v="9.5"/>
    <s v="Immediate"/>
    <x v="3"/>
    <d v="2025-08-05T00:00:00"/>
    <x v="0"/>
    <x v="2"/>
    <x v="3"/>
    <s v="Q3"/>
    <n v="2025"/>
  </r>
  <r>
    <s v="CAN0323"/>
    <s v="Peter"/>
    <s v="Harris"/>
    <s v="Male"/>
    <n v="24"/>
    <s v="peter.harris88@gmail.com"/>
    <n v="9731885265"/>
    <s v="Kochi"/>
    <s v="Kerala"/>
    <s v="M.Tech"/>
    <n v="1.3"/>
    <n v="8.5"/>
    <n v="11.4"/>
    <m/>
    <x v="2"/>
    <d v="2025-11-13T00:00:00"/>
    <x v="0"/>
    <x v="0"/>
    <x v="9"/>
    <s v="Q4"/>
    <n v="2025"/>
  </r>
  <r>
    <s v="CAN0324"/>
    <s v="Elizabeth"/>
    <s v="Jackson"/>
    <s v="Male"/>
    <n v="29"/>
    <s v="elizabeth.jackson92@gmail.com"/>
    <n v="9612777214"/>
    <s v="Chandigarh"/>
    <s v="Chandigarh"/>
    <s v="B.Tech"/>
    <n v="0.2"/>
    <n v="2.7"/>
    <n v="3.6"/>
    <s v="30 Days"/>
    <x v="1"/>
    <d v="2025-12-28T00:00:00"/>
    <x v="0"/>
    <x v="1"/>
    <x v="4"/>
    <s v="Q4"/>
    <n v="2025"/>
  </r>
  <r>
    <s v="CAN0325"/>
    <s v="Ms."/>
    <s v="Merritt"/>
    <s v="Male"/>
    <n v="32"/>
    <s v="ms..merritt36@gmail.com"/>
    <n v="9488001858"/>
    <s v="Kolkata"/>
    <s v="West Bengal"/>
    <s v="M.Tech"/>
    <n v="0.6"/>
    <n v="8.9"/>
    <n v="10.8"/>
    <s v="15 Days"/>
    <x v="1"/>
    <d v="2025-02-21T00:00:00"/>
    <x v="0"/>
    <x v="3"/>
    <x v="1"/>
    <s v="Q1"/>
    <n v="2025"/>
  </r>
  <r>
    <s v="CAN0326"/>
    <s v="Carlos"/>
    <s v="Carter"/>
    <s v="Female"/>
    <n v="30"/>
    <s v="carlos.carter47@gmail.com"/>
    <n v="9261698150"/>
    <s v="Pune"/>
    <s v="Maharashtra"/>
    <s v="B.Sc"/>
    <n v="3.6"/>
    <n v="15.7"/>
    <n v="21.5"/>
    <s v="Immediate"/>
    <x v="0"/>
    <d v="2025-03-10T00:00:00"/>
    <x v="0"/>
    <x v="1"/>
    <x v="6"/>
    <s v="Q1"/>
    <n v="2025"/>
  </r>
  <r>
    <s v="CAN0327"/>
    <s v="Jimmy"/>
    <s v="Sharp"/>
    <s v="Male"/>
    <n v="39"/>
    <s v="jimmy.sharp70@gmail.com"/>
    <n v="9638858345"/>
    <s v="Hyderabad"/>
    <s v="Telangana"/>
    <s v="M.Tech"/>
    <n v="6.4"/>
    <n v="7.6"/>
    <n v="9"/>
    <s v="90 Days"/>
    <x v="2"/>
    <d v="2025-03-18T00:00:00"/>
    <x v="0"/>
    <x v="2"/>
    <x v="6"/>
    <s v="Q1"/>
    <n v="2025"/>
  </r>
  <r>
    <s v="CAN0328"/>
    <s v="Heidi"/>
    <s v="Guerrero"/>
    <s v="Female"/>
    <n v="22"/>
    <s v="heidi.guerrero95@gmail.com"/>
    <n v="9936546833"/>
    <s v="Pune"/>
    <s v="Maharashtra"/>
    <s v="M.Tech"/>
    <n v="0.8"/>
    <n v="5.3"/>
    <n v="6.5"/>
    <s v="30 Days"/>
    <x v="2"/>
    <d v="2025-09-13T00:00:00"/>
    <x v="0"/>
    <x v="0"/>
    <x v="2"/>
    <s v="Q3"/>
    <n v="2025"/>
  </r>
  <r>
    <s v="CAN0329"/>
    <s v="Adam"/>
    <s v="Gay"/>
    <s v="Male"/>
    <n v="21"/>
    <s v="adam.gay45@gmail.com"/>
    <n v="9959567224"/>
    <s v="Noida"/>
    <s v="Uttar Pradesh"/>
    <s v="BBA"/>
    <n v="0.1"/>
    <n v="5.4"/>
    <n v="6.6"/>
    <s v="60 Days"/>
    <x v="0"/>
    <d v="2025-01-08T00:00:00"/>
    <x v="0"/>
    <x v="0"/>
    <x v="5"/>
    <s v="Q1"/>
    <n v="2025"/>
  </r>
  <r>
    <s v="CAN0330"/>
    <s v="Susan"/>
    <s v="Jimenez"/>
    <s v="Male"/>
    <n v="25"/>
    <s v="susan.jimenez83@gmail.com"/>
    <n v="9531487175"/>
    <s v="Pune"/>
    <s v="Maharashtra"/>
    <s v="M.Sc"/>
    <n v="2.6"/>
    <m/>
    <n v="13"/>
    <s v="30 Days"/>
    <x v="2"/>
    <d v="2025-07-12T00:00:00"/>
    <x v="0"/>
    <x v="0"/>
    <x v="7"/>
    <s v="Q3"/>
    <n v="2025"/>
  </r>
  <r>
    <s v="CAN0331"/>
    <s v="Stephanie"/>
    <s v="Estrada"/>
    <s v="Female"/>
    <n v="26"/>
    <s v="stephanie.estrada81@gmail.com"/>
    <n v="9340607059"/>
    <s v="Bengaluru"/>
    <s v="Karnataka"/>
    <s v="B.Sc"/>
    <n v="1.1000000000000001"/>
    <n v="4.2"/>
    <n v="5.0999999999999996"/>
    <s v="30 Days"/>
    <x v="0"/>
    <d v="2025-04-15T00:00:00"/>
    <x v="0"/>
    <x v="1"/>
    <x v="11"/>
    <s v="Q2"/>
    <n v="2025"/>
  </r>
  <r>
    <s v="CAN0332"/>
    <s v="Gregory"/>
    <s v="Avila"/>
    <s v="Male"/>
    <n v="25"/>
    <s v="gregory.avila55@gmail.com"/>
    <n v="9790104338"/>
    <s v="Chennai"/>
    <s v="Tamil Nadu"/>
    <s v="B.Sc"/>
    <n v="1.8"/>
    <n v="6.8"/>
    <n v="9.8000000000000007"/>
    <s v="15 Days"/>
    <x v="1"/>
    <d v="2025-03-22T00:00:00"/>
    <x v="0"/>
    <x v="0"/>
    <x v="6"/>
    <s v="Q1"/>
    <n v="2025"/>
  </r>
  <r>
    <s v="CAN0333"/>
    <s v="Roger"/>
    <s v="Bell"/>
    <s v="Male"/>
    <n v="26"/>
    <s v="roger.bell99@gmail.com"/>
    <n v="9386985609"/>
    <s v="Chandigarh"/>
    <s v="Chandigarh"/>
    <s v="B.Tech"/>
    <n v="1.9"/>
    <n v="2.5"/>
    <n v="3"/>
    <s v="Immediate"/>
    <x v="0"/>
    <d v="2025-05-08T00:00:00"/>
    <x v="0"/>
    <x v="1"/>
    <x v="10"/>
    <s v="Q2"/>
    <n v="2025"/>
  </r>
  <r>
    <s v="CAN0334"/>
    <s v="Eric"/>
    <s v="Smith"/>
    <s v="Male"/>
    <n v="27"/>
    <s v="eric.smith88@gmail.com"/>
    <n v="9755256819"/>
    <s v="Ahmedabad"/>
    <s v="Gujarat"/>
    <s v="CA"/>
    <n v="0.4"/>
    <n v="2.5"/>
    <n v="3"/>
    <s v="Immediate"/>
    <x v="3"/>
    <d v="2025-07-04T00:00:00"/>
    <x v="0"/>
    <x v="1"/>
    <x v="7"/>
    <s v="Q3"/>
    <n v="2025"/>
  </r>
  <r>
    <s v="CAN0335"/>
    <s v="David"/>
    <s v="Young"/>
    <s v="Male"/>
    <n v="37"/>
    <s v="david.young57@gmail.com"/>
    <n v="9295740146"/>
    <s v="Noida"/>
    <s v="Uttar Pradesh"/>
    <s v="M.Sc"/>
    <n v="0.8"/>
    <n v="6.1"/>
    <n v="8.8000000000000007"/>
    <s v="15 Days"/>
    <x v="0"/>
    <d v="2025-02-27T00:00:00"/>
    <x v="0"/>
    <x v="2"/>
    <x v="1"/>
    <s v="Q1"/>
    <n v="2025"/>
  </r>
  <r>
    <s v="CAN0336"/>
    <s v="Joshua"/>
    <s v="Fowler"/>
    <s v="Male"/>
    <n v="40"/>
    <s v="joshua.fowler2@gmail.com"/>
    <n v="9243220283"/>
    <s v="Indore"/>
    <s v="Madhya Pradesh"/>
    <s v="B.Sc"/>
    <n v="8.6"/>
    <m/>
    <n v="19"/>
    <s v="30 Days"/>
    <x v="3"/>
    <d v="2025-08-26T00:00:00"/>
    <x v="0"/>
    <x v="2"/>
    <x v="3"/>
    <s v="Q3"/>
    <n v="2025"/>
  </r>
  <r>
    <s v="CAN0337"/>
    <s v="Kristie"/>
    <s v="Nguyen"/>
    <s v="Female"/>
    <n v="33"/>
    <s v="kristie.nguyen12@gmail.com"/>
    <n v="9544745540"/>
    <s v="Gurugram"/>
    <s v="Haryana"/>
    <s v="M.Tech"/>
    <n v="1.8"/>
    <n v="8.4"/>
    <n v="11.3"/>
    <s v="30 Days"/>
    <x v="2"/>
    <d v="2025-01-17T00:00:00"/>
    <x v="0"/>
    <x v="3"/>
    <x v="5"/>
    <s v="Q1"/>
    <n v="2025"/>
  </r>
  <r>
    <s v="CAN0338"/>
    <s v="Amanda"/>
    <s v="Williams"/>
    <s v="Female"/>
    <n v="26"/>
    <s v="amanda.williams26@gmail.com"/>
    <n v="9950523096"/>
    <s v="Pune"/>
    <s v="Maharashtra"/>
    <s v="MBA"/>
    <n v="4.9000000000000004"/>
    <n v="14.5"/>
    <n v="16.399999999999999"/>
    <s v="30 Days"/>
    <x v="0"/>
    <d v="2025-08-09T00:00:00"/>
    <x v="0"/>
    <x v="1"/>
    <x v="3"/>
    <s v="Q3"/>
    <n v="2025"/>
  </r>
  <r>
    <s v="CAN0339"/>
    <s v="Elijah"/>
    <s v="Perkins"/>
    <s v="Female"/>
    <n v="32"/>
    <s v="elijah.perkins94@gmail.com"/>
    <n v="9121405163"/>
    <s v="Bengaluru"/>
    <s v="Karnataka"/>
    <s v="PhD"/>
    <n v="0.6"/>
    <n v="6.8"/>
    <n v="8.3000000000000007"/>
    <s v="60 Days"/>
    <x v="0"/>
    <d v="2025-09-07T00:00:00"/>
    <x v="0"/>
    <x v="3"/>
    <x v="2"/>
    <s v="Q3"/>
    <n v="2025"/>
  </r>
  <r>
    <s v="CAN0340"/>
    <s v="Kristine"/>
    <s v="Lowery"/>
    <s v="Female"/>
    <n v="27"/>
    <s v="kristine.lowery68@gmail.com"/>
    <n v="9560071297"/>
    <s v="Bengaluru"/>
    <s v="Karnataka"/>
    <s v="B.Tech"/>
    <n v="7.8"/>
    <n v="12.8"/>
    <n v="17.2"/>
    <s v="Immediate"/>
    <x v="3"/>
    <d v="2025-09-14T00:00:00"/>
    <x v="0"/>
    <x v="1"/>
    <x v="2"/>
    <s v="Q3"/>
    <n v="2025"/>
  </r>
  <r>
    <s v="CAN0341"/>
    <s v="Amber"/>
    <s v="Myers"/>
    <s v="Other"/>
    <n v="25"/>
    <s v="amber.myers68@gmail.com"/>
    <n v="9479645784"/>
    <s v="Kochi"/>
    <s v="Kerala"/>
    <s v="BBA"/>
    <n v="7.5"/>
    <n v="10.9"/>
    <n v="15.5"/>
    <s v="15 Days"/>
    <x v="0"/>
    <d v="2025-04-25T00:00:00"/>
    <x v="0"/>
    <x v="0"/>
    <x v="11"/>
    <s v="Q2"/>
    <n v="2025"/>
  </r>
  <r>
    <s v="CAN0342"/>
    <s v="Emily"/>
    <s v="Smith"/>
    <s v="Female"/>
    <n v="21"/>
    <s v="emily.smith35@gmail.com"/>
    <n v="9855466135"/>
    <s v="Pune"/>
    <s v="Maharashtra"/>
    <s v="B.Tech"/>
    <n v="3.3"/>
    <n v="10.3"/>
    <n v="12.5"/>
    <s v="90 Days"/>
    <x v="0"/>
    <d v="2025-01-25T00:00:00"/>
    <x v="0"/>
    <x v="0"/>
    <x v="5"/>
    <s v="Q1"/>
    <n v="2025"/>
  </r>
  <r>
    <s v="CAN0343"/>
    <s v="Linda"/>
    <s v="Murray"/>
    <s v="Male"/>
    <n v="28"/>
    <s v="linda.murray72@gmail.com"/>
    <n v="9489349376"/>
    <s v="Chennai"/>
    <s v="Tamil Nadu"/>
    <s v="B.Tech"/>
    <n v="0.7"/>
    <n v="6.7"/>
    <n v="9"/>
    <s v="30 Days"/>
    <x v="1"/>
    <d v="2025-10-08T00:00:00"/>
    <x v="0"/>
    <x v="1"/>
    <x v="8"/>
    <s v="Q4"/>
    <n v="2025"/>
  </r>
  <r>
    <s v="CAN0344"/>
    <s v="Krista"/>
    <s v="Sims"/>
    <s v="Male"/>
    <n v="26"/>
    <s v="krista.sims53@gmail.com"/>
    <n v="9900227314"/>
    <s v="Jaipur"/>
    <s v="Rajasthan"/>
    <s v="B.Sc"/>
    <n v="3.1"/>
    <n v="12.4"/>
    <n v="15.6"/>
    <s v="30 Days"/>
    <x v="2"/>
    <d v="2025-03-19T00:00:00"/>
    <x v="0"/>
    <x v="1"/>
    <x v="6"/>
    <s v="Q1"/>
    <n v="2025"/>
  </r>
  <r>
    <s v="CAN0345"/>
    <s v="Vincent"/>
    <s v="Davis"/>
    <s v="Male"/>
    <n v="24"/>
    <s v="vincent.davis50@gmail.com"/>
    <n v="9540204569"/>
    <s v="Chandigarh"/>
    <s v="Chandigarh"/>
    <s v="B.Tech"/>
    <n v="0.2"/>
    <n v="4.5999999999999996"/>
    <n v="6.7"/>
    <s v="Immediate"/>
    <x v="1"/>
    <d v="2025-05-11T00:00:00"/>
    <x v="0"/>
    <x v="0"/>
    <x v="10"/>
    <s v="Q2"/>
    <n v="2025"/>
  </r>
  <r>
    <s v="CAN0346"/>
    <s v="Ashley"/>
    <s v="Harris"/>
    <s v="Female"/>
    <n v="21"/>
    <s v="ashley.harris94@gmail.com"/>
    <n v="9504766490"/>
    <s v="Hyderabad"/>
    <s v="Telangana"/>
    <s v="M.Sc"/>
    <n v="10.4"/>
    <n v="19.899999999999999"/>
    <n v="26.6"/>
    <s v="Immediate"/>
    <x v="1"/>
    <d v="2025-01-18T00:00:00"/>
    <x v="0"/>
    <x v="0"/>
    <x v="5"/>
    <s v="Q1"/>
    <n v="2025"/>
  </r>
  <r>
    <s v="CAN0347"/>
    <s v="David"/>
    <s v="DDS"/>
    <s v="Female"/>
    <n v="24"/>
    <s v="david.dds7@gmail.com"/>
    <n v="9535745242"/>
    <s v="Jaipur"/>
    <s v="Rajasthan"/>
    <s v="M.Tech"/>
    <n v="1.2"/>
    <n v="9.3000000000000007"/>
    <n v="12.5"/>
    <s v="30 Days"/>
    <x v="5"/>
    <d v="2025-08-22T00:00:00"/>
    <x v="0"/>
    <x v="0"/>
    <x v="3"/>
    <s v="Q3"/>
    <n v="2025"/>
  </r>
  <r>
    <s v="CAN0348"/>
    <s v="Latoya"/>
    <s v="Collins"/>
    <s v="Female"/>
    <n v="21"/>
    <s v="latoya.collins1@gmail.com"/>
    <n v="9608384699"/>
    <s v="Jaipur"/>
    <s v="Rajasthan"/>
    <s v="M.Tech"/>
    <n v="1.9"/>
    <n v="8.1999999999999993"/>
    <n v="10.5"/>
    <s v="15 Days"/>
    <x v="1"/>
    <d v="2025-07-14T00:00:00"/>
    <x v="0"/>
    <x v="0"/>
    <x v="7"/>
    <s v="Q3"/>
    <n v="2025"/>
  </r>
  <r>
    <s v="CAN0349"/>
    <s v="Dr."/>
    <s v="Ross"/>
    <s v="Male"/>
    <n v="42"/>
    <s v="dr..ross81@gmail.com"/>
    <n v="9949727271"/>
    <s v="Jaipur"/>
    <s v="Rajasthan"/>
    <s v="M.Sc"/>
    <n v="4.3"/>
    <n v="9.5"/>
    <n v="11.8"/>
    <s v="Immediate"/>
    <x v="4"/>
    <d v="2025-05-17T00:00:00"/>
    <x v="0"/>
    <x v="2"/>
    <x v="10"/>
    <s v="Q2"/>
    <n v="2025"/>
  </r>
  <r>
    <s v="CAN0350"/>
    <s v="Samantha"/>
    <s v="Nelson"/>
    <s v="Female"/>
    <n v="26"/>
    <s v="samantha.nelson87@gmail.com"/>
    <n v="9987123829"/>
    <s v="Gurugram"/>
    <s v="Haryana"/>
    <s v="B.Tech"/>
    <n v="1.8"/>
    <n v="10.8"/>
    <n v="14.9"/>
    <s v="30 Days"/>
    <x v="6"/>
    <d v="2025-05-16T00:00:00"/>
    <x v="0"/>
    <x v="1"/>
    <x v="10"/>
    <s v="Q2"/>
    <n v="2025"/>
  </r>
  <r>
    <s v="CAN0351"/>
    <s v="James"/>
    <s v="Peters"/>
    <s v="Male"/>
    <n v="27"/>
    <s v="james.peters61@gmail.com"/>
    <n v="9874770594"/>
    <s v="Gurugram"/>
    <s v="Haryana"/>
    <s v="M.Tech"/>
    <n v="7.3"/>
    <n v="18.600000000000001"/>
    <n v="23.8"/>
    <s v="15 Days"/>
    <x v="0"/>
    <d v="2025-09-28T00:00:00"/>
    <x v="0"/>
    <x v="1"/>
    <x v="2"/>
    <s v="Q3"/>
    <n v="2025"/>
  </r>
  <r>
    <s v="CAN0352"/>
    <s v="Nicole"/>
    <s v="Fisher"/>
    <s v="Male"/>
    <n v="32"/>
    <s v="nicole.fisher27@gmail.com"/>
    <n v="9666371160"/>
    <s v="Pune"/>
    <s v="Maharashtra"/>
    <s v="M.Sc"/>
    <n v="7.1"/>
    <n v="13.6"/>
    <n v="16.3"/>
    <s v="15 Days"/>
    <x v="3"/>
    <d v="2025-08-24T00:00:00"/>
    <x v="0"/>
    <x v="3"/>
    <x v="3"/>
    <s v="Q3"/>
    <n v="2025"/>
  </r>
  <r>
    <s v="CAN0353"/>
    <s v="Marcus"/>
    <s v="Mcclure"/>
    <s v="Male"/>
    <n v="24"/>
    <s v="marcus.mcclure84@gmail.com"/>
    <n v="9146449160"/>
    <s v="Gurugram"/>
    <s v="Haryana"/>
    <s v="B.Com"/>
    <n v="8.4"/>
    <n v="11.4"/>
    <n v="15.9"/>
    <s v="60 Days"/>
    <x v="0"/>
    <d v="2025-03-20T00:00:00"/>
    <x v="0"/>
    <x v="0"/>
    <x v="6"/>
    <s v="Q1"/>
    <n v="2025"/>
  </r>
  <r>
    <s v="CAN0354"/>
    <s v="Tyler"/>
    <s v="Schmidt"/>
    <s v="Female"/>
    <n v="29"/>
    <s v="tyler.schmidt49@gmail.com"/>
    <n v="9210383827"/>
    <s v="Gurugram"/>
    <s v="Haryana"/>
    <s v="B.Com"/>
    <n v="2.2000000000000002"/>
    <n v="8.9"/>
    <n v="12.3"/>
    <s v="30 Days"/>
    <x v="2"/>
    <d v="2025-02-15T00:00:00"/>
    <x v="0"/>
    <x v="1"/>
    <x v="1"/>
    <s v="Q1"/>
    <n v="2025"/>
  </r>
  <r>
    <s v="CAN0355"/>
    <s v="Elizabeth"/>
    <s v="Vazquez"/>
    <s v="Male"/>
    <n v="35"/>
    <s v="elizabeth.vazquez38@gmail.com"/>
    <n v="9579105101"/>
    <s v="Jaipur"/>
    <s v="Rajasthan"/>
    <s v="B.Tech"/>
    <n v="4"/>
    <n v="5.7"/>
    <n v="7.6"/>
    <s v="30 Days"/>
    <x v="0"/>
    <d v="2025-09-22T00:00:00"/>
    <x v="0"/>
    <x v="3"/>
    <x v="2"/>
    <s v="Q3"/>
    <n v="2025"/>
  </r>
  <r>
    <s v="CAN0356"/>
    <s v="Erika"/>
    <s v="Lucas"/>
    <s v="Male"/>
    <n v="28"/>
    <s v="erika.lucas88@gmail.com"/>
    <n v="9240147423"/>
    <s v="Gurugram"/>
    <s v="Haryana"/>
    <s v="BBA"/>
    <n v="1.4"/>
    <n v="3.2"/>
    <n v="4.3"/>
    <s v="30 Days"/>
    <x v="1"/>
    <d v="2025-07-15T00:00:00"/>
    <x v="0"/>
    <x v="1"/>
    <x v="7"/>
    <s v="Q3"/>
    <n v="2025"/>
  </r>
  <r>
    <s v="CAN0357"/>
    <s v="Michelle"/>
    <s v="Brown"/>
    <s v="Male"/>
    <n v="29"/>
    <s v="michelle.brown72@gmail.com"/>
    <n v="9315664116"/>
    <s v="Bengaluru"/>
    <s v="Karnataka"/>
    <s v="M.Tech"/>
    <n v="7.2"/>
    <n v="10.8"/>
    <n v="12.3"/>
    <s v="15 Days"/>
    <x v="5"/>
    <d v="2025-05-21T00:00:00"/>
    <x v="0"/>
    <x v="1"/>
    <x v="10"/>
    <s v="Q2"/>
    <n v="2025"/>
  </r>
  <r>
    <s v="CAN0358"/>
    <s v="Glenn"/>
    <s v="Lee"/>
    <s v="Female"/>
    <n v="21"/>
    <s v="glenn.lee33@gmail.com"/>
    <n v="9359664703"/>
    <s v="Chennai"/>
    <s v="Tamil Nadu"/>
    <s v="M.Sc"/>
    <n v="1.9"/>
    <n v="8.3000000000000007"/>
    <n v="9.5"/>
    <s v="30 Days"/>
    <x v="6"/>
    <d v="2025-04-14T00:00:00"/>
    <x v="0"/>
    <x v="0"/>
    <x v="11"/>
    <s v="Q2"/>
    <n v="2025"/>
  </r>
  <r>
    <s v="CAN0359"/>
    <s v="Brenda"/>
    <s v="Andrade"/>
    <s v="Male"/>
    <n v="37"/>
    <s v="brenda.andrade38@gmail.com"/>
    <n v="9763423702"/>
    <s v="Chandigarh"/>
    <s v="Chandigarh"/>
    <s v="B.Com"/>
    <n v="4.5"/>
    <n v="8.8000000000000007"/>
    <n v="10"/>
    <s v="30 Days"/>
    <x v="2"/>
    <d v="2025-12-31T00:00:00"/>
    <x v="0"/>
    <x v="2"/>
    <x v="4"/>
    <s v="Q4"/>
    <n v="2025"/>
  </r>
  <r>
    <s v="CAN0360"/>
    <s v="Hunter"/>
    <s v="Jenkins"/>
    <s v="Female"/>
    <n v="35"/>
    <s v="hunter.jenkins53@gmail.com"/>
    <n v="9562747371"/>
    <s v="Pune"/>
    <s v="Maharashtra"/>
    <s v="M.Tech"/>
    <n v="0.8"/>
    <n v="14.9"/>
    <n v="18"/>
    <s v="15 Days"/>
    <x v="3"/>
    <d v="2025-03-08T00:00:00"/>
    <x v="0"/>
    <x v="3"/>
    <x v="6"/>
    <s v="Q1"/>
    <n v="2025"/>
  </r>
  <r>
    <s v="CAN0361"/>
    <s v="Patrick"/>
    <s v="Daugherty"/>
    <s v="Female"/>
    <n v="26"/>
    <s v="patrick.daugherty25@gmail.com"/>
    <n v="9864392519"/>
    <s v="Ahmedabad"/>
    <s v="Gujarat"/>
    <s v="B.Com"/>
    <n v="0.1"/>
    <n v="6.7"/>
    <n v="9"/>
    <s v="15 Days"/>
    <x v="0"/>
    <d v="2025-08-17T00:00:00"/>
    <x v="0"/>
    <x v="1"/>
    <x v="3"/>
    <s v="Q3"/>
    <n v="2025"/>
  </r>
  <r>
    <s v="CAN0362"/>
    <s v="Christina"/>
    <s v="Martinez"/>
    <s v="Male"/>
    <n v="26"/>
    <s v="christina.martinez68@gmail.com"/>
    <n v="9545293810"/>
    <s v="Delhi"/>
    <s v="Delhi"/>
    <m/>
    <n v="12.3"/>
    <n v="20"/>
    <n v="26.6"/>
    <s v="60 Days"/>
    <x v="0"/>
    <d v="2025-10-16T00:00:00"/>
    <x v="0"/>
    <x v="1"/>
    <x v="8"/>
    <s v="Q4"/>
    <n v="2025"/>
  </r>
  <r>
    <s v="CAN0363"/>
    <s v="Thomas"/>
    <s v="Nguyen"/>
    <s v="Male"/>
    <n v="29"/>
    <s v="thomas.nguyen60@gmail.com"/>
    <n v="9852634004"/>
    <s v="Kochi"/>
    <s v="Kerala"/>
    <s v="BBA"/>
    <n v="6.7"/>
    <n v="18.3"/>
    <n v="26.5"/>
    <s v="15 Days"/>
    <x v="0"/>
    <d v="2025-07-23T00:00:00"/>
    <x v="0"/>
    <x v="1"/>
    <x v="7"/>
    <s v="Q3"/>
    <n v="2025"/>
  </r>
  <r>
    <s v="CAN0364"/>
    <s v="Susan"/>
    <s v="Walton"/>
    <s v="Male"/>
    <n v="35"/>
    <s v="susan.walton66@gmail.com"/>
    <n v="9908312892"/>
    <s v="Kochi"/>
    <s v="Kerala"/>
    <s v="B.Tech"/>
    <n v="6.4"/>
    <n v="16.600000000000001"/>
    <n v="19.899999999999999"/>
    <s v="15 Days"/>
    <x v="1"/>
    <d v="2025-12-15T00:00:00"/>
    <x v="0"/>
    <x v="3"/>
    <x v="4"/>
    <s v="Q4"/>
    <n v="2025"/>
  </r>
  <r>
    <s v="CAN0365"/>
    <s v="Deborah"/>
    <s v="MD"/>
    <s v="Male"/>
    <n v="27"/>
    <s v="deborah.md43@gmail.com"/>
    <n v="9925952724"/>
    <s v="Noida"/>
    <s v="Uttar Pradesh"/>
    <s v="MBA"/>
    <n v="6"/>
    <n v="13.5"/>
    <n v="15.6"/>
    <s v="15 Days"/>
    <x v="0"/>
    <d v="2025-01-08T00:00:00"/>
    <x v="0"/>
    <x v="1"/>
    <x v="5"/>
    <s v="Q1"/>
    <n v="2025"/>
  </r>
  <r>
    <s v="CAN0366"/>
    <s v="Vanessa"/>
    <s v="Pham"/>
    <s v="Male"/>
    <n v="23"/>
    <s v="vanessa.pham12@gmail.com"/>
    <n v="9908862260"/>
    <s v="Hyderabad"/>
    <s v="Telangana"/>
    <s v="M.Tech"/>
    <n v="2"/>
    <n v="7"/>
    <n v="8"/>
    <s v="30 Days"/>
    <x v="5"/>
    <d v="2025-09-05T00:00:00"/>
    <x v="0"/>
    <x v="0"/>
    <x v="2"/>
    <s v="Q3"/>
    <n v="2025"/>
  </r>
  <r>
    <s v="CAN0367"/>
    <s v="Michael"/>
    <s v="Lopez"/>
    <s v="Female"/>
    <n v="32"/>
    <s v="michael.lopez71@gmail.com"/>
    <n v="9841971561"/>
    <s v="Jaipur"/>
    <s v="Rajasthan"/>
    <s v="B.Com"/>
    <n v="0.6"/>
    <n v="7.8"/>
    <n v="10.199999999999999"/>
    <s v="90 Days"/>
    <x v="3"/>
    <d v="2025-11-17T00:00:00"/>
    <x v="0"/>
    <x v="3"/>
    <x v="9"/>
    <s v="Q4"/>
    <n v="2025"/>
  </r>
  <r>
    <s v="CAN0368"/>
    <s v="Joseph"/>
    <s v="Ortiz"/>
    <s v="Male"/>
    <n v="26"/>
    <s v="joseph.ortiz43@gmail.com"/>
    <n v="9304279816"/>
    <s v="Kolkata"/>
    <s v="West Bengal"/>
    <s v="PhD"/>
    <n v="0.7"/>
    <n v="8.1"/>
    <n v="9.6"/>
    <s v="30 Days"/>
    <x v="1"/>
    <d v="2025-02-14T00:00:00"/>
    <x v="0"/>
    <x v="1"/>
    <x v="1"/>
    <s v="Q1"/>
    <n v="2025"/>
  </r>
  <r>
    <s v="CAN0369"/>
    <s v="Carol"/>
    <s v="Vance"/>
    <s v="Male"/>
    <n v="27"/>
    <s v="carol.vance33@gmail.com"/>
    <n v="9812915940"/>
    <s v="Kochi"/>
    <s v="Kerala"/>
    <s v="B.Sc"/>
    <n v="3.2"/>
    <n v="8"/>
    <n v="10"/>
    <s v="60 Days"/>
    <x v="5"/>
    <d v="2025-06-07T00:00:00"/>
    <x v="0"/>
    <x v="1"/>
    <x v="0"/>
    <s v="Q2"/>
    <n v="2025"/>
  </r>
  <r>
    <s v="CAN0370"/>
    <s v="Justin"/>
    <s v="Lambert"/>
    <s v="Male"/>
    <n v="25"/>
    <s v="justin.lambert49@gmail.com"/>
    <n v="9961110943"/>
    <s v="Noida"/>
    <s v="Uttar Pradesh"/>
    <s v="M.Sc"/>
    <n v="2.8"/>
    <n v="7.9"/>
    <n v="9.5"/>
    <s v="15 Days"/>
    <x v="0"/>
    <d v="2025-10-02T00:00:00"/>
    <x v="0"/>
    <x v="0"/>
    <x v="8"/>
    <s v="Q4"/>
    <n v="2025"/>
  </r>
  <r>
    <s v="CAN0371"/>
    <s v="Lonnie"/>
    <s v="Wagner"/>
    <s v="Female"/>
    <n v="21"/>
    <s v="lonnie.wagner60@gmail.com"/>
    <n v="9804720201"/>
    <s v="Delhi"/>
    <s v="Delhi"/>
    <s v="MBA"/>
    <n v="6.4"/>
    <n v="10.4"/>
    <n v="12.1"/>
    <s v="90 Days"/>
    <x v="2"/>
    <d v="2025-08-22T00:00:00"/>
    <x v="0"/>
    <x v="0"/>
    <x v="3"/>
    <s v="Q3"/>
    <n v="2025"/>
  </r>
  <r>
    <s v="CAN0372"/>
    <s v="Matthew"/>
    <s v="Marsh"/>
    <s v="Female"/>
    <n v="28"/>
    <s v="matthew.marsh72@gmail.com"/>
    <n v="9812849936"/>
    <s v="Bengaluru"/>
    <s v="Karnataka"/>
    <s v="MBA"/>
    <n v="2.7"/>
    <n v="10"/>
    <n v="11.2"/>
    <s v="Immediate"/>
    <x v="4"/>
    <d v="2025-06-15T00:00:00"/>
    <x v="0"/>
    <x v="1"/>
    <x v="0"/>
    <s v="Q2"/>
    <n v="2025"/>
  </r>
  <r>
    <s v="CAN0373"/>
    <s v="Michelle"/>
    <s v="Fields"/>
    <s v="Male"/>
    <n v="36"/>
    <s v="michelle.fields29@gmail.com"/>
    <n v="9954793474"/>
    <s v="Delhi"/>
    <s v="Delhi"/>
    <s v="B.Sc"/>
    <n v="8.4"/>
    <n v="13.9"/>
    <n v="18.8"/>
    <s v="60 Days"/>
    <x v="1"/>
    <d v="2025-08-21T00:00:00"/>
    <x v="0"/>
    <x v="2"/>
    <x v="3"/>
    <s v="Q3"/>
    <n v="2025"/>
  </r>
  <r>
    <s v="CAN0374"/>
    <s v="April"/>
    <s v="Burns"/>
    <s v="Male"/>
    <n v="30"/>
    <s v="april.burns94@gmail.com"/>
    <n v="9577687183"/>
    <s v="Hyderabad"/>
    <s v="Telangana"/>
    <s v="M.Sc"/>
    <n v="3.8"/>
    <n v="5.9"/>
    <n v="6.7"/>
    <s v="30 Days"/>
    <x v="1"/>
    <d v="2025-01-26T00:00:00"/>
    <x v="0"/>
    <x v="1"/>
    <x v="5"/>
    <s v="Q1"/>
    <n v="2025"/>
  </r>
  <r>
    <s v="CAN0375"/>
    <s v="Chloe"/>
    <s v="Smith"/>
    <s v="Male"/>
    <n v="28"/>
    <s v="chloe.smith10@gmail.com"/>
    <n v="9974343817"/>
    <s v="Ahmedabad"/>
    <s v="Gujarat"/>
    <s v="BBA"/>
    <n v="0"/>
    <n v="7.4"/>
    <n v="8.3000000000000007"/>
    <s v="30 Days"/>
    <x v="3"/>
    <d v="2025-03-26T00:00:00"/>
    <x v="0"/>
    <x v="1"/>
    <x v="6"/>
    <s v="Q1"/>
    <n v="2025"/>
  </r>
  <r>
    <s v="CAN0376"/>
    <s v="Shari"/>
    <s v="Robinson"/>
    <s v="Male"/>
    <n v="25"/>
    <s v="shari.robinson87@gmail.com"/>
    <n v="9873558396"/>
    <s v="Pune"/>
    <s v="Maharashtra"/>
    <s v="MBA"/>
    <n v="0.9"/>
    <n v="12.9"/>
    <n v="17.899999999999999"/>
    <s v="30 Days"/>
    <x v="0"/>
    <d v="2025-04-16T00:00:00"/>
    <x v="0"/>
    <x v="0"/>
    <x v="11"/>
    <s v="Q2"/>
    <n v="2025"/>
  </r>
  <r>
    <s v="CAN0377"/>
    <s v="Keith"/>
    <s v="Rice"/>
    <s v="Male"/>
    <n v="26"/>
    <s v="keith.rice60@gmail.com"/>
    <n v="9202258031"/>
    <s v="Hyderabad"/>
    <s v="Telangana"/>
    <s v="MBA"/>
    <n v="8.1"/>
    <m/>
    <n v="29.7"/>
    <s v="30 Days"/>
    <x v="5"/>
    <d v="2025-05-12T00:00:00"/>
    <x v="0"/>
    <x v="1"/>
    <x v="10"/>
    <s v="Q2"/>
    <n v="2025"/>
  </r>
  <r>
    <s v="CAN0378"/>
    <s v="Richard"/>
    <s v="Hall"/>
    <s v="Female"/>
    <n v="25"/>
    <s v="richard.hall57@gmail.com"/>
    <n v="9836493243"/>
    <s v="Noida"/>
    <s v="Uttar Pradesh"/>
    <s v="B.Tech"/>
    <n v="4.7"/>
    <n v="11.2"/>
    <n v="12.8"/>
    <s v="30 Days"/>
    <x v="0"/>
    <d v="2025-08-17T00:00:00"/>
    <x v="0"/>
    <x v="0"/>
    <x v="3"/>
    <s v="Q3"/>
    <n v="2025"/>
  </r>
  <r>
    <s v="CAN0379"/>
    <s v="Kelsey"/>
    <s v="Li"/>
    <s v="Male"/>
    <n v="24"/>
    <s v="kelsey.li30@gmail.com"/>
    <n v="9724977986"/>
    <s v="Chandigarh"/>
    <s v="Chandigarh"/>
    <s v="B.Sc"/>
    <n v="0.3"/>
    <n v="4.4000000000000004"/>
    <n v="5.7"/>
    <s v="15 Days"/>
    <x v="6"/>
    <d v="2025-06-16T00:00:00"/>
    <x v="0"/>
    <x v="0"/>
    <x v="0"/>
    <s v="Q2"/>
    <n v="2025"/>
  </r>
  <r>
    <s v="CAN0380"/>
    <s v="Allen"/>
    <s v="Johnson"/>
    <s v="Female"/>
    <n v="35"/>
    <s v="allen.johnson28@gmail.com"/>
    <n v="9263099035"/>
    <s v="Chandigarh"/>
    <s v="Chandigarh"/>
    <s v="MBA"/>
    <n v="8.1"/>
    <n v="14.7"/>
    <n v="17.600000000000001"/>
    <s v="90 Days"/>
    <x v="2"/>
    <d v="2025-03-21T00:00:00"/>
    <x v="0"/>
    <x v="3"/>
    <x v="6"/>
    <s v="Q1"/>
    <n v="2025"/>
  </r>
  <r>
    <s v="CAN0381"/>
    <s v="Paul"/>
    <s v="Combs"/>
    <s v="Female"/>
    <n v="25"/>
    <s v="paul.combs29@gmail.com"/>
    <n v="9803117171"/>
    <s v="Kolkata"/>
    <s v="West Bengal"/>
    <s v="MBA"/>
    <n v="15.7"/>
    <n v="24.7"/>
    <n v="29.3"/>
    <s v="Immediate"/>
    <x v="0"/>
    <d v="2025-06-20T00:00:00"/>
    <x v="0"/>
    <x v="0"/>
    <x v="0"/>
    <s v="Q2"/>
    <n v="2025"/>
  </r>
  <r>
    <s v="CAN0382"/>
    <s v="Wendy"/>
    <s v="Torres"/>
    <s v="Female"/>
    <n v="43"/>
    <s v="wendy.torres15@gmail.com"/>
    <n v="9141674521"/>
    <s v="Kochi"/>
    <s v="Kerala"/>
    <s v="B.Com"/>
    <n v="0.3"/>
    <n v="7.6"/>
    <n v="10.199999999999999"/>
    <s v="15 Days"/>
    <x v="5"/>
    <d v="2025-09-26T00:00:00"/>
    <x v="0"/>
    <x v="2"/>
    <x v="2"/>
    <s v="Q3"/>
    <n v="2025"/>
  </r>
  <r>
    <s v="CAN0383"/>
    <s v="Anne"/>
    <s v="Roberts"/>
    <s v="Male"/>
    <n v="38"/>
    <s v="anne.roberts38@gmail.com"/>
    <n v="9626043174"/>
    <s v="Gurugram"/>
    <s v="Haryana"/>
    <s v="B.Tech"/>
    <n v="11.2"/>
    <n v="18"/>
    <n v="24.8"/>
    <s v="60 Days"/>
    <x v="6"/>
    <d v="2025-04-13T00:00:00"/>
    <x v="0"/>
    <x v="2"/>
    <x v="11"/>
    <s v="Q2"/>
    <n v="2025"/>
  </r>
  <r>
    <s v="CAN0384"/>
    <s v="April"/>
    <s v="Randall"/>
    <s v="Male"/>
    <n v="23"/>
    <s v="april.randall39@gmail.com"/>
    <n v="9741858166"/>
    <s v="Ahmedabad"/>
    <s v="Gujarat"/>
    <m/>
    <n v="2"/>
    <n v="6.3"/>
    <n v="7.2"/>
    <s v="Immediate"/>
    <x v="0"/>
    <d v="2025-04-27T00:00:00"/>
    <x v="0"/>
    <x v="0"/>
    <x v="11"/>
    <s v="Q2"/>
    <n v="2025"/>
  </r>
  <r>
    <s v="CAN0385"/>
    <s v="Crystal"/>
    <s v="Johnson"/>
    <s v="Female"/>
    <n v="28"/>
    <s v="crystal.johnson39@gmail.com"/>
    <n v="9134793432"/>
    <s v="Ahmedabad"/>
    <s v="Gujarat"/>
    <s v="M.Tech"/>
    <n v="4.4000000000000004"/>
    <n v="15.8"/>
    <n v="22.7"/>
    <s v="15 Days"/>
    <x v="6"/>
    <d v="2025-12-03T00:00:00"/>
    <x v="0"/>
    <x v="1"/>
    <x v="4"/>
    <s v="Q4"/>
    <n v="2025"/>
  </r>
  <r>
    <s v="CAN0386"/>
    <s v="Teresa"/>
    <s v="Anderson"/>
    <s v="Male"/>
    <n v="36"/>
    <s v="teresa.anderson23@gmail.com"/>
    <n v="9457701216"/>
    <s v="Gurugram"/>
    <s v="Haryana"/>
    <s v="BBA"/>
    <n v="0.3"/>
    <n v="3.8"/>
    <n v="4.5999999999999996"/>
    <s v="30 Days"/>
    <x v="0"/>
    <d v="2025-06-02T00:00:00"/>
    <x v="0"/>
    <x v="2"/>
    <x v="0"/>
    <s v="Q2"/>
    <n v="2025"/>
  </r>
  <r>
    <s v="CAN0387"/>
    <s v="Jackie"/>
    <s v="Carson"/>
    <s v="Female"/>
    <n v="23"/>
    <s v="jackie.carson93@gmail.com"/>
    <n v="9700409680"/>
    <s v="Delhi"/>
    <s v="Delhi"/>
    <s v="B.Tech"/>
    <n v="0.3"/>
    <n v="3.3"/>
    <n v="4.3"/>
    <s v="60 Days"/>
    <x v="1"/>
    <d v="2025-08-25T00:00:00"/>
    <x v="0"/>
    <x v="0"/>
    <x v="3"/>
    <s v="Q3"/>
    <n v="2025"/>
  </r>
  <r>
    <s v="CAN0388"/>
    <s v="Dominic"/>
    <s v="Rosario"/>
    <s v="Male"/>
    <n v="33"/>
    <s v="dominic.rosario6@gmail.com"/>
    <n v="9651221211"/>
    <s v="Ahmedabad"/>
    <s v="Gujarat"/>
    <s v="B.Tech"/>
    <n v="2.7"/>
    <n v="6.6"/>
    <n v="8.8000000000000007"/>
    <m/>
    <x v="1"/>
    <d v="2025-06-30T00:00:00"/>
    <x v="0"/>
    <x v="3"/>
    <x v="0"/>
    <s v="Q2"/>
    <n v="2025"/>
  </r>
  <r>
    <s v="CAN0389"/>
    <s v="Ralph"/>
    <s v="Willis"/>
    <s v="Male"/>
    <n v="32"/>
    <s v="ralph.willis94@gmail.com"/>
    <n v="9812046168"/>
    <s v="Jaipur"/>
    <s v="Rajasthan"/>
    <s v="B.Tech"/>
    <n v="7.6"/>
    <n v="9.4"/>
    <n v="11.1"/>
    <s v="90 Days"/>
    <x v="2"/>
    <d v="2025-11-27T00:00:00"/>
    <x v="0"/>
    <x v="3"/>
    <x v="9"/>
    <s v="Q4"/>
    <n v="2025"/>
  </r>
  <r>
    <s v="CAN0390"/>
    <s v="Michael"/>
    <s v="Delgado"/>
    <s v="Female"/>
    <n v="31"/>
    <s v="michael.delgado62@gmail.com"/>
    <n v="9425755566"/>
    <s v="Pune"/>
    <s v="Maharashtra"/>
    <s v="B.Sc"/>
    <n v="3.9"/>
    <n v="12.8"/>
    <n v="14.8"/>
    <s v="15 Days"/>
    <x v="0"/>
    <d v="2025-05-19T00:00:00"/>
    <x v="0"/>
    <x v="3"/>
    <x v="10"/>
    <s v="Q2"/>
    <n v="2025"/>
  </r>
  <r>
    <s v="CAN0391"/>
    <s v="Phillip"/>
    <s v="Becker"/>
    <s v="Male"/>
    <n v="38"/>
    <s v="phillip.becker16@gmail.com"/>
    <n v="9448183800"/>
    <s v="Delhi"/>
    <s v="Delhi"/>
    <s v="B.Sc"/>
    <n v="9.1"/>
    <n v="19.399999999999999"/>
    <n v="25.4"/>
    <s v="Immediate"/>
    <x v="0"/>
    <d v="2025-04-12T00:00:00"/>
    <x v="0"/>
    <x v="2"/>
    <x v="11"/>
    <s v="Q2"/>
    <n v="2025"/>
  </r>
  <r>
    <s v="CAN0392"/>
    <s v="Richard"/>
    <s v="Miller"/>
    <s v="Male"/>
    <n v="29"/>
    <s v="richard.miller72@gmail.com"/>
    <n v="9318461678"/>
    <s v="Pune"/>
    <s v="Maharashtra"/>
    <s v="MCA"/>
    <n v="2.6"/>
    <n v="11.2"/>
    <n v="15.2"/>
    <s v="30 Days"/>
    <x v="0"/>
    <d v="2025-02-18T00:00:00"/>
    <x v="0"/>
    <x v="1"/>
    <x v="1"/>
    <s v="Q1"/>
    <n v="2025"/>
  </r>
  <r>
    <s v="CAN0393"/>
    <s v="Paul"/>
    <s v="Conner"/>
    <s v="Male"/>
    <n v="33"/>
    <s v="paul.conner7@gmail.com"/>
    <n v="9624416641"/>
    <s v="Chandigarh"/>
    <s v="Chandigarh"/>
    <s v="MBA"/>
    <n v="18.7"/>
    <n v="25.7"/>
    <n v="33.6"/>
    <s v="30 Days"/>
    <x v="0"/>
    <d v="2025-03-29T00:00:00"/>
    <x v="0"/>
    <x v="3"/>
    <x v="6"/>
    <s v="Q1"/>
    <n v="2025"/>
  </r>
  <r>
    <s v="CAN0394"/>
    <s v="Raymond"/>
    <s v="Sloan"/>
    <s v="Male"/>
    <n v="24"/>
    <s v="raymond.sloan34@gmail.com"/>
    <n v="9133200146"/>
    <s v="Noida"/>
    <s v="Uttar Pradesh"/>
    <s v="B.Com"/>
    <n v="2.1"/>
    <n v="11"/>
    <n v="14.2"/>
    <s v="15 Days"/>
    <x v="6"/>
    <d v="2025-02-13T00:00:00"/>
    <x v="0"/>
    <x v="0"/>
    <x v="1"/>
    <s v="Q1"/>
    <n v="2025"/>
  </r>
  <r>
    <s v="CAN0395"/>
    <s v="Bobby"/>
    <s v="Miller"/>
    <s v="Female"/>
    <n v="26"/>
    <s v="bobby.miller28@gmail.com"/>
    <n v="9351167423"/>
    <s v="Hyderabad"/>
    <s v="Telangana"/>
    <s v="M.Tech"/>
    <n v="2.4"/>
    <n v="8.8000000000000007"/>
    <n v="12.1"/>
    <s v="30 Days"/>
    <x v="0"/>
    <d v="2025-05-06T00:00:00"/>
    <x v="0"/>
    <x v="1"/>
    <x v="10"/>
    <s v="Q2"/>
    <n v="2025"/>
  </r>
  <r>
    <s v="CAN0396"/>
    <s v="Terrance"/>
    <s v="Davies"/>
    <s v="Male"/>
    <n v="32"/>
    <s v="terrance.davies44@gmail.com"/>
    <n v="9205307596"/>
    <s v="Bengaluru"/>
    <s v="Karnataka"/>
    <s v="B.Tech"/>
    <n v="0.2"/>
    <n v="7.7"/>
    <n v="10.6"/>
    <s v="15 Days"/>
    <x v="2"/>
    <d v="2025-02-13T00:00:00"/>
    <x v="0"/>
    <x v="3"/>
    <x v="1"/>
    <s v="Q1"/>
    <n v="2025"/>
  </r>
  <r>
    <s v="CAN0397"/>
    <s v="Jennifer"/>
    <s v="Baker"/>
    <s v="Female"/>
    <n v="27"/>
    <s v="jennifer.baker60@gmail.com"/>
    <n v="9735507987"/>
    <s v="Indore"/>
    <s v="Madhya Pradesh"/>
    <s v="B.Tech"/>
    <n v="1.2"/>
    <n v="6.1"/>
    <n v="7.5"/>
    <s v="90 Days"/>
    <x v="3"/>
    <d v="2025-01-17T00:00:00"/>
    <x v="0"/>
    <x v="1"/>
    <x v="5"/>
    <s v="Q1"/>
    <n v="2025"/>
  </r>
  <r>
    <s v="CAN0398"/>
    <s v="Timothy"/>
    <s v="Anderson"/>
    <s v="Male"/>
    <n v="35"/>
    <s v="timothy.anderson32@gmail.com"/>
    <n v="9258983405"/>
    <s v="Jaipur"/>
    <s v="Rajasthan"/>
    <s v="BBA"/>
    <n v="3.7"/>
    <n v="8.1999999999999993"/>
    <n v="9.6"/>
    <s v="60 Days"/>
    <x v="3"/>
    <d v="2025-04-15T00:00:00"/>
    <x v="0"/>
    <x v="3"/>
    <x v="11"/>
    <s v="Q2"/>
    <n v="2025"/>
  </r>
  <r>
    <s v="CAN0399"/>
    <s v="Randall"/>
    <s v="Davis"/>
    <s v="Male"/>
    <n v="27"/>
    <s v="randall.davis29@gmail.com"/>
    <n v="9836625825"/>
    <s v="Gurugram"/>
    <s v="Haryana"/>
    <s v="MBA"/>
    <n v="0.5"/>
    <n v="4.4000000000000004"/>
    <n v="5"/>
    <s v="Immediate"/>
    <x v="6"/>
    <d v="2025-01-20T00:00:00"/>
    <x v="0"/>
    <x v="1"/>
    <x v="5"/>
    <s v="Q1"/>
    <n v="2025"/>
  </r>
  <r>
    <s v="CAN0400"/>
    <s v="Brittany"/>
    <s v="Lloyd"/>
    <s v="Male"/>
    <n v="39"/>
    <s v="brittany.lloyd43@gmail.com"/>
    <n v="9174128975"/>
    <s v="Chandigarh"/>
    <s v="Chandigarh"/>
    <s v="M.Tech"/>
    <n v="1.6"/>
    <n v="8.1"/>
    <n v="9.1999999999999993"/>
    <s v="60 Days"/>
    <x v="0"/>
    <d v="2025-07-07T00:00:00"/>
    <x v="0"/>
    <x v="2"/>
    <x v="7"/>
    <s v="Q3"/>
    <n v="2025"/>
  </r>
  <r>
    <s v="CAN0401"/>
    <s v="Brandon"/>
    <s v="Ross"/>
    <s v="Female"/>
    <n v="37"/>
    <s v="brandon.ross12@gmail.com"/>
    <n v="9798947876"/>
    <s v="Jaipur"/>
    <s v="Rajasthan"/>
    <s v="CA"/>
    <n v="2.2000000000000002"/>
    <n v="7.7"/>
    <n v="10.1"/>
    <s v="60 Days"/>
    <x v="2"/>
    <d v="2025-09-12T00:00:00"/>
    <x v="0"/>
    <x v="2"/>
    <x v="2"/>
    <s v="Q3"/>
    <n v="2025"/>
  </r>
  <r>
    <s v="CAN0402"/>
    <s v="Hannah"/>
    <s v="Murphy"/>
    <s v="Male"/>
    <n v="33"/>
    <s v="hannah.murphy89@gmail.com"/>
    <n v="9425307826"/>
    <s v="Indore"/>
    <s v="Madhya Pradesh"/>
    <s v="B.Tech"/>
    <n v="3.9"/>
    <n v="10.4"/>
    <n v="13.2"/>
    <s v="60 Days"/>
    <x v="5"/>
    <d v="2025-03-26T00:00:00"/>
    <x v="0"/>
    <x v="3"/>
    <x v="6"/>
    <s v="Q1"/>
    <n v="2025"/>
  </r>
  <r>
    <s v="CAN0403"/>
    <s v="Phillip"/>
    <s v="Stevenson"/>
    <s v="Male"/>
    <n v="23"/>
    <s v="phillip.stevenson82@gmail.com"/>
    <n v="9942275669"/>
    <s v="Kochi"/>
    <s v="Kerala"/>
    <s v="BBA"/>
    <n v="1.7"/>
    <n v="9.6999999999999993"/>
    <n v="13.3"/>
    <s v="30 Days"/>
    <x v="5"/>
    <d v="2025-11-20T00:00:00"/>
    <x v="0"/>
    <x v="0"/>
    <x v="9"/>
    <s v="Q4"/>
    <n v="2025"/>
  </r>
  <r>
    <s v="CAN0404"/>
    <s v="David"/>
    <s v="Walker"/>
    <s v="Male"/>
    <n v="28"/>
    <s v="david.walker33@gmail.com"/>
    <n v="9906074328"/>
    <s v="Kochi"/>
    <s v="Kerala"/>
    <m/>
    <n v="4.2"/>
    <n v="7.4"/>
    <n v="8.9"/>
    <s v="30 Days"/>
    <x v="1"/>
    <d v="2025-09-10T00:00:00"/>
    <x v="0"/>
    <x v="1"/>
    <x v="2"/>
    <s v="Q3"/>
    <n v="2025"/>
  </r>
  <r>
    <s v="CAN0405"/>
    <s v="Emma"/>
    <s v="Johnson"/>
    <s v="Female"/>
    <n v="27"/>
    <s v="emma.johnson88@gmail.com"/>
    <n v="9862782694"/>
    <s v="Bengaluru"/>
    <s v="Karnataka"/>
    <s v="B.Com"/>
    <n v="1.5"/>
    <n v="9.4"/>
    <n v="13"/>
    <s v="60 Days"/>
    <x v="5"/>
    <d v="2025-06-25T00:00:00"/>
    <x v="0"/>
    <x v="1"/>
    <x v="0"/>
    <s v="Q2"/>
    <n v="2025"/>
  </r>
  <r>
    <s v="CAN0406"/>
    <s v="Larry"/>
    <s v="Ellis"/>
    <s v="Female"/>
    <n v="26"/>
    <s v="larry.ellis52@gmail.com"/>
    <n v="9193521281"/>
    <s v="Hyderabad"/>
    <s v="Telangana"/>
    <s v="M.Tech"/>
    <n v="10.8"/>
    <n v="21.3"/>
    <n v="29.7"/>
    <s v="15 Days"/>
    <x v="1"/>
    <d v="2025-08-07T00:00:00"/>
    <x v="0"/>
    <x v="1"/>
    <x v="3"/>
    <s v="Q3"/>
    <n v="2025"/>
  </r>
  <r>
    <s v="CAN0407"/>
    <s v="Mr."/>
    <s v="DDS"/>
    <s v="Female"/>
    <n v="32"/>
    <s v="mr..dds1@gmail.com"/>
    <n v="9422627420"/>
    <s v="Delhi"/>
    <s v="Delhi"/>
    <m/>
    <n v="3.5"/>
    <n v="12.7"/>
    <n v="18.2"/>
    <s v="60 Days"/>
    <x v="2"/>
    <d v="2025-07-30T00:00:00"/>
    <x v="0"/>
    <x v="3"/>
    <x v="7"/>
    <s v="Q3"/>
    <n v="2025"/>
  </r>
  <r>
    <s v="CAN0408"/>
    <s v="Morgan"/>
    <s v="Wright"/>
    <s v="Female"/>
    <n v="37"/>
    <s v="morgan.wright59@gmail.com"/>
    <n v="9256584001"/>
    <s v="Gurugram"/>
    <s v="Haryana"/>
    <s v="M.Tech"/>
    <n v="4.0999999999999996"/>
    <n v="11.5"/>
    <n v="13.2"/>
    <s v="30 Days"/>
    <x v="2"/>
    <d v="2025-01-17T00:00:00"/>
    <x v="0"/>
    <x v="2"/>
    <x v="5"/>
    <s v="Q1"/>
    <n v="2025"/>
  </r>
  <r>
    <s v="CAN0409"/>
    <s v="Douglas"/>
    <s v="Baldwin"/>
    <s v="Male"/>
    <n v="21"/>
    <s v="douglas.baldwin12@gmail.com"/>
    <n v="9390994473"/>
    <s v="Pune"/>
    <s v="Maharashtra"/>
    <s v="MBA"/>
    <n v="1.8"/>
    <n v="8.1"/>
    <n v="10.3"/>
    <s v="30 Days"/>
    <x v="3"/>
    <d v="2025-03-03T00:00:00"/>
    <x v="0"/>
    <x v="0"/>
    <x v="6"/>
    <s v="Q1"/>
    <n v="2025"/>
  </r>
  <r>
    <s v="CAN0410"/>
    <s v="Steven"/>
    <s v="Wilson"/>
    <s v="Male"/>
    <n v="27"/>
    <s v="steven.wilson81@gmail.com"/>
    <n v="9144583581"/>
    <s v="Noida"/>
    <s v="Uttar Pradesh"/>
    <s v="M.Sc"/>
    <n v="5.9"/>
    <n v="12.2"/>
    <n v="14.4"/>
    <s v="15 Days"/>
    <x v="4"/>
    <d v="2025-07-05T00:00:00"/>
    <x v="0"/>
    <x v="1"/>
    <x v="7"/>
    <s v="Q3"/>
    <n v="2025"/>
  </r>
  <r>
    <s v="CAN0411"/>
    <s v="Timothy"/>
    <s v="Marquez"/>
    <s v="Male"/>
    <n v="26"/>
    <s v="timothy.marquez45@gmail.com"/>
    <n v="9976014261"/>
    <s v="Ahmedabad"/>
    <s v="Gujarat"/>
    <m/>
    <n v="5.9"/>
    <n v="14.3"/>
    <n v="20.5"/>
    <s v="15 Days"/>
    <x v="2"/>
    <d v="2025-09-17T00:00:00"/>
    <x v="0"/>
    <x v="1"/>
    <x v="2"/>
    <s v="Q3"/>
    <n v="2025"/>
  </r>
  <r>
    <s v="CAN0412"/>
    <s v="Christine"/>
    <s v="Garcia"/>
    <s v="Female"/>
    <n v="23"/>
    <s v="christine.garcia78@gmail.com"/>
    <n v="9303417844"/>
    <s v="Kochi"/>
    <s v="Kerala"/>
    <s v="M.Sc"/>
    <n v="5.3"/>
    <n v="10"/>
    <n v="11.7"/>
    <s v="30 Days"/>
    <x v="0"/>
    <d v="2025-03-31T00:00:00"/>
    <x v="0"/>
    <x v="0"/>
    <x v="6"/>
    <s v="Q1"/>
    <n v="2025"/>
  </r>
  <r>
    <s v="CAN0413"/>
    <s v="Kyle"/>
    <s v="Harvey"/>
    <s v="Male"/>
    <n v="27"/>
    <s v="kyle.harvey32@gmail.com"/>
    <n v="9588091621"/>
    <s v="Ahmedabad"/>
    <s v="Gujarat"/>
    <s v="M.Sc"/>
    <n v="0.5"/>
    <n v="8.1"/>
    <n v="9.6999999999999993"/>
    <m/>
    <x v="0"/>
    <d v="2025-10-10T00:00:00"/>
    <x v="0"/>
    <x v="1"/>
    <x v="8"/>
    <s v="Q4"/>
    <n v="2025"/>
  </r>
  <r>
    <s v="CAN0414"/>
    <s v="Ashley"/>
    <s v="White"/>
    <s v="Female"/>
    <n v="24"/>
    <s v="ashley.white97@gmail.com"/>
    <n v="9651760406"/>
    <s v="Pune"/>
    <s v="Maharashtra"/>
    <s v="B.Com"/>
    <n v="20"/>
    <n v="30.5"/>
    <n v="43.5"/>
    <s v="60 Days"/>
    <x v="5"/>
    <d v="2025-02-08T00:00:00"/>
    <x v="0"/>
    <x v="0"/>
    <x v="1"/>
    <s v="Q1"/>
    <n v="2025"/>
  </r>
  <r>
    <s v="CAN0415"/>
    <s v="Jose"/>
    <s v="Chapman"/>
    <s v="Male"/>
    <n v="34"/>
    <s v="jose.chapman43@gmail.com"/>
    <n v="9576845612"/>
    <s v="Chennai"/>
    <s v="Tamil Nadu"/>
    <s v="CA"/>
    <n v="2.4"/>
    <n v="13"/>
    <n v="16.100000000000001"/>
    <s v="30 Days"/>
    <x v="1"/>
    <d v="2025-07-12T00:00:00"/>
    <x v="0"/>
    <x v="3"/>
    <x v="7"/>
    <s v="Q3"/>
    <n v="2025"/>
  </r>
  <r>
    <s v="CAN0416"/>
    <s v="Donna"/>
    <s v="Garcia"/>
    <s v="Female"/>
    <n v="28"/>
    <s v="donna.garcia87@gmail.com"/>
    <n v="9164087823"/>
    <s v="Indore"/>
    <s v="Madhya Pradesh"/>
    <s v="M.Tech"/>
    <n v="5.5"/>
    <n v="9.6"/>
    <n v="12.3"/>
    <s v="30 Days"/>
    <x v="0"/>
    <d v="2025-12-16T00:00:00"/>
    <x v="0"/>
    <x v="1"/>
    <x v="4"/>
    <s v="Q4"/>
    <n v="2025"/>
  </r>
  <r>
    <s v="CAN0417"/>
    <s v="Anthony"/>
    <s v="Harris"/>
    <s v="Male"/>
    <n v="31"/>
    <s v="anthony.harris49@gmail.com"/>
    <n v="9580750331"/>
    <s v="Chennai"/>
    <s v="Tamil Nadu"/>
    <s v="MBA"/>
    <n v="0.9"/>
    <n v="8.1"/>
    <n v="11.5"/>
    <s v="30 Days"/>
    <x v="3"/>
    <d v="2025-01-18T00:00:00"/>
    <x v="0"/>
    <x v="3"/>
    <x v="5"/>
    <s v="Q1"/>
    <n v="2025"/>
  </r>
  <r>
    <s v="CAN0418"/>
    <s v="Stephen"/>
    <s v="Young"/>
    <s v="Female"/>
    <n v="27"/>
    <s v="stephen.young62@gmail.com"/>
    <n v="9247094707"/>
    <s v="Bengaluru"/>
    <s v="Karnataka"/>
    <s v="CA"/>
    <n v="6"/>
    <n v="12.5"/>
    <n v="17.7"/>
    <s v="Immediate"/>
    <x v="1"/>
    <d v="2025-10-23T00:00:00"/>
    <x v="0"/>
    <x v="1"/>
    <x v="8"/>
    <s v="Q4"/>
    <n v="2025"/>
  </r>
  <r>
    <s v="CAN0419"/>
    <s v="Tonya"/>
    <s v="Harvey"/>
    <s v="Male"/>
    <n v="39"/>
    <s v="tonya.harvey51@gmail.com"/>
    <n v="9286382982"/>
    <s v="Jaipur"/>
    <s v="Rajasthan"/>
    <m/>
    <n v="2.7"/>
    <n v="9.3000000000000007"/>
    <n v="13.4"/>
    <s v="30 Days"/>
    <x v="0"/>
    <d v="2025-10-06T00:00:00"/>
    <x v="0"/>
    <x v="2"/>
    <x v="8"/>
    <s v="Q4"/>
    <n v="2025"/>
  </r>
  <r>
    <s v="CAN0420"/>
    <s v="Joshua"/>
    <s v="Martinez"/>
    <s v="Male"/>
    <n v="25"/>
    <s v="joshua.martinez71@gmail.com"/>
    <n v="9537617536"/>
    <s v="Pune"/>
    <s v="Maharashtra"/>
    <s v="B.Tech"/>
    <n v="0.3"/>
    <n v="2.5"/>
    <n v="3.6"/>
    <m/>
    <x v="2"/>
    <d v="2025-12-30T00:00:00"/>
    <x v="0"/>
    <x v="0"/>
    <x v="4"/>
    <s v="Q4"/>
    <n v="2025"/>
  </r>
  <r>
    <s v="CAN0421"/>
    <s v="Christopher"/>
    <s v="Manning"/>
    <s v="Male"/>
    <n v="42"/>
    <s v="christopher.manning36@gmail.com"/>
    <n v="9448109360"/>
    <s v="Pune"/>
    <s v="Maharashtra"/>
    <m/>
    <n v="3.7"/>
    <m/>
    <n v="11.6"/>
    <s v="Immediate"/>
    <x v="1"/>
    <d v="2025-03-13T00:00:00"/>
    <x v="0"/>
    <x v="2"/>
    <x v="6"/>
    <s v="Q1"/>
    <n v="2025"/>
  </r>
  <r>
    <s v="CAN0422"/>
    <s v="Elizabeth"/>
    <s v="Duncan"/>
    <s v="Male"/>
    <n v="26"/>
    <s v="elizabeth.duncan8@gmail.com"/>
    <n v="9274106760"/>
    <s v="Chennai"/>
    <s v="Tamil Nadu"/>
    <s v="MBA"/>
    <n v="0.1"/>
    <n v="4.5999999999999996"/>
    <n v="5.4"/>
    <s v="15 Days"/>
    <x v="0"/>
    <d v="2025-06-02T00:00:00"/>
    <x v="0"/>
    <x v="1"/>
    <x v="0"/>
    <s v="Q2"/>
    <n v="2025"/>
  </r>
  <r>
    <s v="CAN0423"/>
    <s v="Ashley"/>
    <s v="Greer"/>
    <s v="Female"/>
    <n v="21"/>
    <s v="ashley.greer47@gmail.com"/>
    <n v="9844667429"/>
    <s v="Pune"/>
    <s v="Maharashtra"/>
    <m/>
    <n v="1.1000000000000001"/>
    <n v="8.8000000000000007"/>
    <n v="12.4"/>
    <s v="30 Days"/>
    <x v="1"/>
    <d v="2025-08-13T00:00:00"/>
    <x v="0"/>
    <x v="0"/>
    <x v="3"/>
    <s v="Q3"/>
    <n v="2025"/>
  </r>
  <r>
    <s v="CAN0424"/>
    <s v="Rachel"/>
    <s v="Roberson"/>
    <s v="Male"/>
    <n v="27"/>
    <s v="rachel.roberson88@gmail.com"/>
    <n v="9379398463"/>
    <s v="Gurugram"/>
    <s v="Haryana"/>
    <s v="B.Com"/>
    <n v="2.5"/>
    <n v="3.4"/>
    <n v="4.2"/>
    <s v="90 Days"/>
    <x v="0"/>
    <d v="2025-04-15T00:00:00"/>
    <x v="0"/>
    <x v="1"/>
    <x v="11"/>
    <s v="Q2"/>
    <n v="2025"/>
  </r>
  <r>
    <s v="CAN0425"/>
    <s v="Allison"/>
    <s v="Watkins"/>
    <s v="Female"/>
    <n v="27"/>
    <s v="allison.watkins80@gmail.com"/>
    <n v="9583439976"/>
    <s v="Kolkata"/>
    <s v="West Bengal"/>
    <s v="M.Sc"/>
    <n v="3.7"/>
    <n v="8"/>
    <n v="10.6"/>
    <s v="60 Days"/>
    <x v="2"/>
    <d v="2025-03-19T00:00:00"/>
    <x v="0"/>
    <x v="1"/>
    <x v="6"/>
    <s v="Q1"/>
    <n v="2025"/>
  </r>
  <r>
    <s v="CAN0426"/>
    <s v="Dr."/>
    <s v="DDS"/>
    <s v="Male"/>
    <n v="27"/>
    <s v="dr..dds69@gmail.com"/>
    <n v="9604894025"/>
    <s v="Pune"/>
    <s v="Maharashtra"/>
    <s v="M.Tech"/>
    <n v="0.8"/>
    <n v="6.3"/>
    <n v="8.5"/>
    <s v="60 Days"/>
    <x v="0"/>
    <d v="2025-07-05T00:00:00"/>
    <x v="0"/>
    <x v="1"/>
    <x v="7"/>
    <s v="Q3"/>
    <n v="2025"/>
  </r>
  <r>
    <s v="CAN0427"/>
    <s v="Mckenzie"/>
    <s v="Long"/>
    <s v="Female"/>
    <n v="36"/>
    <s v="mckenzie.long51@gmail.com"/>
    <n v="9668378070"/>
    <s v="Chandigarh"/>
    <s v="Chandigarh"/>
    <s v="B.Sc"/>
    <n v="15.5"/>
    <n v="16.600000000000001"/>
    <n v="22"/>
    <s v="15 Days"/>
    <x v="3"/>
    <d v="2025-01-22T00:00:00"/>
    <x v="0"/>
    <x v="2"/>
    <x v="5"/>
    <s v="Q1"/>
    <n v="2025"/>
  </r>
  <r>
    <s v="CAN0428"/>
    <s v="Taylor"/>
    <s v="Wright"/>
    <s v="Male"/>
    <n v="31"/>
    <s v="taylor.wright90@gmail.com"/>
    <n v="9708247226"/>
    <s v="Chennai"/>
    <s v="Tamil Nadu"/>
    <s v="B.Com"/>
    <n v="1.9"/>
    <n v="8.6"/>
    <n v="12.3"/>
    <s v="15 Days"/>
    <x v="0"/>
    <d v="2025-02-05T00:00:00"/>
    <x v="0"/>
    <x v="3"/>
    <x v="1"/>
    <s v="Q1"/>
    <n v="2025"/>
  </r>
  <r>
    <s v="CAN0429"/>
    <s v="Joshua"/>
    <s v="Franco"/>
    <s v="Female"/>
    <n v="22"/>
    <s v="joshua.franco13@gmail.com"/>
    <n v="9909317441"/>
    <s v="Ahmedabad"/>
    <s v="Gujarat"/>
    <s v="MBA"/>
    <n v="4.2"/>
    <m/>
    <n v="14.8"/>
    <s v="60 Days"/>
    <x v="0"/>
    <d v="2025-06-07T00:00:00"/>
    <x v="0"/>
    <x v="0"/>
    <x v="0"/>
    <s v="Q2"/>
    <n v="2025"/>
  </r>
  <r>
    <s v="CAN0430"/>
    <s v="Stephanie"/>
    <s v="Smith"/>
    <s v="Male"/>
    <n v="31"/>
    <s v="stephanie.smith23@gmail.com"/>
    <n v="9876229434"/>
    <s v="Pune"/>
    <s v="Maharashtra"/>
    <s v="MBA"/>
    <n v="8.4"/>
    <n v="12.6"/>
    <n v="14.6"/>
    <m/>
    <x v="3"/>
    <d v="2025-06-24T00:00:00"/>
    <x v="0"/>
    <x v="3"/>
    <x v="0"/>
    <s v="Q2"/>
    <n v="2025"/>
  </r>
  <r>
    <s v="CAN0431"/>
    <s v="Mark"/>
    <s v="Garcia"/>
    <s v="Male"/>
    <n v="29"/>
    <s v="mark.garcia64@gmail.com"/>
    <n v="9965148698"/>
    <s v="Gurugram"/>
    <s v="Haryana"/>
    <s v="B.Com"/>
    <n v="1.8"/>
    <n v="7.9"/>
    <n v="9.3000000000000007"/>
    <s v="60 Days"/>
    <x v="1"/>
    <d v="2025-09-24T00:00:00"/>
    <x v="0"/>
    <x v="1"/>
    <x v="2"/>
    <s v="Q3"/>
    <n v="2025"/>
  </r>
  <r>
    <s v="CAN0432"/>
    <s v="Michael"/>
    <s v="Williams"/>
    <s v="Male"/>
    <n v="35"/>
    <s v="michael.williams37@gmail.com"/>
    <n v="9243414191"/>
    <s v="Hyderabad"/>
    <s v="Telangana"/>
    <s v="B.Com"/>
    <n v="0.4"/>
    <n v="2.7"/>
    <n v="3.1"/>
    <s v="30 Days"/>
    <x v="1"/>
    <d v="2025-10-21T00:00:00"/>
    <x v="0"/>
    <x v="3"/>
    <x v="8"/>
    <s v="Q4"/>
    <n v="2025"/>
  </r>
  <r>
    <s v="CAN0433"/>
    <s v="Shane"/>
    <s v="Bishop"/>
    <s v="Female"/>
    <n v="21"/>
    <s v="shane.bishop74@gmail.com"/>
    <n v="9564450800"/>
    <s v="Noida"/>
    <s v="Uttar Pradesh"/>
    <s v="B.Tech"/>
    <n v="1.3"/>
    <n v="9.4"/>
    <n v="12.8"/>
    <s v="60 Days"/>
    <x v="5"/>
    <d v="2025-03-09T00:00:00"/>
    <x v="0"/>
    <x v="0"/>
    <x v="6"/>
    <s v="Q1"/>
    <n v="2025"/>
  </r>
  <r>
    <s v="CAN0434"/>
    <s v="Danielle"/>
    <s v="Henderson"/>
    <s v="Male"/>
    <n v="23"/>
    <s v="danielle.henderson86@gmail.com"/>
    <n v="9909724817"/>
    <s v="Hyderabad"/>
    <s v="Telangana"/>
    <s v="BBA"/>
    <n v="0"/>
    <n v="8.1"/>
    <n v="11.5"/>
    <s v="60 Days"/>
    <x v="3"/>
    <d v="2025-11-29T00:00:00"/>
    <x v="0"/>
    <x v="0"/>
    <x v="9"/>
    <s v="Q4"/>
    <n v="2025"/>
  </r>
  <r>
    <s v="CAN0435"/>
    <s v="Alisha"/>
    <s v="Taylor"/>
    <s v="Male"/>
    <n v="36"/>
    <s v="alisha.taylor37@gmail.com"/>
    <n v="9240959542"/>
    <s v="Pune"/>
    <s v="Maharashtra"/>
    <s v="MBA"/>
    <n v="6"/>
    <n v="7.6"/>
    <n v="10.3"/>
    <s v="30 Days"/>
    <x v="0"/>
    <d v="2025-02-04T00:00:00"/>
    <x v="0"/>
    <x v="2"/>
    <x v="1"/>
    <s v="Q1"/>
    <n v="2025"/>
  </r>
  <r>
    <s v="CAN0436"/>
    <s v="Jessica"/>
    <s v="Conrad"/>
    <s v="Female"/>
    <n v="29"/>
    <s v="jessica.conrad78@gmail.com"/>
    <n v="9985027782"/>
    <s v="Kolkata"/>
    <s v="West Bengal"/>
    <s v="B.Sc"/>
    <n v="1.7"/>
    <n v="6.8"/>
    <n v="8.1"/>
    <s v="15 Days"/>
    <x v="0"/>
    <d v="2025-12-13T00:00:00"/>
    <x v="0"/>
    <x v="1"/>
    <x v="4"/>
    <s v="Q4"/>
    <n v="2025"/>
  </r>
  <r>
    <s v="CAN0437"/>
    <s v="Thomas"/>
    <s v="II"/>
    <s v="Female"/>
    <n v="37"/>
    <s v="thomas.ii11@gmail.com"/>
    <n v="9486242007"/>
    <s v="Bengaluru"/>
    <s v="Karnataka"/>
    <s v="MBA"/>
    <n v="3.4"/>
    <n v="9.9"/>
    <n v="11.3"/>
    <s v="60 Days"/>
    <x v="2"/>
    <d v="2025-01-02T00:00:00"/>
    <x v="0"/>
    <x v="2"/>
    <x v="5"/>
    <s v="Q1"/>
    <n v="2025"/>
  </r>
  <r>
    <s v="CAN0438"/>
    <s v="Samantha"/>
    <s v="Foley"/>
    <s v="Male"/>
    <n v="36"/>
    <s v="samantha.foley98@gmail.com"/>
    <n v="9248994211"/>
    <s v="Delhi"/>
    <s v="Delhi"/>
    <s v="B.Sc"/>
    <n v="0.6"/>
    <m/>
    <n v="8.9"/>
    <s v="30 Days"/>
    <x v="1"/>
    <d v="2025-01-17T00:00:00"/>
    <x v="0"/>
    <x v="2"/>
    <x v="5"/>
    <s v="Q1"/>
    <n v="2025"/>
  </r>
  <r>
    <s v="CAN0439"/>
    <s v="Rhonda"/>
    <s v="Walters"/>
    <s v="Male"/>
    <n v="26"/>
    <s v="rhonda.walters60@gmail.com"/>
    <n v="9218697579"/>
    <s v="Delhi"/>
    <s v="Delhi"/>
    <s v="B.Sc"/>
    <n v="1.4"/>
    <n v="10.7"/>
    <n v="14.2"/>
    <s v="15 Days"/>
    <x v="2"/>
    <d v="2025-10-19T00:00:00"/>
    <x v="0"/>
    <x v="1"/>
    <x v="8"/>
    <s v="Q4"/>
    <n v="2025"/>
  </r>
  <r>
    <s v="CAN0440"/>
    <s v="Richard"/>
    <s v="Steele"/>
    <s v="Male"/>
    <n v="30"/>
    <s v="richard.steele72@gmail.com"/>
    <n v="9951980027"/>
    <s v="Kochi"/>
    <s v="Kerala"/>
    <m/>
    <n v="3.7"/>
    <n v="11.6"/>
    <n v="16.2"/>
    <s v="60 Days"/>
    <x v="1"/>
    <d v="2025-01-16T00:00:00"/>
    <x v="0"/>
    <x v="1"/>
    <x v="5"/>
    <s v="Q1"/>
    <n v="2025"/>
  </r>
  <r>
    <s v="CAN0441"/>
    <s v="Timothy"/>
    <s v="Rice"/>
    <s v="Male"/>
    <n v="30"/>
    <s v="timothy.rice23@gmail.com"/>
    <n v="9130464724"/>
    <s v="Chandigarh"/>
    <s v="Chandigarh"/>
    <s v="BBA"/>
    <n v="1.6"/>
    <n v="4.5999999999999996"/>
    <n v="5.8"/>
    <s v="Immediate"/>
    <x v="1"/>
    <d v="2025-02-15T00:00:00"/>
    <x v="0"/>
    <x v="1"/>
    <x v="1"/>
    <s v="Q1"/>
    <n v="2025"/>
  </r>
  <r>
    <s v="CAN0442"/>
    <s v="Kim"/>
    <s v="Maxwell"/>
    <s v="Female"/>
    <n v="45"/>
    <s v="kim.maxwell52@gmail.com"/>
    <n v="9519088397"/>
    <s v="Kolkata"/>
    <s v="West Bengal"/>
    <s v="CA"/>
    <n v="3.3"/>
    <n v="12.8"/>
    <n v="16.100000000000001"/>
    <s v="30 Days"/>
    <x v="6"/>
    <d v="2025-01-29T00:00:00"/>
    <x v="0"/>
    <x v="2"/>
    <x v="5"/>
    <s v="Q1"/>
    <n v="2025"/>
  </r>
  <r>
    <s v="CAN0443"/>
    <s v="Angelica"/>
    <s v="Beasley"/>
    <s v="Female"/>
    <n v="33"/>
    <s v="angelica.beasley69@gmail.com"/>
    <n v="9453717620"/>
    <s v="Pune"/>
    <s v="Maharashtra"/>
    <s v="PhD"/>
    <n v="0.3"/>
    <n v="5.9"/>
    <n v="6.7"/>
    <s v="30 Days"/>
    <x v="0"/>
    <d v="2025-08-21T00:00:00"/>
    <x v="0"/>
    <x v="3"/>
    <x v="3"/>
    <s v="Q3"/>
    <n v="2025"/>
  </r>
  <r>
    <s v="CAN0444"/>
    <s v="Kevin"/>
    <s v="Rice"/>
    <s v="Female"/>
    <n v="28"/>
    <s v="kevin.rice91@gmail.com"/>
    <n v="9763228687"/>
    <s v="Delhi"/>
    <s v="Delhi"/>
    <s v="B.Tech"/>
    <n v="3.4"/>
    <n v="11.5"/>
    <n v="15.2"/>
    <s v="Immediate"/>
    <x v="0"/>
    <d v="2025-04-10T00:00:00"/>
    <x v="0"/>
    <x v="1"/>
    <x v="11"/>
    <s v="Q2"/>
    <n v="2025"/>
  </r>
  <r>
    <s v="CAN0445"/>
    <s v="Brandon"/>
    <s v="Schmidt"/>
    <s v="Male"/>
    <n v="21"/>
    <s v="brandon.schmidt67@gmail.com"/>
    <n v="9117749122"/>
    <s v="Delhi"/>
    <s v="Delhi"/>
    <s v="MBA"/>
    <n v="3.8"/>
    <n v="11"/>
    <n v="15.2"/>
    <s v="30 Days"/>
    <x v="3"/>
    <d v="2025-04-14T00:00:00"/>
    <x v="0"/>
    <x v="0"/>
    <x v="11"/>
    <s v="Q2"/>
    <n v="2025"/>
  </r>
  <r>
    <s v="CAN0446"/>
    <s v="Timothy"/>
    <s v="King"/>
    <s v="Female"/>
    <n v="28"/>
    <s v="timothy.king90@gmail.com"/>
    <n v="9999785765"/>
    <s v="Chennai"/>
    <s v="Tamil Nadu"/>
    <s v="MBA"/>
    <n v="2.2999999999999998"/>
    <n v="6"/>
    <n v="8.6"/>
    <s v="60 Days"/>
    <x v="5"/>
    <d v="2025-01-09T00:00:00"/>
    <x v="0"/>
    <x v="1"/>
    <x v="5"/>
    <s v="Q1"/>
    <n v="2025"/>
  </r>
  <r>
    <s v="CAN0447"/>
    <s v="Kenneth"/>
    <s v="Rodriguez"/>
    <s v="Male"/>
    <n v="27"/>
    <s v="kenneth.rodriguez27@gmail.com"/>
    <n v="9548732624"/>
    <s v="Bengaluru"/>
    <s v="Karnataka"/>
    <s v="M.Sc"/>
    <n v="2.2999999999999998"/>
    <n v="8.6999999999999993"/>
    <n v="11.6"/>
    <s v="30 Days"/>
    <x v="1"/>
    <d v="2025-10-13T00:00:00"/>
    <x v="0"/>
    <x v="1"/>
    <x v="8"/>
    <s v="Q4"/>
    <n v="2025"/>
  </r>
  <r>
    <s v="CAN0448"/>
    <s v="Jonathan"/>
    <s v="Smith"/>
    <s v="Male"/>
    <n v="32"/>
    <s v="jonathan.smith21@gmail.com"/>
    <n v="9707068505"/>
    <s v="Pune"/>
    <s v="Maharashtra"/>
    <s v="B.Sc"/>
    <n v="2.5"/>
    <n v="10.7"/>
    <n v="13.2"/>
    <s v="Immediate"/>
    <x v="3"/>
    <d v="2025-12-20T00:00:00"/>
    <x v="0"/>
    <x v="3"/>
    <x v="4"/>
    <s v="Q4"/>
    <n v="2025"/>
  </r>
  <r>
    <s v="CAN0449"/>
    <s v="Sonya"/>
    <s v="Simon"/>
    <s v="Male"/>
    <n v="33"/>
    <s v="sonya.simon4@gmail.com"/>
    <n v="9963808810"/>
    <s v="Jaipur"/>
    <s v="Rajasthan"/>
    <s v="BBA"/>
    <n v="4.3"/>
    <n v="12.7"/>
    <n v="14.7"/>
    <s v="Immediate"/>
    <x v="0"/>
    <d v="2025-08-30T00:00:00"/>
    <x v="0"/>
    <x v="3"/>
    <x v="3"/>
    <s v="Q3"/>
    <n v="2025"/>
  </r>
  <r>
    <s v="CAN0450"/>
    <s v="John"/>
    <s v="Michael"/>
    <s v="Male"/>
    <n v="30"/>
    <s v="john.michael11@gmail.com"/>
    <n v="9462535975"/>
    <s v="Chandigarh"/>
    <s v="Chandigarh"/>
    <s v="B.Sc"/>
    <n v="10.9"/>
    <n v="14.1"/>
    <n v="20"/>
    <s v="90 Days"/>
    <x v="3"/>
    <d v="2025-09-28T00:00:00"/>
    <x v="0"/>
    <x v="1"/>
    <x v="2"/>
    <s v="Q3"/>
    <n v="2025"/>
  </r>
  <r>
    <s v="CAN0451"/>
    <s v="Peter"/>
    <s v="Rodriguez"/>
    <s v="Female"/>
    <n v="33"/>
    <s v="peter.rodriguez66@gmail.com"/>
    <n v="9517585291"/>
    <s v="Hyderabad"/>
    <s v="Telangana"/>
    <s v="B.Com"/>
    <n v="3.2"/>
    <n v="15.1"/>
    <n v="20.2"/>
    <s v="90 Days"/>
    <x v="0"/>
    <d v="2025-05-23T00:00:00"/>
    <x v="0"/>
    <x v="3"/>
    <x v="10"/>
    <s v="Q2"/>
    <n v="2025"/>
  </r>
  <r>
    <s v="CAN0452"/>
    <s v="Erica"/>
    <s v="Bates"/>
    <s v="Female"/>
    <n v="25"/>
    <s v="erica.bates67@gmail.com"/>
    <n v="9568953949"/>
    <s v="Chandigarh"/>
    <s v="Chandigarh"/>
    <s v="MBA"/>
    <n v="0.2"/>
    <n v="2.5"/>
    <n v="3.1"/>
    <s v="60 Days"/>
    <x v="3"/>
    <d v="2025-03-10T00:00:00"/>
    <x v="0"/>
    <x v="0"/>
    <x v="6"/>
    <s v="Q1"/>
    <n v="2025"/>
  </r>
  <r>
    <s v="CAN0453"/>
    <s v="Cody"/>
    <s v="Little"/>
    <s v="Male"/>
    <n v="27"/>
    <s v="cody.little15@gmail.com"/>
    <n v="9329811607"/>
    <s v="Jaipur"/>
    <s v="Rajasthan"/>
    <s v="M.Tech"/>
    <n v="0.6"/>
    <n v="4.2"/>
    <n v="5.2"/>
    <s v="Immediate"/>
    <x v="3"/>
    <d v="2025-02-14T00:00:00"/>
    <x v="0"/>
    <x v="1"/>
    <x v="1"/>
    <s v="Q1"/>
    <n v="2025"/>
  </r>
  <r>
    <s v="CAN0454"/>
    <s v="Tina"/>
    <s v="MD"/>
    <s v="Male"/>
    <n v="34"/>
    <s v="tina.md6@gmail.com"/>
    <n v="9318999253"/>
    <s v="Indore"/>
    <s v="Madhya Pradesh"/>
    <s v="M.Tech"/>
    <n v="10.1"/>
    <n v="14"/>
    <n v="19.899999999999999"/>
    <s v="60 Days"/>
    <x v="2"/>
    <d v="2025-10-14T00:00:00"/>
    <x v="0"/>
    <x v="3"/>
    <x v="8"/>
    <s v="Q4"/>
    <n v="2025"/>
  </r>
  <r>
    <s v="CAN0455"/>
    <s v="David"/>
    <s v="Gross"/>
    <s v="Female"/>
    <n v="21"/>
    <s v="david.gross63@gmail.com"/>
    <n v="9925634792"/>
    <s v="Pune"/>
    <s v="Maharashtra"/>
    <s v="MCA"/>
    <n v="1.9"/>
    <n v="10.5"/>
    <n v="11.8"/>
    <s v="15 Days"/>
    <x v="2"/>
    <d v="2025-02-23T00:00:00"/>
    <x v="0"/>
    <x v="0"/>
    <x v="1"/>
    <s v="Q1"/>
    <n v="2025"/>
  </r>
  <r>
    <s v="CAN0456"/>
    <s v="Lauren"/>
    <s v="Miller"/>
    <s v="Male"/>
    <n v="31"/>
    <s v="lauren.miller17@gmail.com"/>
    <n v="9314646597"/>
    <s v="Delhi"/>
    <s v="Delhi"/>
    <s v="BBA"/>
    <n v="7.5"/>
    <n v="18.3"/>
    <n v="24"/>
    <s v="30 Days"/>
    <x v="5"/>
    <d v="2025-08-14T00:00:00"/>
    <x v="0"/>
    <x v="3"/>
    <x v="3"/>
    <s v="Q3"/>
    <n v="2025"/>
  </r>
  <r>
    <s v="CAN0457"/>
    <s v="Lisa"/>
    <s v="Day"/>
    <s v="Female"/>
    <n v="30"/>
    <s v="lisa.day73@gmail.com"/>
    <n v="9877901820"/>
    <s v="Jaipur"/>
    <s v="Rajasthan"/>
    <s v="B.Tech"/>
    <n v="1.1000000000000001"/>
    <n v="9.9"/>
    <n v="12.6"/>
    <s v="30 Days"/>
    <x v="5"/>
    <d v="2025-05-03T00:00:00"/>
    <x v="0"/>
    <x v="1"/>
    <x v="10"/>
    <s v="Q2"/>
    <n v="2025"/>
  </r>
  <r>
    <s v="CAN0458"/>
    <s v="Justin"/>
    <s v="Cox"/>
    <s v="Female"/>
    <n v="31"/>
    <s v="justin.cox61@gmail.com"/>
    <n v="9843063869"/>
    <s v="Indore"/>
    <s v="Madhya Pradesh"/>
    <s v="BBA"/>
    <n v="8"/>
    <n v="12.5"/>
    <n v="14.6"/>
    <s v="60 Days"/>
    <x v="1"/>
    <d v="2025-02-02T00:00:00"/>
    <x v="0"/>
    <x v="3"/>
    <x v="1"/>
    <s v="Q1"/>
    <n v="2025"/>
  </r>
  <r>
    <s v="CAN0459"/>
    <s v="David"/>
    <s v="Hudson"/>
    <s v="Female"/>
    <n v="32"/>
    <s v="david.hudson30@gmail.com"/>
    <n v="9105261175"/>
    <s v="Noida"/>
    <s v="Uttar Pradesh"/>
    <s v="M.Tech"/>
    <n v="6.8"/>
    <m/>
    <n v="20.9"/>
    <s v="15 Days"/>
    <x v="3"/>
    <d v="2025-11-28T00:00:00"/>
    <x v="0"/>
    <x v="3"/>
    <x v="9"/>
    <s v="Q4"/>
    <n v="2025"/>
  </r>
  <r>
    <s v="CAN0460"/>
    <s v="Michelle"/>
    <s v="Webb"/>
    <s v="Male"/>
    <n v="41"/>
    <s v="michelle.webb13@gmail.com"/>
    <n v="9314890972"/>
    <s v="Chandigarh"/>
    <s v="Chandigarh"/>
    <s v="B.Tech"/>
    <n v="8.4"/>
    <n v="13.6"/>
    <n v="17.3"/>
    <s v="30 Days"/>
    <x v="6"/>
    <d v="2025-04-23T00:00:00"/>
    <x v="0"/>
    <x v="2"/>
    <x v="11"/>
    <s v="Q2"/>
    <n v="2025"/>
  </r>
  <r>
    <s v="CAN0461"/>
    <s v="Robert"/>
    <s v="Stevenson"/>
    <s v="Female"/>
    <n v="23"/>
    <s v="robert.stevenson6@gmail.com"/>
    <n v="9697200036"/>
    <s v="Pune"/>
    <s v="Maharashtra"/>
    <s v="M.Tech"/>
    <n v="3.3"/>
    <n v="7.2"/>
    <n v="9"/>
    <s v="Immediate"/>
    <x v="2"/>
    <d v="2025-09-03T00:00:00"/>
    <x v="0"/>
    <x v="0"/>
    <x v="2"/>
    <s v="Q3"/>
    <n v="2025"/>
  </r>
  <r>
    <s v="CAN0462"/>
    <s v="Emily"/>
    <s v="Knight"/>
    <s v="Female"/>
    <n v="34"/>
    <s v="emily.knight14@gmail.com"/>
    <n v="9915520086"/>
    <s v="Indore"/>
    <s v="Madhya Pradesh"/>
    <s v="MBA"/>
    <n v="4.5999999999999996"/>
    <n v="8.8000000000000007"/>
    <n v="10.4"/>
    <s v="60 Days"/>
    <x v="0"/>
    <d v="2025-09-20T00:00:00"/>
    <x v="0"/>
    <x v="3"/>
    <x v="2"/>
    <s v="Q3"/>
    <n v="2025"/>
  </r>
  <r>
    <s v="CAN0463"/>
    <s v="Rebecca"/>
    <s v="Rivera"/>
    <s v="Male"/>
    <n v="30"/>
    <s v="rebecca.rivera66@gmail.com"/>
    <n v="9944984079"/>
    <s v="Indore"/>
    <s v="Madhya Pradesh"/>
    <s v="B.Com"/>
    <n v="4.5999999999999996"/>
    <n v="10.3"/>
    <n v="14.5"/>
    <s v="Immediate"/>
    <x v="0"/>
    <d v="2025-11-28T00:00:00"/>
    <x v="0"/>
    <x v="1"/>
    <x v="9"/>
    <s v="Q4"/>
    <n v="2025"/>
  </r>
  <r>
    <s v="CAN0464"/>
    <s v="Julie"/>
    <s v="Clark"/>
    <s v="Female"/>
    <n v="32"/>
    <s v="julie.clark65@gmail.com"/>
    <n v="9703038961"/>
    <s v="Ahmedabad"/>
    <s v="Gujarat"/>
    <s v="M.Tech"/>
    <n v="0.1"/>
    <n v="5.3"/>
    <n v="7.3"/>
    <s v="30 Days"/>
    <x v="5"/>
    <d v="2025-12-05T00:00:00"/>
    <x v="0"/>
    <x v="3"/>
    <x v="4"/>
    <s v="Q4"/>
    <n v="2025"/>
  </r>
  <r>
    <s v="CAN0465"/>
    <s v="Justin"/>
    <s v="Powell"/>
    <s v="Female"/>
    <n v="21"/>
    <s v="justin.powell38@gmail.com"/>
    <n v="9590787560"/>
    <s v="Noida"/>
    <s v="Uttar Pradesh"/>
    <s v="MBA"/>
    <n v="1.3"/>
    <n v="7.6"/>
    <n v="9.9"/>
    <s v="15 Days"/>
    <x v="0"/>
    <d v="2025-09-17T00:00:00"/>
    <x v="0"/>
    <x v="0"/>
    <x v="2"/>
    <s v="Q3"/>
    <n v="2025"/>
  </r>
  <r>
    <s v="CAN0466"/>
    <s v="Nancy"/>
    <s v="Greer"/>
    <s v="Female"/>
    <n v="33"/>
    <s v="nancy.greer59@gmail.com"/>
    <n v="9324152401"/>
    <s v="Mumbai"/>
    <s v="Maharashtra"/>
    <s v="MBA"/>
    <n v="5"/>
    <n v="5.7"/>
    <n v="7.8"/>
    <s v="30 Days"/>
    <x v="4"/>
    <d v="2025-11-10T00:00:00"/>
    <x v="0"/>
    <x v="3"/>
    <x v="9"/>
    <s v="Q4"/>
    <n v="2025"/>
  </r>
  <r>
    <s v="CAN0467"/>
    <s v="Russell"/>
    <s v="Mcclain"/>
    <s v="Female"/>
    <n v="26"/>
    <s v="russell.mcclain70@gmail.com"/>
    <n v="9657991052"/>
    <s v="Gurugram"/>
    <s v="Haryana"/>
    <s v="MBA"/>
    <n v="5.9"/>
    <n v="10.5"/>
    <n v="12.1"/>
    <s v="15 Days"/>
    <x v="6"/>
    <d v="2025-02-21T00:00:00"/>
    <x v="0"/>
    <x v="1"/>
    <x v="1"/>
    <s v="Q1"/>
    <n v="2025"/>
  </r>
  <r>
    <s v="CAN0468"/>
    <s v="Danielle"/>
    <s v="Bradford"/>
    <s v="Male"/>
    <n v="22"/>
    <s v="danielle.bradford36@gmail.com"/>
    <n v="9425046409"/>
    <s v="Chennai"/>
    <s v="Tamil Nadu"/>
    <s v="MBA"/>
    <n v="7.4"/>
    <n v="19.3"/>
    <n v="22.6"/>
    <s v="30 Days"/>
    <x v="4"/>
    <d v="2025-04-09T00:00:00"/>
    <x v="0"/>
    <x v="0"/>
    <x v="11"/>
    <s v="Q2"/>
    <n v="2025"/>
  </r>
  <r>
    <s v="CAN0469"/>
    <s v="Theresa"/>
    <s v="Burton"/>
    <s v="Male"/>
    <n v="31"/>
    <s v="theresa.burton10@gmail.com"/>
    <n v="9146761734"/>
    <s v="Mumbai"/>
    <s v="Maharashtra"/>
    <s v="MBA"/>
    <n v="1.5"/>
    <n v="5.8"/>
    <n v="8"/>
    <s v="15 Days"/>
    <x v="2"/>
    <d v="2025-07-28T00:00:00"/>
    <x v="0"/>
    <x v="3"/>
    <x v="7"/>
    <s v="Q3"/>
    <n v="2025"/>
  </r>
  <r>
    <s v="CAN0470"/>
    <s v="Robert"/>
    <s v="Reynolds"/>
    <s v="Female"/>
    <n v="25"/>
    <s v="robert.reynolds74@gmail.com"/>
    <n v="9796404601"/>
    <s v="Hyderabad"/>
    <s v="Telangana"/>
    <s v="MCA"/>
    <n v="5.3"/>
    <n v="12.7"/>
    <n v="17.3"/>
    <s v="60 Days"/>
    <x v="6"/>
    <d v="2025-01-31T00:00:00"/>
    <x v="0"/>
    <x v="0"/>
    <x v="5"/>
    <s v="Q1"/>
    <n v="2025"/>
  </r>
  <r>
    <s v="CAN0471"/>
    <s v="Derek"/>
    <s v="Garcia"/>
    <s v="Female"/>
    <n v="34"/>
    <s v="derek.garcia4@gmail.com"/>
    <n v="9819539094"/>
    <s v="Pune"/>
    <s v="Maharashtra"/>
    <s v="B.Tech"/>
    <n v="9"/>
    <n v="13.4"/>
    <n v="19"/>
    <s v="60 Days"/>
    <x v="0"/>
    <d v="2025-11-13T00:00:00"/>
    <x v="0"/>
    <x v="3"/>
    <x v="9"/>
    <s v="Q4"/>
    <n v="2025"/>
  </r>
  <r>
    <s v="CAN0472"/>
    <s v="Melissa"/>
    <s v="Moore"/>
    <s v="Female"/>
    <n v="29"/>
    <s v="melissa.moore57@gmail.com"/>
    <n v="9374300821"/>
    <s v="Jaipur"/>
    <s v="Rajasthan"/>
    <s v="B.Tech"/>
    <n v="1.8"/>
    <n v="9.1"/>
    <n v="12.6"/>
    <s v="60 Days"/>
    <x v="0"/>
    <d v="2025-07-15T00:00:00"/>
    <x v="0"/>
    <x v="1"/>
    <x v="7"/>
    <s v="Q3"/>
    <n v="2025"/>
  </r>
  <r>
    <s v="CAN0473"/>
    <s v="Tracey"/>
    <s v="King"/>
    <s v="Male"/>
    <n v="23"/>
    <s v="tracey.king57@gmail.com"/>
    <n v="9274950025"/>
    <s v="Pune"/>
    <s v="Maharashtra"/>
    <s v="M.Tech"/>
    <n v="1.5"/>
    <n v="4.5999999999999996"/>
    <n v="5.9"/>
    <s v="30 Days"/>
    <x v="3"/>
    <d v="2025-06-16T00:00:00"/>
    <x v="0"/>
    <x v="0"/>
    <x v="0"/>
    <s v="Q2"/>
    <n v="2025"/>
  </r>
  <r>
    <s v="CAN0474"/>
    <s v="Carl"/>
    <s v="Jordan"/>
    <s v="Male"/>
    <n v="35"/>
    <s v="carl.jordan32@gmail.com"/>
    <n v="9114130724"/>
    <s v="Noida"/>
    <s v="Uttar Pradesh"/>
    <s v="M.Tech"/>
    <n v="0"/>
    <n v="4.7"/>
    <n v="5.8"/>
    <s v="30 Days"/>
    <x v="2"/>
    <d v="2025-06-18T00:00:00"/>
    <x v="0"/>
    <x v="3"/>
    <x v="0"/>
    <s v="Q2"/>
    <n v="2025"/>
  </r>
  <r>
    <s v="CAN0475"/>
    <s v="Debra"/>
    <s v="Anderson"/>
    <s v="Male"/>
    <n v="28"/>
    <s v="debra.anderson99@gmail.com"/>
    <n v="9932109521"/>
    <s v="Hyderabad"/>
    <s v="Telangana"/>
    <s v="MCA"/>
    <n v="9.8000000000000007"/>
    <n v="19.3"/>
    <n v="26.7"/>
    <s v="30 Days"/>
    <x v="0"/>
    <d v="2025-06-10T00:00:00"/>
    <x v="0"/>
    <x v="1"/>
    <x v="0"/>
    <s v="Q2"/>
    <n v="2025"/>
  </r>
  <r>
    <s v="CAN0476"/>
    <s v="Kerry"/>
    <s v="Medina"/>
    <s v="Male"/>
    <n v="42"/>
    <s v="kerry.medina44@gmail.com"/>
    <n v="9494198132"/>
    <s v="Mumbai"/>
    <s v="Maharashtra"/>
    <s v="M.Tech"/>
    <n v="2.7"/>
    <n v="7.8"/>
    <n v="11.2"/>
    <s v="15 Days"/>
    <x v="1"/>
    <d v="2025-11-29T00:00:00"/>
    <x v="0"/>
    <x v="2"/>
    <x v="9"/>
    <s v="Q4"/>
    <n v="2025"/>
  </r>
  <r>
    <s v="CAN0477"/>
    <s v="Tina"/>
    <s v="Harris"/>
    <s v="Female"/>
    <n v="32"/>
    <s v="tina.harris32@gmail.com"/>
    <n v="9537553650"/>
    <s v="Indore"/>
    <s v="Madhya Pradesh"/>
    <s v="MCA"/>
    <n v="7.3"/>
    <n v="16.899999999999999"/>
    <n v="22.8"/>
    <s v="90 Days"/>
    <x v="0"/>
    <d v="2025-04-19T00:00:00"/>
    <x v="0"/>
    <x v="3"/>
    <x v="11"/>
    <s v="Q2"/>
    <n v="2025"/>
  </r>
  <r>
    <s v="CAN0478"/>
    <s v="Ashley"/>
    <s v="Smith"/>
    <s v="Male"/>
    <n v="27"/>
    <s v="ashley.smith97@gmail.com"/>
    <n v="9114637190"/>
    <s v="Jaipur"/>
    <s v="Rajasthan"/>
    <s v="B.Sc"/>
    <n v="3.5"/>
    <n v="11.2"/>
    <n v="15.2"/>
    <s v="90 Days"/>
    <x v="0"/>
    <d v="2025-08-13T00:00:00"/>
    <x v="0"/>
    <x v="1"/>
    <x v="3"/>
    <s v="Q3"/>
    <n v="2025"/>
  </r>
  <r>
    <s v="CAN0479"/>
    <s v="Rita"/>
    <s v="Gomez"/>
    <s v="Female"/>
    <n v="21"/>
    <s v="rita.gomez22@gmail.com"/>
    <n v="9841566633"/>
    <s v="Jaipur"/>
    <s v="Rajasthan"/>
    <s v="B.Sc"/>
    <n v="1.5"/>
    <n v="3"/>
    <n v="3.7"/>
    <s v="15 Days"/>
    <x v="4"/>
    <d v="2025-02-16T00:00:00"/>
    <x v="0"/>
    <x v="0"/>
    <x v="1"/>
    <s v="Q1"/>
    <n v="2025"/>
  </r>
  <r>
    <s v="CAN0480"/>
    <s v="Kevin"/>
    <s v="Fields"/>
    <s v="Female"/>
    <n v="32"/>
    <s v="kevin.fields27@gmail.com"/>
    <n v="9788416074"/>
    <s v="Chennai"/>
    <s v="Tamil Nadu"/>
    <s v="M.Tech"/>
    <n v="5.0999999999999996"/>
    <n v="14.5"/>
    <n v="19.399999999999999"/>
    <s v="30 Days"/>
    <x v="0"/>
    <d v="2025-02-05T00:00:00"/>
    <x v="0"/>
    <x v="3"/>
    <x v="1"/>
    <s v="Q1"/>
    <n v="2025"/>
  </r>
  <r>
    <s v="CAN0481"/>
    <s v="Justin"/>
    <s v="Ortiz"/>
    <s v="Female"/>
    <n v="34"/>
    <s v="justin.ortiz89@gmail.com"/>
    <n v="9519973284"/>
    <s v="Chennai"/>
    <s v="Tamil Nadu"/>
    <s v="B.Tech"/>
    <n v="0.7"/>
    <n v="2.5"/>
    <n v="3.4"/>
    <s v="30 Days"/>
    <x v="0"/>
    <d v="2025-02-08T00:00:00"/>
    <x v="0"/>
    <x v="3"/>
    <x v="1"/>
    <s v="Q1"/>
    <n v="2025"/>
  </r>
  <r>
    <s v="CAN0482"/>
    <s v="John"/>
    <s v="Shields"/>
    <s v="Male"/>
    <n v="31"/>
    <s v="john.shields15@gmail.com"/>
    <n v="9875719807"/>
    <s v="Delhi"/>
    <s v="Delhi"/>
    <s v="M.Tech"/>
    <n v="3"/>
    <n v="6.1"/>
    <n v="7.9"/>
    <m/>
    <x v="6"/>
    <d v="2025-08-19T00:00:00"/>
    <x v="0"/>
    <x v="3"/>
    <x v="3"/>
    <s v="Q3"/>
    <n v="2025"/>
  </r>
  <r>
    <s v="CAN0483"/>
    <s v="James"/>
    <s v="Morales"/>
    <s v="Male"/>
    <n v="29"/>
    <s v="james.morales13@gmail.com"/>
    <n v="9373738271"/>
    <s v="Chennai"/>
    <s v="Tamil Nadu"/>
    <s v="B.Com"/>
    <n v="6.6"/>
    <n v="5.2"/>
    <n v="7"/>
    <s v="15 Days"/>
    <x v="4"/>
    <d v="2025-02-18T00:00:00"/>
    <x v="0"/>
    <x v="1"/>
    <x v="1"/>
    <s v="Q1"/>
    <n v="2025"/>
  </r>
  <r>
    <s v="CAN0484"/>
    <s v="Brianna"/>
    <s v="Long"/>
    <s v="Female"/>
    <n v="39"/>
    <s v="brianna.long59@gmail.com"/>
    <n v="9467591330"/>
    <s v="Gurugram"/>
    <s v="Haryana"/>
    <s v="M.Sc"/>
    <n v="0.1"/>
    <n v="5.2"/>
    <n v="5.9"/>
    <s v="60 Days"/>
    <x v="0"/>
    <d v="2025-04-17T00:00:00"/>
    <x v="0"/>
    <x v="2"/>
    <x v="11"/>
    <s v="Q2"/>
    <n v="2025"/>
  </r>
  <r>
    <s v="CAN0485"/>
    <s v="Nicole"/>
    <s v="Gutierrez"/>
    <s v="Female"/>
    <n v="33"/>
    <s v="nicole.gutierrez86@gmail.com"/>
    <n v="9460288201"/>
    <s v="Chennai"/>
    <s v="Tamil Nadu"/>
    <s v="M.Tech"/>
    <n v="12.2"/>
    <n v="21.5"/>
    <n v="30.1"/>
    <s v="Immediate"/>
    <x v="0"/>
    <d v="2025-12-04T00:00:00"/>
    <x v="0"/>
    <x v="3"/>
    <x v="4"/>
    <s v="Q4"/>
    <n v="2025"/>
  </r>
  <r>
    <s v="CAN0486"/>
    <s v="Travis"/>
    <s v="Saunders"/>
    <s v="Female"/>
    <n v="27"/>
    <s v="travis.saunders40@gmail.com"/>
    <n v="9809979879"/>
    <s v="Chennai"/>
    <s v="Tamil Nadu"/>
    <s v="B.Tech"/>
    <n v="0.1"/>
    <n v="2.5"/>
    <n v="2.9"/>
    <m/>
    <x v="4"/>
    <d v="2025-07-16T00:00:00"/>
    <x v="0"/>
    <x v="1"/>
    <x v="7"/>
    <s v="Q3"/>
    <n v="2025"/>
  </r>
  <r>
    <s v="CAN0487"/>
    <s v="Denise"/>
    <s v="Kirk"/>
    <s v="Male"/>
    <n v="31"/>
    <s v="denise.kirk12@gmail.com"/>
    <n v="9711622585"/>
    <s v="Ahmedabad"/>
    <s v="Gujarat"/>
    <s v="B.Sc"/>
    <n v="11.7"/>
    <n v="16.100000000000001"/>
    <n v="18.399999999999999"/>
    <s v="Immediate"/>
    <x v="6"/>
    <d v="2025-03-08T00:00:00"/>
    <x v="0"/>
    <x v="3"/>
    <x v="6"/>
    <s v="Q1"/>
    <n v="2025"/>
  </r>
  <r>
    <s v="CAN0488"/>
    <s v="Gabriel"/>
    <s v="Boyd"/>
    <s v="Female"/>
    <n v="36"/>
    <s v="gabriel.boyd46@gmail.com"/>
    <n v="9490448282"/>
    <s v="Kolkata"/>
    <s v="West Bengal"/>
    <s v="MBA"/>
    <n v="0.6"/>
    <n v="6.6"/>
    <n v="7.7"/>
    <s v="60 Days"/>
    <x v="0"/>
    <d v="2025-07-07T00:00:00"/>
    <x v="0"/>
    <x v="2"/>
    <x v="7"/>
    <s v="Q3"/>
    <n v="2025"/>
  </r>
  <r>
    <s v="CAN0489"/>
    <s v="Madeline"/>
    <s v="Walters"/>
    <s v="Male"/>
    <n v="32"/>
    <s v="madeline.walters85@gmail.com"/>
    <n v="9219692559"/>
    <s v="Kochi"/>
    <s v="Kerala"/>
    <s v="B.Sc"/>
    <n v="9.6999999999999993"/>
    <n v="19"/>
    <n v="26.3"/>
    <s v="15 Days"/>
    <x v="2"/>
    <d v="2025-01-16T00:00:00"/>
    <x v="0"/>
    <x v="3"/>
    <x v="5"/>
    <s v="Q1"/>
    <n v="2025"/>
  </r>
  <r>
    <s v="CAN0490"/>
    <s v="Megan"/>
    <s v="Phillips"/>
    <s v="Male"/>
    <n v="41"/>
    <s v="megan.phillips25@gmail.com"/>
    <n v="9335170641"/>
    <s v="Chandigarh"/>
    <s v="Chandigarh"/>
    <s v="B.Com"/>
    <n v="2.1"/>
    <n v="10.199999999999999"/>
    <n v="12.7"/>
    <m/>
    <x v="2"/>
    <d v="2025-01-04T00:00:00"/>
    <x v="0"/>
    <x v="2"/>
    <x v="5"/>
    <s v="Q1"/>
    <n v="2025"/>
  </r>
  <r>
    <s v="CAN0491"/>
    <s v="Ricky"/>
    <s v="Clark"/>
    <s v="Male"/>
    <n v="23"/>
    <s v="ricky.clark85@gmail.com"/>
    <n v="9505243835"/>
    <s v="Kochi"/>
    <s v="Kerala"/>
    <s v="B.Com"/>
    <n v="9.9"/>
    <n v="18.399999999999999"/>
    <n v="22.3"/>
    <m/>
    <x v="2"/>
    <d v="2025-02-26T00:00:00"/>
    <x v="0"/>
    <x v="0"/>
    <x v="1"/>
    <s v="Q1"/>
    <n v="2025"/>
  </r>
  <r>
    <s v="CAN0492"/>
    <s v="Jeremy"/>
    <s v="Huff"/>
    <s v="Male"/>
    <n v="21"/>
    <s v="jeremy.huff92@gmail.com"/>
    <n v="9628449411"/>
    <s v="Mumbai"/>
    <s v="Maharashtra"/>
    <s v="B.Com"/>
    <n v="3"/>
    <n v="8.9"/>
    <n v="11.4"/>
    <s v="60 Days"/>
    <x v="6"/>
    <d v="2025-08-07T00:00:00"/>
    <x v="0"/>
    <x v="0"/>
    <x v="3"/>
    <s v="Q3"/>
    <n v="2025"/>
  </r>
  <r>
    <s v="CAN0493"/>
    <s v="Kenneth"/>
    <s v="Taylor"/>
    <s v="Male"/>
    <n v="30"/>
    <s v="kenneth.taylor16@gmail.com"/>
    <n v="9304858830"/>
    <s v="Mumbai"/>
    <s v="Maharashtra"/>
    <s v="B.Sc"/>
    <n v="4.5"/>
    <n v="11.9"/>
    <n v="15.1"/>
    <s v="15 Days"/>
    <x v="2"/>
    <d v="2025-01-30T00:00:00"/>
    <x v="0"/>
    <x v="1"/>
    <x v="5"/>
    <s v="Q1"/>
    <n v="2025"/>
  </r>
  <r>
    <s v="CAN0494"/>
    <s v="Rachel"/>
    <s v="Williams"/>
    <s v="Male"/>
    <n v="21"/>
    <s v="rachel.williams29@gmail.com"/>
    <n v="9619655417"/>
    <s v="Jaipur"/>
    <s v="Rajasthan"/>
    <s v="B.Tech"/>
    <n v="3.9"/>
    <n v="6.7"/>
    <n v="8.9"/>
    <s v="90 Days"/>
    <x v="6"/>
    <d v="2025-07-12T00:00:00"/>
    <x v="0"/>
    <x v="0"/>
    <x v="7"/>
    <s v="Q3"/>
    <n v="2025"/>
  </r>
  <r>
    <s v="CAN0495"/>
    <s v="Luke"/>
    <s v="Holt"/>
    <s v="Male"/>
    <n v="26"/>
    <s v="luke.holt56@gmail.com"/>
    <n v="9663542999"/>
    <s v="Bengaluru"/>
    <s v="Karnataka"/>
    <s v="B.Sc"/>
    <n v="1"/>
    <n v="5.5"/>
    <n v="6.5"/>
    <s v="60 Days"/>
    <x v="0"/>
    <d v="2025-02-12T00:00:00"/>
    <x v="0"/>
    <x v="1"/>
    <x v="1"/>
    <s v="Q1"/>
    <n v="2025"/>
  </r>
  <r>
    <s v="CAN0496"/>
    <s v="Jeremy"/>
    <s v="Peters"/>
    <s v="Male"/>
    <n v="30"/>
    <s v="jeremy.peters60@gmail.com"/>
    <n v="9594924716"/>
    <s v="Chandigarh"/>
    <s v="Chandigarh"/>
    <s v="MBA"/>
    <n v="0.5"/>
    <m/>
    <n v="9.6"/>
    <s v="30 Days"/>
    <x v="2"/>
    <d v="2025-04-16T00:00:00"/>
    <x v="0"/>
    <x v="1"/>
    <x v="11"/>
    <s v="Q2"/>
    <n v="2025"/>
  </r>
  <r>
    <s v="CAN0497"/>
    <s v="Mrs."/>
    <s v="Garcia"/>
    <s v="Male"/>
    <n v="23"/>
    <s v="mrs..garcia47@gmail.com"/>
    <n v="9173171029"/>
    <s v="Mumbai"/>
    <s v="Maharashtra"/>
    <s v="MBA"/>
    <n v="3.7"/>
    <n v="14"/>
    <n v="17.899999999999999"/>
    <s v="15 Days"/>
    <x v="1"/>
    <d v="2025-11-18T00:00:00"/>
    <x v="0"/>
    <x v="0"/>
    <x v="9"/>
    <s v="Q4"/>
    <n v="2025"/>
  </r>
  <r>
    <s v="CAN0498"/>
    <s v="Ms."/>
    <s v="MD"/>
    <s v="Female"/>
    <n v="31"/>
    <s v="ms..md66@gmail.com"/>
    <n v="9126277274"/>
    <s v="Pune"/>
    <s v="Maharashtra"/>
    <m/>
    <n v="6.1"/>
    <n v="7"/>
    <n v="9.6"/>
    <s v="30 Days"/>
    <x v="0"/>
    <d v="2025-09-13T00:00:00"/>
    <x v="0"/>
    <x v="3"/>
    <x v="2"/>
    <s v="Q3"/>
    <n v="2025"/>
  </r>
  <r>
    <s v="CAN0499"/>
    <s v="Kristen"/>
    <s v="Thomas"/>
    <s v="Female"/>
    <n v="35"/>
    <s v="kristen.thomas18@gmail.com"/>
    <n v="9799152207"/>
    <s v="Gurugram"/>
    <s v="Haryana"/>
    <s v="B.Tech"/>
    <n v="5.9"/>
    <n v="16.399999999999999"/>
    <n v="22.7"/>
    <s v="90 Days"/>
    <x v="3"/>
    <d v="2025-07-08T00:00:00"/>
    <x v="0"/>
    <x v="3"/>
    <x v="7"/>
    <s v="Q3"/>
    <n v="2025"/>
  </r>
  <r>
    <s v="CAN0500"/>
    <s v="Heidi"/>
    <s v="Walker"/>
    <s v="Female"/>
    <n v="21"/>
    <s v="heidi.walker84@gmail.com"/>
    <n v="9295128678"/>
    <s v="Jaipur"/>
    <s v="Rajasthan"/>
    <s v="B.Sc"/>
    <n v="2"/>
    <n v="7.6"/>
    <n v="10"/>
    <s v="60 Days"/>
    <x v="0"/>
    <d v="2025-04-22T00:00:00"/>
    <x v="0"/>
    <x v="0"/>
    <x v="11"/>
    <s v="Q2"/>
    <n v="2025"/>
  </r>
  <r>
    <s v="CAN0501"/>
    <s v="Donald"/>
    <s v="Ross"/>
    <s v="Female"/>
    <n v="26"/>
    <s v="donald.ross37@gmail.com"/>
    <n v="9571389309"/>
    <s v="Pune"/>
    <s v="Maharashtra"/>
    <s v="M.Sc"/>
    <n v="0.3"/>
    <n v="3.3"/>
    <n v="4"/>
    <s v="15 Days"/>
    <x v="0"/>
    <d v="2025-02-03T00:00:00"/>
    <x v="0"/>
    <x v="1"/>
    <x v="1"/>
    <s v="Q1"/>
    <n v="2025"/>
  </r>
  <r>
    <s v="CAN0502"/>
    <s v="Christopher"/>
    <s v="Choi"/>
    <s v="Male"/>
    <n v="34"/>
    <s v="christopher.choi87@gmail.com"/>
    <n v="9277363998"/>
    <s v="Bengaluru"/>
    <s v="Karnataka"/>
    <s v="B.Com"/>
    <n v="4"/>
    <n v="13.6"/>
    <n v="17.399999999999999"/>
    <s v="Immediate"/>
    <x v="2"/>
    <d v="2025-09-09T00:00:00"/>
    <x v="0"/>
    <x v="3"/>
    <x v="2"/>
    <s v="Q3"/>
    <n v="2025"/>
  </r>
  <r>
    <s v="CAN0503"/>
    <s v="Troy"/>
    <s v="Allison"/>
    <s v="Female"/>
    <n v="35"/>
    <s v="troy.allison28@gmail.com"/>
    <n v="9767030157"/>
    <s v="Indore"/>
    <s v="Madhya Pradesh"/>
    <m/>
    <n v="5.2"/>
    <n v="17.7"/>
    <n v="24.7"/>
    <s v="15 Days"/>
    <x v="4"/>
    <d v="2025-08-22T00:00:00"/>
    <x v="0"/>
    <x v="3"/>
    <x v="3"/>
    <s v="Q3"/>
    <n v="2025"/>
  </r>
  <r>
    <s v="CAN0504"/>
    <s v="Jay"/>
    <s v="Willis"/>
    <s v="Male"/>
    <n v="29"/>
    <s v="jay.willis97@gmail.com"/>
    <n v="9445512599"/>
    <s v="Bengaluru"/>
    <s v="Karnataka"/>
    <s v="B.Com"/>
    <n v="7.4"/>
    <n v="13.5"/>
    <n v="16.600000000000001"/>
    <s v="30 Days"/>
    <x v="0"/>
    <d v="2025-07-11T00:00:00"/>
    <x v="0"/>
    <x v="1"/>
    <x v="7"/>
    <s v="Q3"/>
    <n v="2025"/>
  </r>
  <r>
    <s v="CAN0505"/>
    <s v="Mrs."/>
    <s v="Day"/>
    <s v="Female"/>
    <n v="25"/>
    <s v="mrs..day31@gmail.com"/>
    <n v="9989087883"/>
    <s v="Kochi"/>
    <s v="Kerala"/>
    <s v="B.Tech"/>
    <n v="3.2"/>
    <n v="7.7"/>
    <n v="10.199999999999999"/>
    <s v="15 Days"/>
    <x v="2"/>
    <d v="2025-10-15T00:00:00"/>
    <x v="0"/>
    <x v="0"/>
    <x v="8"/>
    <s v="Q4"/>
    <n v="2025"/>
  </r>
  <r>
    <s v="CAN0506"/>
    <s v="Fred"/>
    <s v="Allen"/>
    <s v="Female"/>
    <n v="28"/>
    <s v="fred.allen50@gmail.com"/>
    <n v="9247842165"/>
    <s v="Chennai"/>
    <s v="Tamil Nadu"/>
    <s v="B.Sc"/>
    <n v="9.5"/>
    <n v="18.5"/>
    <n v="21.5"/>
    <s v="90 Days"/>
    <x v="0"/>
    <d v="2025-03-12T00:00:00"/>
    <x v="0"/>
    <x v="1"/>
    <x v="6"/>
    <s v="Q1"/>
    <n v="2025"/>
  </r>
  <r>
    <s v="CAN0507"/>
    <s v="Kristi"/>
    <s v="Mueller"/>
    <s v="Other"/>
    <n v="21"/>
    <s v="kristi.mueller18@gmail.com"/>
    <n v="9724287385"/>
    <s v="Gurugram"/>
    <s v="Haryana"/>
    <s v="MCA"/>
    <n v="0.3"/>
    <m/>
    <n v="8.3000000000000007"/>
    <s v="15 Days"/>
    <x v="0"/>
    <d v="2025-10-27T00:00:00"/>
    <x v="0"/>
    <x v="0"/>
    <x v="8"/>
    <s v="Q4"/>
    <n v="2025"/>
  </r>
  <r>
    <s v="CAN0508"/>
    <s v="Christina"/>
    <s v="Smith"/>
    <s v="Female"/>
    <n v="25"/>
    <s v="christina.smith53@gmail.com"/>
    <n v="9371847290"/>
    <s v="Indore"/>
    <s v="Madhya Pradesh"/>
    <s v="M.Tech"/>
    <n v="1.1000000000000001"/>
    <n v="14.2"/>
    <n v="16.899999999999999"/>
    <s v="15 Days"/>
    <x v="3"/>
    <d v="2025-12-31T00:00:00"/>
    <x v="0"/>
    <x v="0"/>
    <x v="4"/>
    <s v="Q4"/>
    <n v="2025"/>
  </r>
  <r>
    <s v="CAN0509"/>
    <s v="Michael"/>
    <s v="Ellis"/>
    <s v="Male"/>
    <n v="28"/>
    <s v="michael.ellis7@gmail.com"/>
    <n v="9567699758"/>
    <s v="Indore"/>
    <s v="Madhya Pradesh"/>
    <s v="M.Sc"/>
    <n v="2.2999999999999998"/>
    <n v="9.9"/>
    <n v="14.2"/>
    <s v="60 Days"/>
    <x v="0"/>
    <d v="2025-03-31T00:00:00"/>
    <x v="0"/>
    <x v="1"/>
    <x v="6"/>
    <s v="Q1"/>
    <n v="2025"/>
  </r>
  <r>
    <s v="CAN0510"/>
    <s v="Karen"/>
    <s v="Walker"/>
    <s v="Female"/>
    <n v="28"/>
    <s v="karen.walker54@gmail.com"/>
    <n v="9178750665"/>
    <s v="Kolkata"/>
    <s v="West Bengal"/>
    <s v="B.Com"/>
    <n v="5.7"/>
    <n v="14.2"/>
    <n v="17.3"/>
    <s v="30 Days"/>
    <x v="5"/>
    <d v="2025-10-26T00:00:00"/>
    <x v="0"/>
    <x v="1"/>
    <x v="8"/>
    <s v="Q4"/>
    <n v="2025"/>
  </r>
  <r>
    <s v="CAN0511"/>
    <s v="Justin"/>
    <s v="Henry"/>
    <s v="Male"/>
    <n v="25"/>
    <s v="justin.henry32@gmail.com"/>
    <n v="9636434560"/>
    <s v="Pune"/>
    <s v="Maharashtra"/>
    <s v="M.Tech"/>
    <n v="1.7"/>
    <n v="7.5"/>
    <n v="10.1"/>
    <s v="30 Days"/>
    <x v="1"/>
    <d v="2025-10-13T00:00:00"/>
    <x v="0"/>
    <x v="0"/>
    <x v="8"/>
    <s v="Q4"/>
    <n v="2025"/>
  </r>
  <r>
    <s v="CAN0512"/>
    <s v="Howard"/>
    <s v="Smith"/>
    <s v="Male"/>
    <n v="25"/>
    <s v="howard.smith10@gmail.com"/>
    <n v="9735855509"/>
    <s v="Indore"/>
    <s v="Madhya Pradesh"/>
    <s v="B.Sc"/>
    <n v="0.6"/>
    <n v="4.9000000000000004"/>
    <n v="6.1"/>
    <s v="60 Days"/>
    <x v="4"/>
    <d v="2025-11-26T00:00:00"/>
    <x v="0"/>
    <x v="0"/>
    <x v="9"/>
    <s v="Q4"/>
    <n v="2025"/>
  </r>
  <r>
    <s v="CAN0513"/>
    <s v="Robert"/>
    <s v="King"/>
    <s v="Male"/>
    <n v="37"/>
    <s v="robert.king47@gmail.com"/>
    <n v="9662495187"/>
    <s v="Chennai"/>
    <s v="Tamil Nadu"/>
    <s v="MBA"/>
    <n v="5.6"/>
    <n v="12.3"/>
    <n v="14.1"/>
    <s v="30 Days"/>
    <x v="1"/>
    <d v="2025-08-30T00:00:00"/>
    <x v="0"/>
    <x v="2"/>
    <x v="3"/>
    <s v="Q3"/>
    <n v="2025"/>
  </r>
  <r>
    <s v="CAN0514"/>
    <s v="Michael"/>
    <s v="Harper"/>
    <s v="Male"/>
    <n v="31"/>
    <s v="michael.harper42@gmail.com"/>
    <n v="9958561490"/>
    <s v="Indore"/>
    <s v="Madhya Pradesh"/>
    <s v="B.Tech"/>
    <n v="1.2"/>
    <n v="9"/>
    <n v="11.5"/>
    <s v="30 Days"/>
    <x v="5"/>
    <d v="2025-11-28T00:00:00"/>
    <x v="0"/>
    <x v="3"/>
    <x v="9"/>
    <s v="Q4"/>
    <n v="2025"/>
  </r>
  <r>
    <s v="CAN0515"/>
    <s v="Michael"/>
    <s v="Hill"/>
    <s v="Female"/>
    <n v="42"/>
    <s v="michael.hill60@gmail.com"/>
    <n v="9448176626"/>
    <s v="Chandigarh"/>
    <s v="Chandigarh"/>
    <m/>
    <n v="2.8"/>
    <n v="3.6"/>
    <n v="5.2"/>
    <s v="Immediate"/>
    <x v="4"/>
    <d v="2025-10-05T00:00:00"/>
    <x v="0"/>
    <x v="2"/>
    <x v="8"/>
    <s v="Q4"/>
    <n v="2025"/>
  </r>
  <r>
    <s v="CAN0516"/>
    <s v="Nicole"/>
    <s v="Johnson"/>
    <s v="Male"/>
    <n v="21"/>
    <s v="nicole.johnson18@gmail.com"/>
    <n v="9902356142"/>
    <s v="Hyderabad"/>
    <s v="Telangana"/>
    <s v="B.Com"/>
    <n v="1.3"/>
    <n v="8"/>
    <n v="10.8"/>
    <s v="30 Days"/>
    <x v="2"/>
    <d v="2025-07-06T00:00:00"/>
    <x v="0"/>
    <x v="0"/>
    <x v="7"/>
    <s v="Q3"/>
    <n v="2025"/>
  </r>
  <r>
    <s v="CAN0517"/>
    <s v="Caitlin"/>
    <s v="Gomez"/>
    <s v="Male"/>
    <n v="33"/>
    <s v="caitlin.gomez29@gmail.com"/>
    <n v="9786977836"/>
    <s v="Hyderabad"/>
    <s v="Telangana"/>
    <s v="M.Sc"/>
    <n v="5.4"/>
    <n v="6.2"/>
    <n v="7.2"/>
    <s v="30 Days"/>
    <x v="6"/>
    <d v="2025-11-12T00:00:00"/>
    <x v="0"/>
    <x v="3"/>
    <x v="9"/>
    <s v="Q4"/>
    <n v="2025"/>
  </r>
  <r>
    <s v="CAN0518"/>
    <s v="Melissa"/>
    <s v="Perez"/>
    <s v="Male"/>
    <n v="23"/>
    <s v="melissa.perez10@gmail.com"/>
    <n v="9604199365"/>
    <s v="Ahmedabad"/>
    <s v="Gujarat"/>
    <s v="BBA"/>
    <n v="0.6"/>
    <n v="15.8"/>
    <n v="19.399999999999999"/>
    <s v="30 Days"/>
    <x v="2"/>
    <d v="2025-08-12T00:00:00"/>
    <x v="0"/>
    <x v="0"/>
    <x v="3"/>
    <s v="Q3"/>
    <n v="2025"/>
  </r>
  <r>
    <s v="CAN0519"/>
    <s v="Oscar"/>
    <s v="Gonzalez"/>
    <s v="Male"/>
    <n v="23"/>
    <s v="oscar.gonzalez62@gmail.com"/>
    <n v="9844229908"/>
    <s v="Bengaluru"/>
    <s v="Karnataka"/>
    <s v="MBA"/>
    <n v="0.9"/>
    <n v="5.2"/>
    <n v="7.2"/>
    <s v="30 Days"/>
    <x v="0"/>
    <d v="2025-11-19T00:00:00"/>
    <x v="0"/>
    <x v="0"/>
    <x v="9"/>
    <s v="Q4"/>
    <n v="2025"/>
  </r>
  <r>
    <s v="CAN0520"/>
    <s v="Mr."/>
    <s v="Young"/>
    <s v="Female"/>
    <n v="21"/>
    <s v="mr..young71@gmail.com"/>
    <n v="9789435297"/>
    <s v="Hyderabad"/>
    <s v="Telangana"/>
    <s v="M.Tech"/>
    <n v="6.7"/>
    <n v="15.5"/>
    <n v="21"/>
    <s v="90 Days"/>
    <x v="0"/>
    <d v="2025-06-04T00:00:00"/>
    <x v="0"/>
    <x v="0"/>
    <x v="0"/>
    <s v="Q2"/>
    <n v="2025"/>
  </r>
  <r>
    <s v="CAN0521"/>
    <s v="Brittany"/>
    <s v="Williams"/>
    <s v="Female"/>
    <n v="32"/>
    <s v="brittany.williams21@gmail.com"/>
    <n v="9982158748"/>
    <s v="Mumbai"/>
    <s v="Maharashtra"/>
    <s v="M.Tech"/>
    <n v="2.6"/>
    <n v="8.5"/>
    <n v="11.9"/>
    <s v="60 Days"/>
    <x v="1"/>
    <d v="2025-04-12T00:00:00"/>
    <x v="0"/>
    <x v="3"/>
    <x v="11"/>
    <s v="Q2"/>
    <n v="2025"/>
  </r>
  <r>
    <s v="CAN0522"/>
    <s v="Daniel"/>
    <s v="Gomez"/>
    <s v="Female"/>
    <n v="22"/>
    <s v="daniel.gomez77@gmail.com"/>
    <n v="9674292135"/>
    <s v="Noida"/>
    <s v="Uttar Pradesh"/>
    <s v="MBA"/>
    <n v="5.2"/>
    <n v="12.5"/>
    <n v="15.1"/>
    <s v="Immediate"/>
    <x v="0"/>
    <d v="2025-03-30T00:00:00"/>
    <x v="0"/>
    <x v="0"/>
    <x v="6"/>
    <s v="Q1"/>
    <n v="2025"/>
  </r>
  <r>
    <s v="CAN0523"/>
    <s v="Thomas"/>
    <s v="Smith"/>
    <s v="Male"/>
    <n v="28"/>
    <s v="thomas.smith32@gmail.com"/>
    <n v="9104225747"/>
    <s v="Pune"/>
    <s v="Maharashtra"/>
    <s v="B.Sc"/>
    <n v="10.7"/>
    <n v="21"/>
    <n v="25.4"/>
    <s v="30 Days"/>
    <x v="4"/>
    <d v="2025-01-10T00:00:00"/>
    <x v="0"/>
    <x v="1"/>
    <x v="5"/>
    <s v="Q1"/>
    <n v="2025"/>
  </r>
  <r>
    <s v="CAN0524"/>
    <s v="Jennifer"/>
    <s v="Russell"/>
    <s v="Male"/>
    <n v="21"/>
    <s v="jennifer.russell11@gmail.com"/>
    <n v="9195016189"/>
    <s v="Hyderabad"/>
    <s v="Telangana"/>
    <s v="B.Tech"/>
    <n v="0.2"/>
    <n v="4.5999999999999996"/>
    <n v="5.7"/>
    <s v="30 Days"/>
    <x v="2"/>
    <d v="2025-08-02T00:00:00"/>
    <x v="0"/>
    <x v="0"/>
    <x v="3"/>
    <s v="Q3"/>
    <n v="2025"/>
  </r>
  <r>
    <s v="CAN0525"/>
    <s v="Joseph"/>
    <s v="Townsend"/>
    <s v="Female"/>
    <n v="34"/>
    <s v="joseph.townsend34@gmail.com"/>
    <n v="9457572014"/>
    <s v="Bengaluru"/>
    <s v="Karnataka"/>
    <s v="MCA"/>
    <n v="0.8"/>
    <n v="13.5"/>
    <n v="16.3"/>
    <s v="15 Days"/>
    <x v="0"/>
    <d v="2025-01-27T00:00:00"/>
    <x v="0"/>
    <x v="3"/>
    <x v="5"/>
    <s v="Q1"/>
    <n v="2025"/>
  </r>
  <r>
    <s v="CAN0526"/>
    <s v="Christopher"/>
    <s v="Landry"/>
    <s v="Female"/>
    <n v="34"/>
    <s v="christopher.landry34@gmail.com"/>
    <n v="9241481617"/>
    <s v="Chandigarh"/>
    <s v="Chandigarh"/>
    <s v="M.Sc"/>
    <n v="1.8"/>
    <n v="11.7"/>
    <n v="14.4"/>
    <s v="30 Days"/>
    <x v="0"/>
    <d v="2025-11-06T00:00:00"/>
    <x v="0"/>
    <x v="3"/>
    <x v="9"/>
    <s v="Q4"/>
    <n v="2025"/>
  </r>
  <r>
    <s v="CAN0527"/>
    <s v="Kelli"/>
    <s v="Gonzales"/>
    <s v="Female"/>
    <n v="30"/>
    <s v="kelli.gonzales72@gmail.com"/>
    <n v="9964532742"/>
    <s v="Bengaluru"/>
    <s v="Karnataka"/>
    <s v="MBA"/>
    <n v="1.3"/>
    <n v="13.4"/>
    <n v="18.7"/>
    <s v="30 Days"/>
    <x v="2"/>
    <d v="2025-01-09T00:00:00"/>
    <x v="0"/>
    <x v="1"/>
    <x v="5"/>
    <s v="Q1"/>
    <n v="2025"/>
  </r>
  <r>
    <s v="CAN0528"/>
    <s v="Walter"/>
    <s v="Walker"/>
    <s v="Male"/>
    <n v="39"/>
    <s v="walter.walker10@gmail.com"/>
    <n v="9961134735"/>
    <s v="Delhi"/>
    <s v="Delhi"/>
    <m/>
    <n v="1.3"/>
    <n v="2.5"/>
    <n v="3.3"/>
    <s v="15 Days"/>
    <x v="5"/>
    <d v="2025-08-28T00:00:00"/>
    <x v="0"/>
    <x v="2"/>
    <x v="3"/>
    <s v="Q3"/>
    <n v="2025"/>
  </r>
  <r>
    <s v="CAN0529"/>
    <s v="Katie"/>
    <s v="Clark"/>
    <s v="Female"/>
    <n v="28"/>
    <s v="katie.clark30@gmail.com"/>
    <n v="9768348696"/>
    <s v="Mumbai"/>
    <s v="Maharashtra"/>
    <s v="M.Sc"/>
    <n v="1.9"/>
    <n v="5.3"/>
    <n v="6.8"/>
    <s v="30 Days"/>
    <x v="0"/>
    <d v="2025-10-26T00:00:00"/>
    <x v="0"/>
    <x v="1"/>
    <x v="8"/>
    <s v="Q4"/>
    <n v="2025"/>
  </r>
  <r>
    <s v="CAN0530"/>
    <s v="Lance"/>
    <s v="Choi"/>
    <s v="Male"/>
    <n v="22"/>
    <s v="lance.choi82@gmail.com"/>
    <n v="9591037768"/>
    <s v="Hyderabad"/>
    <s v="Telangana"/>
    <s v="MBA"/>
    <n v="5"/>
    <n v="12.2"/>
    <n v="15.7"/>
    <s v="30 Days"/>
    <x v="2"/>
    <d v="2025-01-30T00:00:00"/>
    <x v="0"/>
    <x v="0"/>
    <x v="5"/>
    <s v="Q1"/>
    <n v="2025"/>
  </r>
  <r>
    <s v="CAN0531"/>
    <s v="Jacob"/>
    <s v="Arnold"/>
    <s v="Male"/>
    <n v="36"/>
    <s v="jacob.arnold93@gmail.com"/>
    <n v="9125240244"/>
    <s v="Hyderabad"/>
    <s v="Telangana"/>
    <s v="BBA"/>
    <n v="5.0999999999999996"/>
    <n v="10.8"/>
    <n v="12.8"/>
    <s v="30 Days"/>
    <x v="2"/>
    <d v="2025-04-09T00:00:00"/>
    <x v="0"/>
    <x v="2"/>
    <x v="11"/>
    <s v="Q2"/>
    <n v="2025"/>
  </r>
  <r>
    <s v="CAN0532"/>
    <s v="Melissa"/>
    <s v="Lowe"/>
    <s v="Female"/>
    <n v="31"/>
    <s v="melissa.lowe27@gmail.com"/>
    <n v="9434080971"/>
    <s v="Pune"/>
    <s v="Maharashtra"/>
    <s v="MCA"/>
    <n v="1.3"/>
    <n v="2.5"/>
    <n v="2.9"/>
    <s v="Immediate"/>
    <x v="2"/>
    <d v="2025-06-23T00:00:00"/>
    <x v="0"/>
    <x v="3"/>
    <x v="0"/>
    <s v="Q2"/>
    <n v="2025"/>
  </r>
  <r>
    <s v="CAN0533"/>
    <s v="Matthew"/>
    <s v="Hart"/>
    <s v="Female"/>
    <n v="35"/>
    <s v="matthew.hart92@gmail.com"/>
    <n v="9831433593"/>
    <s v="Jaipur"/>
    <s v="Rajasthan"/>
    <s v="MBA"/>
    <n v="2.9"/>
    <n v="9.3000000000000007"/>
    <n v="11.4"/>
    <s v="15 Days"/>
    <x v="5"/>
    <d v="2025-01-29T00:00:00"/>
    <x v="0"/>
    <x v="3"/>
    <x v="5"/>
    <s v="Q1"/>
    <n v="2025"/>
  </r>
  <r>
    <s v="CAN0534"/>
    <s v="Tiffany"/>
    <s v="Bowen"/>
    <s v="Female"/>
    <n v="29"/>
    <s v="tiffany.bowen41@gmail.com"/>
    <n v="9195710159"/>
    <s v="Chennai"/>
    <s v="Tamil Nadu"/>
    <s v="B.Tech"/>
    <n v="2.2000000000000002"/>
    <n v="9.1999999999999993"/>
    <n v="11.9"/>
    <s v="15 Days"/>
    <x v="6"/>
    <d v="2025-05-06T00:00:00"/>
    <x v="0"/>
    <x v="1"/>
    <x v="10"/>
    <s v="Q2"/>
    <n v="2025"/>
  </r>
  <r>
    <s v="CAN0535"/>
    <s v="Mr."/>
    <s v="White"/>
    <s v="Male"/>
    <n v="33"/>
    <s v="mr..white26@gmail.com"/>
    <n v="9444220102"/>
    <s v="Mumbai"/>
    <s v="Maharashtra"/>
    <s v="MBA"/>
    <n v="1.4"/>
    <n v="8.9"/>
    <n v="12.1"/>
    <s v="60 Days"/>
    <x v="5"/>
    <d v="2025-09-01T00:00:00"/>
    <x v="0"/>
    <x v="3"/>
    <x v="2"/>
    <s v="Q3"/>
    <n v="2025"/>
  </r>
  <r>
    <s v="CAN0536"/>
    <s v="Mark"/>
    <s v="Rodriguez"/>
    <s v="Male"/>
    <n v="31"/>
    <s v="mark.rodriguez10@gmail.com"/>
    <n v="9214048307"/>
    <s v="Pune"/>
    <s v="Maharashtra"/>
    <s v="B.Tech"/>
    <n v="4.8"/>
    <n v="9"/>
    <n v="11.2"/>
    <s v="30 Days"/>
    <x v="0"/>
    <d v="2025-12-09T00:00:00"/>
    <x v="0"/>
    <x v="3"/>
    <x v="4"/>
    <s v="Q4"/>
    <n v="2025"/>
  </r>
  <r>
    <s v="CAN0537"/>
    <s v="Jamie"/>
    <s v="Allen"/>
    <s v="Male"/>
    <n v="25"/>
    <s v="jamie.allen58@gmail.com"/>
    <n v="9441708181"/>
    <s v="Kochi"/>
    <s v="Kerala"/>
    <s v="BBA"/>
    <n v="2.8"/>
    <n v="9.6999999999999993"/>
    <n v="13.1"/>
    <s v="60 Days"/>
    <x v="2"/>
    <d v="2025-08-17T00:00:00"/>
    <x v="0"/>
    <x v="0"/>
    <x v="3"/>
    <s v="Q3"/>
    <n v="2025"/>
  </r>
  <r>
    <s v="CAN0538"/>
    <s v="Jason"/>
    <s v="Graham"/>
    <s v="Female"/>
    <n v="26"/>
    <s v="jason.graham93@gmail.com"/>
    <n v="9437881146"/>
    <s v="Ahmedabad"/>
    <s v="Gujarat"/>
    <s v="B.Tech"/>
    <n v="2"/>
    <n v="11.3"/>
    <n v="15.5"/>
    <s v="Immediate"/>
    <x v="6"/>
    <d v="2025-03-10T00:00:00"/>
    <x v="0"/>
    <x v="1"/>
    <x v="6"/>
    <s v="Q1"/>
    <n v="2025"/>
  </r>
  <r>
    <s v="CAN0539"/>
    <s v="David"/>
    <s v="Williams"/>
    <s v="Male"/>
    <n v="35"/>
    <s v="david.williams72@gmail.com"/>
    <n v="9238461195"/>
    <s v="Mumbai"/>
    <s v="Maharashtra"/>
    <s v="BBA"/>
    <n v="1.3"/>
    <n v="7.4"/>
    <n v="9.8000000000000007"/>
    <s v="15 Days"/>
    <x v="0"/>
    <d v="2025-12-05T00:00:00"/>
    <x v="0"/>
    <x v="3"/>
    <x v="4"/>
    <s v="Q4"/>
    <n v="2025"/>
  </r>
  <r>
    <s v="CAN0540"/>
    <s v="Lindsay"/>
    <s v="Miller"/>
    <s v="Female"/>
    <n v="28"/>
    <s v="lindsay.miller56@gmail.com"/>
    <n v="9658137174"/>
    <s v="Mumbai"/>
    <s v="Maharashtra"/>
    <s v="B.Tech"/>
    <n v="2.7"/>
    <n v="13.9"/>
    <n v="18.8"/>
    <s v="30 Days"/>
    <x v="3"/>
    <d v="2025-01-17T00:00:00"/>
    <x v="0"/>
    <x v="1"/>
    <x v="5"/>
    <s v="Q1"/>
    <n v="2025"/>
  </r>
  <r>
    <s v="CAN0541"/>
    <s v="Audrey"/>
    <s v="Schmitt"/>
    <s v="Male"/>
    <n v="28"/>
    <s v="audrey.schmitt99@gmail.com"/>
    <n v="9819756949"/>
    <s v="Pune"/>
    <s v="Maharashtra"/>
    <s v="M.Tech"/>
    <n v="9.4"/>
    <n v="18.8"/>
    <n v="25.4"/>
    <s v="15 Days"/>
    <x v="3"/>
    <d v="2025-11-06T00:00:00"/>
    <x v="0"/>
    <x v="1"/>
    <x v="9"/>
    <s v="Q4"/>
    <n v="2025"/>
  </r>
  <r>
    <s v="CAN0542"/>
    <s v="Douglas"/>
    <s v="Lee"/>
    <s v="Female"/>
    <n v="32"/>
    <s v="douglas.lee22@gmail.com"/>
    <n v="9357327141"/>
    <s v="Pune"/>
    <s v="Maharashtra"/>
    <s v="B.Com"/>
    <n v="1.7"/>
    <n v="9.1999999999999993"/>
    <n v="12.8"/>
    <s v="30 Days"/>
    <x v="2"/>
    <d v="2025-05-05T00:00:00"/>
    <x v="0"/>
    <x v="3"/>
    <x v="10"/>
    <s v="Q2"/>
    <n v="2025"/>
  </r>
  <r>
    <s v="CAN0543"/>
    <s v="Jonathan"/>
    <s v="Thompson"/>
    <s v="Male"/>
    <n v="32"/>
    <s v="jonathan.thompson71@gmail.com"/>
    <n v="9225607548"/>
    <s v="Mumbai"/>
    <s v="Maharashtra"/>
    <s v="B.Sc"/>
    <n v="1.3"/>
    <n v="6.8"/>
    <n v="9.3000000000000007"/>
    <m/>
    <x v="6"/>
    <d v="2025-08-31T00:00:00"/>
    <x v="0"/>
    <x v="3"/>
    <x v="3"/>
    <s v="Q3"/>
    <n v="2025"/>
  </r>
  <r>
    <s v="CAN0544"/>
    <s v="Diane"/>
    <s v="Smith"/>
    <s v="Male"/>
    <n v="24"/>
    <s v="diane.smith24@gmail.com"/>
    <n v="9748595378"/>
    <s v="Chandigarh"/>
    <s v="Chandigarh"/>
    <s v="B.Sc"/>
    <n v="3.3"/>
    <n v="11.3"/>
    <n v="14.4"/>
    <s v="30 Days"/>
    <x v="3"/>
    <d v="2025-03-08T00:00:00"/>
    <x v="0"/>
    <x v="0"/>
    <x v="6"/>
    <s v="Q1"/>
    <n v="2025"/>
  </r>
  <r>
    <s v="CAN0545"/>
    <s v="Deborah"/>
    <s v="May"/>
    <s v="Female"/>
    <n v="25"/>
    <s v="deborah.may63@gmail.com"/>
    <n v="9214890533"/>
    <s v="Kochi"/>
    <s v="Kerala"/>
    <s v="M.Sc"/>
    <n v="5"/>
    <n v="14.3"/>
    <n v="17.600000000000001"/>
    <s v="15 Days"/>
    <x v="0"/>
    <d v="2025-08-29T00:00:00"/>
    <x v="0"/>
    <x v="0"/>
    <x v="3"/>
    <s v="Q3"/>
    <n v="2025"/>
  </r>
  <r>
    <s v="CAN0546"/>
    <s v="Dr."/>
    <s v="Graham"/>
    <s v="Female"/>
    <n v="30"/>
    <s v="dr..graham90@gmail.com"/>
    <n v="9259475586"/>
    <s v="Kochi"/>
    <s v="Kerala"/>
    <s v="M.Tech"/>
    <n v="0.8"/>
    <n v="5.2"/>
    <n v="6.4"/>
    <s v="30 Days"/>
    <x v="3"/>
    <d v="2025-12-16T00:00:00"/>
    <x v="0"/>
    <x v="1"/>
    <x v="4"/>
    <s v="Q4"/>
    <n v="2025"/>
  </r>
  <r>
    <s v="CAN0547"/>
    <s v="Taylor"/>
    <s v="Delgado"/>
    <s v="Male"/>
    <n v="26"/>
    <s v="taylor.delgado54@gmail.com"/>
    <n v="9160539567"/>
    <s v="Kochi"/>
    <s v="Kerala"/>
    <s v="B.Tech"/>
    <n v="2.6"/>
    <n v="5.7"/>
    <n v="6.8"/>
    <s v="15 Days"/>
    <x v="3"/>
    <d v="2025-05-11T00:00:00"/>
    <x v="0"/>
    <x v="1"/>
    <x v="10"/>
    <s v="Q2"/>
    <n v="2025"/>
  </r>
  <r>
    <s v="CAN0548"/>
    <s v="Melissa"/>
    <s v="Doyle"/>
    <s v="Female"/>
    <n v="24"/>
    <s v="melissa.doyle5@gmail.com"/>
    <n v="9451178973"/>
    <s v="Hyderabad"/>
    <s v="Telangana"/>
    <s v="M.Sc"/>
    <n v="0.3"/>
    <n v="3.6"/>
    <n v="5"/>
    <s v="15 Days"/>
    <x v="2"/>
    <d v="2025-07-11T00:00:00"/>
    <x v="0"/>
    <x v="0"/>
    <x v="7"/>
    <s v="Q3"/>
    <n v="2025"/>
  </r>
  <r>
    <s v="CAN0549"/>
    <s v="Sara"/>
    <s v="Hernandez"/>
    <s v="Female"/>
    <n v="21"/>
    <s v="sara.hernandez51@gmail.com"/>
    <n v="9506135347"/>
    <s v="Chennai"/>
    <s v="Tamil Nadu"/>
    <s v="B.Tech"/>
    <n v="2.9"/>
    <m/>
    <n v="10.6"/>
    <m/>
    <x v="2"/>
    <d v="2025-11-22T00:00:00"/>
    <x v="0"/>
    <x v="0"/>
    <x v="9"/>
    <s v="Q4"/>
    <n v="2025"/>
  </r>
  <r>
    <s v="CAN0550"/>
    <s v="John"/>
    <s v="Macdonald"/>
    <s v="Female"/>
    <n v="26"/>
    <s v="john.macdonald73@gmail.com"/>
    <n v="9911305145"/>
    <s v="Indore"/>
    <s v="Madhya Pradesh"/>
    <s v="B.Sc"/>
    <n v="3"/>
    <n v="6.8"/>
    <n v="9.6999999999999993"/>
    <s v="60 Days"/>
    <x v="4"/>
    <d v="2025-03-29T00:00:00"/>
    <x v="0"/>
    <x v="1"/>
    <x v="6"/>
    <s v="Q1"/>
    <n v="2025"/>
  </r>
  <r>
    <s v="CAN0551"/>
    <s v="John"/>
    <s v="Patterson"/>
    <s v="Female"/>
    <n v="41"/>
    <s v="john.patterson40@gmail.com"/>
    <n v="9371889818"/>
    <s v="Kolkata"/>
    <s v="West Bengal"/>
    <s v="M.Tech"/>
    <n v="3.7"/>
    <n v="10"/>
    <n v="12.5"/>
    <s v="60 Days"/>
    <x v="0"/>
    <d v="2025-10-04T00:00:00"/>
    <x v="0"/>
    <x v="2"/>
    <x v="8"/>
    <s v="Q4"/>
    <n v="2025"/>
  </r>
  <r>
    <s v="CAN0552"/>
    <s v="Bonnie"/>
    <s v="Lane"/>
    <s v="Female"/>
    <n v="21"/>
    <s v="bonnie.lane86@gmail.com"/>
    <n v="9981123328"/>
    <s v="Bengaluru"/>
    <s v="Karnataka"/>
    <s v="B.Com"/>
    <n v="2.1"/>
    <n v="9.6"/>
    <n v="13.4"/>
    <s v="60 Days"/>
    <x v="6"/>
    <d v="2025-03-13T00:00:00"/>
    <x v="0"/>
    <x v="0"/>
    <x v="6"/>
    <s v="Q1"/>
    <n v="2025"/>
  </r>
  <r>
    <s v="CAN0553"/>
    <s v="Jessica"/>
    <s v="Jones"/>
    <s v="Female"/>
    <n v="25"/>
    <s v="jessica.jones96@gmail.com"/>
    <n v="9826851593"/>
    <s v="Kolkata"/>
    <s v="West Bengal"/>
    <s v="M.Tech"/>
    <n v="0"/>
    <n v="9.8000000000000007"/>
    <n v="11.1"/>
    <s v="60 Days"/>
    <x v="1"/>
    <d v="2025-08-22T00:00:00"/>
    <x v="0"/>
    <x v="0"/>
    <x v="3"/>
    <s v="Q3"/>
    <n v="2025"/>
  </r>
  <r>
    <s v="CAN0554"/>
    <s v="Sean"/>
    <s v="Pham"/>
    <s v="Female"/>
    <n v="28"/>
    <s v="sean.pham61@gmail.com"/>
    <n v="9940641704"/>
    <s v="Delhi"/>
    <s v="Delhi"/>
    <s v="MBA"/>
    <n v="5.4"/>
    <n v="13.2"/>
    <n v="18.600000000000001"/>
    <s v="15 Days"/>
    <x v="2"/>
    <d v="2025-05-08T00:00:00"/>
    <x v="0"/>
    <x v="1"/>
    <x v="10"/>
    <s v="Q2"/>
    <n v="2025"/>
  </r>
  <r>
    <s v="CAN0555"/>
    <s v="Manuel"/>
    <s v="Wright"/>
    <s v="Male"/>
    <n v="21"/>
    <s v="manuel.wright16@gmail.com"/>
    <n v="9451259520"/>
    <s v="Indore"/>
    <s v="Madhya Pradesh"/>
    <s v="B.Tech"/>
    <n v="8.4"/>
    <m/>
    <n v="24.8"/>
    <s v="15 Days"/>
    <x v="0"/>
    <d v="2025-02-04T00:00:00"/>
    <x v="0"/>
    <x v="0"/>
    <x v="1"/>
    <s v="Q1"/>
    <n v="2025"/>
  </r>
  <r>
    <s v="CAN0556"/>
    <s v="Jeff"/>
    <s v="Smith"/>
    <s v="Male"/>
    <n v="21"/>
    <s v="jeff.smith7@gmail.com"/>
    <n v="9313073647"/>
    <s v="Kochi"/>
    <s v="Kerala"/>
    <s v="BBA"/>
    <n v="9.5"/>
    <n v="17.3"/>
    <n v="21.7"/>
    <s v="60 Days"/>
    <x v="4"/>
    <d v="2025-06-08T00:00:00"/>
    <x v="0"/>
    <x v="0"/>
    <x v="0"/>
    <s v="Q2"/>
    <n v="2025"/>
  </r>
  <r>
    <s v="CAN0557"/>
    <s v="Amanda"/>
    <s v="Davis"/>
    <s v="Female"/>
    <n v="30"/>
    <s v="amanda.davis74@gmail.com"/>
    <n v="9605167383"/>
    <s v="Gurugram"/>
    <s v="Haryana"/>
    <s v="MCA"/>
    <n v="13.8"/>
    <n v="25.4"/>
    <n v="34.6"/>
    <s v="15 Days"/>
    <x v="6"/>
    <d v="2025-10-21T00:00:00"/>
    <x v="0"/>
    <x v="1"/>
    <x v="8"/>
    <s v="Q4"/>
    <n v="2025"/>
  </r>
  <r>
    <s v="CAN0558"/>
    <s v="Kristin"/>
    <s v="Burton"/>
    <s v="Female"/>
    <n v="36"/>
    <s v="kristin.burton77@gmail.com"/>
    <n v="9730809789"/>
    <s v="Kochi"/>
    <s v="Kerala"/>
    <s v="MCA"/>
    <n v="0.2"/>
    <n v="2.5"/>
    <n v="2.9"/>
    <s v="30 Days"/>
    <x v="0"/>
    <d v="2025-12-07T00:00:00"/>
    <x v="0"/>
    <x v="2"/>
    <x v="4"/>
    <s v="Q4"/>
    <n v="2025"/>
  </r>
  <r>
    <s v="CAN0559"/>
    <s v="Michelle"/>
    <s v="Hunt"/>
    <s v="Male"/>
    <n v="28"/>
    <s v="michelle.hunt27@gmail.com"/>
    <n v="9489083459"/>
    <s v="Kolkata"/>
    <s v="West Bengal"/>
    <s v="B.Com"/>
    <n v="0.2"/>
    <n v="7"/>
    <n v="10.1"/>
    <s v="30 Days"/>
    <x v="0"/>
    <d v="2025-10-19T00:00:00"/>
    <x v="0"/>
    <x v="1"/>
    <x v="8"/>
    <s v="Q4"/>
    <n v="2025"/>
  </r>
  <r>
    <s v="CAN0560"/>
    <s v="Kristen"/>
    <s v="Pineda"/>
    <s v="Male"/>
    <n v="29"/>
    <s v="kristen.pineda76@gmail.com"/>
    <n v="9711209963"/>
    <s v="Noida"/>
    <s v="Uttar Pradesh"/>
    <s v="B.Tech"/>
    <n v="3"/>
    <n v="10.9"/>
    <n v="12.7"/>
    <s v="90 Days"/>
    <x v="0"/>
    <d v="2025-05-29T00:00:00"/>
    <x v="0"/>
    <x v="1"/>
    <x v="10"/>
    <s v="Q2"/>
    <n v="2025"/>
  </r>
  <r>
    <s v="CAN0561"/>
    <s v="Whitney"/>
    <s v="Cooper"/>
    <s v="Female"/>
    <n v="28"/>
    <s v="whitney.cooper96@gmail.com"/>
    <n v="9482910822"/>
    <s v="Mumbai"/>
    <s v="Maharashtra"/>
    <s v="B.Sc"/>
    <n v="4"/>
    <n v="11.6"/>
    <n v="15.8"/>
    <s v="60 Days"/>
    <x v="0"/>
    <d v="2025-08-10T00:00:00"/>
    <x v="0"/>
    <x v="1"/>
    <x v="3"/>
    <s v="Q3"/>
    <n v="2025"/>
  </r>
  <r>
    <s v="CAN0562"/>
    <s v="Nicole"/>
    <s v="Woods"/>
    <s v="Male"/>
    <n v="22"/>
    <s v="nicole.woods82@gmail.com"/>
    <n v="9862200679"/>
    <s v="Mumbai"/>
    <s v="Maharashtra"/>
    <s v="MCA"/>
    <n v="6.8"/>
    <n v="13.8"/>
    <n v="16.399999999999999"/>
    <s v="15 Days"/>
    <x v="2"/>
    <d v="2025-04-06T00:00:00"/>
    <x v="0"/>
    <x v="0"/>
    <x v="11"/>
    <s v="Q2"/>
    <n v="2025"/>
  </r>
  <r>
    <s v="CAN0563"/>
    <s v="Bridget"/>
    <s v="Berry"/>
    <s v="Male"/>
    <n v="37"/>
    <s v="bridget.berry97@gmail.com"/>
    <n v="9637201915"/>
    <s v="Bengaluru"/>
    <s v="Karnataka"/>
    <s v="MBA"/>
    <n v="4"/>
    <n v="11.6"/>
    <n v="13.5"/>
    <s v="90 Days"/>
    <x v="4"/>
    <d v="2025-10-15T00:00:00"/>
    <x v="0"/>
    <x v="2"/>
    <x v="8"/>
    <s v="Q4"/>
    <n v="2025"/>
  </r>
  <r>
    <s v="CAN0564"/>
    <s v="Joshua"/>
    <s v="Anderson"/>
    <s v="Female"/>
    <n v="31"/>
    <s v="joshua.anderson22@gmail.com"/>
    <n v="9296862298"/>
    <s v="Bengaluru"/>
    <s v="Karnataka"/>
    <s v="MCA"/>
    <n v="2.9"/>
    <n v="10.1"/>
    <n v="13.1"/>
    <s v="60 Days"/>
    <x v="6"/>
    <d v="2025-07-05T00:00:00"/>
    <x v="0"/>
    <x v="3"/>
    <x v="7"/>
    <s v="Q3"/>
    <n v="2025"/>
  </r>
  <r>
    <s v="CAN0565"/>
    <s v="Ashley"/>
    <s v="Ewing"/>
    <s v="Male"/>
    <n v="28"/>
    <s v="ashley.ewing8@gmail.com"/>
    <n v="9322687660"/>
    <s v="Kolkata"/>
    <s v="West Bengal"/>
    <s v="B.Tech"/>
    <n v="0.1"/>
    <n v="7"/>
    <n v="9"/>
    <s v="60 Days"/>
    <x v="6"/>
    <d v="2025-04-21T00:00:00"/>
    <x v="0"/>
    <x v="1"/>
    <x v="11"/>
    <s v="Q2"/>
    <n v="2025"/>
  </r>
  <r>
    <s v="CAN0566"/>
    <s v="Rachel"/>
    <s v="Davis"/>
    <s v="Male"/>
    <n v="39"/>
    <s v="rachel.davis20@gmail.com"/>
    <n v="9701257602"/>
    <s v="Hyderabad"/>
    <s v="Telangana"/>
    <s v="B.Tech"/>
    <n v="3.2"/>
    <n v="6.9"/>
    <n v="9.1999999999999993"/>
    <s v="60 Days"/>
    <x v="2"/>
    <d v="2025-11-05T00:00:00"/>
    <x v="0"/>
    <x v="2"/>
    <x v="9"/>
    <s v="Q4"/>
    <n v="2025"/>
  </r>
  <r>
    <s v="CAN0567"/>
    <s v="Ann"/>
    <s v="Morgan"/>
    <s v="Female"/>
    <n v="21"/>
    <s v="ann.morgan78@gmail.com"/>
    <n v="9396365789"/>
    <s v="Hyderabad"/>
    <s v="Telangana"/>
    <s v="BBA"/>
    <n v="3.5"/>
    <n v="7.9"/>
    <n v="10.199999999999999"/>
    <s v="30 Days"/>
    <x v="0"/>
    <d v="2025-01-03T00:00:00"/>
    <x v="0"/>
    <x v="0"/>
    <x v="5"/>
    <s v="Q1"/>
    <n v="2025"/>
  </r>
  <r>
    <s v="CAN0568"/>
    <s v="Philip"/>
    <s v="Phillips"/>
    <s v="Female"/>
    <n v="29"/>
    <s v="philip.phillips92@gmail.com"/>
    <n v="9277628152"/>
    <s v="Jaipur"/>
    <s v="Rajasthan"/>
    <s v="MBA"/>
    <n v="0.2"/>
    <n v="9"/>
    <n v="11.7"/>
    <s v="15 Days"/>
    <x v="3"/>
    <d v="2025-04-29T00:00:00"/>
    <x v="0"/>
    <x v="1"/>
    <x v="11"/>
    <s v="Q2"/>
    <n v="2025"/>
  </r>
  <r>
    <s v="CAN0569"/>
    <s v="Danny"/>
    <s v="Davis"/>
    <s v="Female"/>
    <n v="31"/>
    <s v="danny.davis26@gmail.com"/>
    <n v="9728687476"/>
    <s v="Jaipur"/>
    <s v="Rajasthan"/>
    <s v="MBA"/>
    <n v="2.2999999999999998"/>
    <n v="7"/>
    <n v="9.6"/>
    <s v="30 Days"/>
    <x v="5"/>
    <d v="2025-05-20T00:00:00"/>
    <x v="0"/>
    <x v="3"/>
    <x v="10"/>
    <s v="Q2"/>
    <n v="2025"/>
  </r>
  <r>
    <s v="CAN0570"/>
    <s v="George"/>
    <s v="Jones"/>
    <s v="Female"/>
    <n v="21"/>
    <s v="george.jones55@gmail.com"/>
    <n v="9648550942"/>
    <s v="Bengaluru"/>
    <s v="Karnataka"/>
    <s v="BBA"/>
    <n v="0.2"/>
    <n v="3.4"/>
    <n v="3.8"/>
    <s v="60 Days"/>
    <x v="6"/>
    <d v="2025-10-14T00:00:00"/>
    <x v="0"/>
    <x v="0"/>
    <x v="8"/>
    <s v="Q4"/>
    <n v="2025"/>
  </r>
  <r>
    <s v="CAN0571"/>
    <s v="Anthony"/>
    <s v="Schroeder"/>
    <s v="Female"/>
    <n v="33"/>
    <s v="anthony.schroeder19@gmail.com"/>
    <n v="9443526804"/>
    <s v="Delhi"/>
    <s v="Delhi"/>
    <s v="B.Tech"/>
    <n v="2.2999999999999998"/>
    <n v="6"/>
    <n v="7.1"/>
    <s v="30 Days"/>
    <x v="2"/>
    <d v="2025-05-06T00:00:00"/>
    <x v="0"/>
    <x v="3"/>
    <x v="10"/>
    <s v="Q2"/>
    <n v="2025"/>
  </r>
  <r>
    <s v="CAN0572"/>
    <s v="Theresa"/>
    <s v="Hooper"/>
    <s v="Other"/>
    <n v="21"/>
    <s v="theresa.hooper30@gmail.com"/>
    <n v="9273116077"/>
    <s v="Kochi"/>
    <s v="Kerala"/>
    <s v="B.Com"/>
    <n v="2.5"/>
    <n v="10.7"/>
    <n v="14.2"/>
    <s v="15 Days"/>
    <x v="0"/>
    <d v="2025-04-22T00:00:00"/>
    <x v="0"/>
    <x v="0"/>
    <x v="11"/>
    <s v="Q2"/>
    <n v="2025"/>
  </r>
  <r>
    <s v="CAN0573"/>
    <s v="Desiree"/>
    <s v="Cox"/>
    <s v="Male"/>
    <n v="24"/>
    <s v="desiree.cox19@gmail.com"/>
    <n v="9307363604"/>
    <s v="Ahmedabad"/>
    <s v="Gujarat"/>
    <s v="B.Sc"/>
    <n v="0.4"/>
    <n v="14.1"/>
    <n v="18.100000000000001"/>
    <s v="15 Days"/>
    <x v="2"/>
    <d v="2025-08-14T00:00:00"/>
    <x v="0"/>
    <x v="0"/>
    <x v="3"/>
    <s v="Q3"/>
    <n v="2025"/>
  </r>
  <r>
    <s v="CAN0574"/>
    <s v="Steven"/>
    <s v="Conway"/>
    <s v="Female"/>
    <n v="26"/>
    <s v="steven.conway76@gmail.com"/>
    <n v="9622105386"/>
    <s v="Delhi"/>
    <s v="Delhi"/>
    <s v="MCA"/>
    <n v="0.9"/>
    <n v="6.2"/>
    <n v="7.9"/>
    <s v="15 Days"/>
    <x v="1"/>
    <d v="2025-03-16T00:00:00"/>
    <x v="0"/>
    <x v="1"/>
    <x v="6"/>
    <s v="Q1"/>
    <n v="2025"/>
  </r>
  <r>
    <s v="CAN0575"/>
    <s v="William"/>
    <s v="Osborn"/>
    <s v="Male"/>
    <n v="27"/>
    <s v="william.osborn30@gmail.com"/>
    <n v="9178693220"/>
    <s v="Gurugram"/>
    <s v="Haryana"/>
    <s v="MBA"/>
    <n v="1.5"/>
    <n v="7"/>
    <n v="10.1"/>
    <s v="30 Days"/>
    <x v="2"/>
    <d v="2025-08-06T00:00:00"/>
    <x v="0"/>
    <x v="1"/>
    <x v="3"/>
    <s v="Q3"/>
    <n v="2025"/>
  </r>
  <r>
    <s v="CAN0576"/>
    <s v="Kyle"/>
    <s v="Coffey"/>
    <s v="Male"/>
    <n v="22"/>
    <s v="kyle.coffey91@gmail.com"/>
    <n v="9841634952"/>
    <s v="Kochi"/>
    <s v="Kerala"/>
    <m/>
    <n v="4.5"/>
    <n v="12.4"/>
    <n v="14.5"/>
    <s v="60 Days"/>
    <x v="1"/>
    <d v="2025-01-04T00:00:00"/>
    <x v="0"/>
    <x v="0"/>
    <x v="5"/>
    <s v="Q1"/>
    <n v="2025"/>
  </r>
  <r>
    <s v="CAN0577"/>
    <s v="Donna"/>
    <s v="Mcdaniel"/>
    <s v="Male"/>
    <n v="31"/>
    <s v="donna.mcdaniel94@gmail.com"/>
    <n v="9611961732"/>
    <s v="Gurugram"/>
    <s v="Haryana"/>
    <s v="BBA"/>
    <n v="1"/>
    <n v="11"/>
    <n v="14.9"/>
    <s v="30 Days"/>
    <x v="4"/>
    <d v="2025-11-14T00:00:00"/>
    <x v="0"/>
    <x v="3"/>
    <x v="9"/>
    <s v="Q4"/>
    <n v="2025"/>
  </r>
  <r>
    <s v="CAN0578"/>
    <s v="Amanda"/>
    <s v="Wilcox"/>
    <s v="Male"/>
    <n v="28"/>
    <s v="amanda.wilcox71@gmail.com"/>
    <n v="9800504800"/>
    <s v="Pune"/>
    <s v="Maharashtra"/>
    <s v="MBA"/>
    <n v="8.5"/>
    <n v="15.3"/>
    <n v="17.2"/>
    <s v="30 Days"/>
    <x v="1"/>
    <d v="2025-12-14T00:00:00"/>
    <x v="0"/>
    <x v="1"/>
    <x v="4"/>
    <s v="Q4"/>
    <n v="2025"/>
  </r>
  <r>
    <s v="CAN0579"/>
    <s v="Henry"/>
    <s v="Martin"/>
    <s v="Female"/>
    <n v="38"/>
    <s v="henry.martin42@gmail.com"/>
    <n v="9733534426"/>
    <s v="Ahmedabad"/>
    <s v="Gujarat"/>
    <s v="MBA"/>
    <n v="0.6"/>
    <n v="4.7"/>
    <n v="5.8"/>
    <s v="90 Days"/>
    <x v="1"/>
    <d v="2025-07-26T00:00:00"/>
    <x v="0"/>
    <x v="2"/>
    <x v="7"/>
    <s v="Q3"/>
    <n v="2025"/>
  </r>
  <r>
    <s v="CAN0580"/>
    <s v="Eric"/>
    <s v="Acevedo"/>
    <s v="Female"/>
    <n v="34"/>
    <s v="eric.acevedo37@gmail.com"/>
    <n v="9223928675"/>
    <s v="Pune"/>
    <s v="Maharashtra"/>
    <s v="MCA"/>
    <n v="0.6"/>
    <n v="8.4"/>
    <n v="11.6"/>
    <s v="Immediate"/>
    <x v="2"/>
    <d v="2025-09-03T00:00:00"/>
    <x v="0"/>
    <x v="3"/>
    <x v="2"/>
    <s v="Q3"/>
    <n v="2025"/>
  </r>
  <r>
    <s v="CAN0581"/>
    <s v="Brandy"/>
    <s v="Vincent"/>
    <s v="Male"/>
    <n v="24"/>
    <s v="brandy.vincent36@gmail.com"/>
    <n v="9490248631"/>
    <s v="Kolkata"/>
    <s v="West Bengal"/>
    <s v="MCA"/>
    <n v="8.9"/>
    <n v="14.2"/>
    <n v="17.5"/>
    <s v="30 Days"/>
    <x v="6"/>
    <d v="2025-11-24T00:00:00"/>
    <x v="0"/>
    <x v="0"/>
    <x v="9"/>
    <s v="Q4"/>
    <n v="2025"/>
  </r>
  <r>
    <s v="CAN0582"/>
    <s v="Angela"/>
    <s v="Love"/>
    <s v="Female"/>
    <n v="35"/>
    <s v="angela.love15@gmail.com"/>
    <n v="9457149226"/>
    <s v="Chennai"/>
    <s v="Tamil Nadu"/>
    <s v="B.Com"/>
    <n v="0.2"/>
    <n v="9.6"/>
    <n v="12.7"/>
    <s v="60 Days"/>
    <x v="0"/>
    <d v="2025-07-09T00:00:00"/>
    <x v="0"/>
    <x v="3"/>
    <x v="7"/>
    <s v="Q3"/>
    <n v="2025"/>
  </r>
  <r>
    <s v="CAN0583"/>
    <s v="Mark"/>
    <s v="Miller"/>
    <s v="Female"/>
    <n v="21"/>
    <s v="mark.miller9@gmail.com"/>
    <n v="9489617404"/>
    <s v="Chandigarh"/>
    <s v="Chandigarh"/>
    <s v="MCA"/>
    <n v="1.5"/>
    <n v="6.3"/>
    <n v="8.1999999999999993"/>
    <s v="15 Days"/>
    <x v="2"/>
    <d v="2025-09-11T00:00:00"/>
    <x v="0"/>
    <x v="0"/>
    <x v="2"/>
    <s v="Q3"/>
    <n v="2025"/>
  </r>
  <r>
    <s v="CAN0584"/>
    <s v="Jennifer"/>
    <s v="Moore"/>
    <s v="Male"/>
    <n v="35"/>
    <s v="jennifer.moore89@gmail.com"/>
    <n v="9505079348"/>
    <s v="Bengaluru"/>
    <s v="Karnataka"/>
    <s v="B.Tech"/>
    <n v="2.7"/>
    <n v="13.3"/>
    <n v="15.8"/>
    <s v="30 Days"/>
    <x v="0"/>
    <d v="2025-06-09T00:00:00"/>
    <x v="0"/>
    <x v="3"/>
    <x v="0"/>
    <s v="Q2"/>
    <n v="2025"/>
  </r>
  <r>
    <s v="CAN0585"/>
    <s v="Kelsey"/>
    <s v="Thomas"/>
    <s v="Male"/>
    <n v="31"/>
    <s v="kelsey.thomas8@gmail.com"/>
    <n v="9568822262"/>
    <s v="Chennai"/>
    <s v="Tamil Nadu"/>
    <s v="B.Tech"/>
    <n v="0.4"/>
    <n v="7.4"/>
    <n v="10.7"/>
    <s v="60 Days"/>
    <x v="0"/>
    <d v="2025-03-15T00:00:00"/>
    <x v="0"/>
    <x v="3"/>
    <x v="6"/>
    <s v="Q1"/>
    <n v="2025"/>
  </r>
  <r>
    <s v="CAN0586"/>
    <s v="Brittany"/>
    <s v="Rogers"/>
    <s v="Female"/>
    <n v="35"/>
    <s v="brittany.rogers12@gmail.com"/>
    <n v="9929891284"/>
    <s v="Indore"/>
    <s v="Madhya Pradesh"/>
    <s v="B.Tech"/>
    <n v="6.2"/>
    <n v="21.8"/>
    <n v="30.4"/>
    <s v="Immediate"/>
    <x v="2"/>
    <d v="2025-07-17T00:00:00"/>
    <x v="0"/>
    <x v="3"/>
    <x v="7"/>
    <s v="Q3"/>
    <n v="2025"/>
  </r>
  <r>
    <s v="CAN0587"/>
    <s v="Tammy"/>
    <s v="Scott"/>
    <s v="Male"/>
    <n v="28"/>
    <s v="tammy.scott81@gmail.com"/>
    <n v="9861156441"/>
    <s v="Chandigarh"/>
    <s v="Chandigarh"/>
    <s v="B.Tech"/>
    <n v="9.4"/>
    <n v="21.3"/>
    <n v="24.7"/>
    <s v="15 Days"/>
    <x v="0"/>
    <d v="2025-03-24T00:00:00"/>
    <x v="0"/>
    <x v="1"/>
    <x v="6"/>
    <s v="Q1"/>
    <n v="2025"/>
  </r>
  <r>
    <s v="CAN0588"/>
    <s v="Richard"/>
    <s v="Marquez"/>
    <s v="Male"/>
    <n v="35"/>
    <s v="richard.marquez3@gmail.com"/>
    <n v="9451985396"/>
    <s v="Jaipur"/>
    <s v="Rajasthan"/>
    <s v="MBA"/>
    <n v="6.4"/>
    <n v="12.8"/>
    <n v="15"/>
    <s v="30 Days"/>
    <x v="0"/>
    <d v="2025-04-12T00:00:00"/>
    <x v="0"/>
    <x v="3"/>
    <x v="11"/>
    <s v="Q2"/>
    <n v="2025"/>
  </r>
  <r>
    <s v="CAN0589"/>
    <s v="Megan"/>
    <s v="Evans"/>
    <s v="Female"/>
    <n v="30"/>
    <s v="megan.evans87@gmail.com"/>
    <n v="9312635211"/>
    <s v="Gurugram"/>
    <s v="Haryana"/>
    <s v="B.Tech"/>
    <n v="3.8"/>
    <n v="9.9"/>
    <n v="13.9"/>
    <s v="15 Days"/>
    <x v="2"/>
    <d v="2025-08-17T00:00:00"/>
    <x v="0"/>
    <x v="1"/>
    <x v="3"/>
    <s v="Q3"/>
    <n v="2025"/>
  </r>
  <r>
    <s v="CAN0590"/>
    <s v="Daniel"/>
    <s v="Smith"/>
    <s v="Male"/>
    <n v="41"/>
    <s v="daniel.smith4@gmail.com"/>
    <n v="9822940066"/>
    <s v="Jaipur"/>
    <s v="Rajasthan"/>
    <s v="MCA"/>
    <n v="7.5"/>
    <n v="17.600000000000001"/>
    <n v="20.7"/>
    <s v="60 Days"/>
    <x v="3"/>
    <d v="2025-11-17T00:00:00"/>
    <x v="0"/>
    <x v="2"/>
    <x v="9"/>
    <s v="Q4"/>
    <n v="2025"/>
  </r>
  <r>
    <s v="CAN0591"/>
    <s v="Ronald"/>
    <s v="Schultz"/>
    <s v="Female"/>
    <n v="26"/>
    <s v="ronald.schultz8@gmail.com"/>
    <n v="9578384605"/>
    <s v="Kolkata"/>
    <s v="West Bengal"/>
    <s v="M.Tech"/>
    <n v="5"/>
    <n v="8.1999999999999993"/>
    <n v="11.6"/>
    <s v="60 Days"/>
    <x v="1"/>
    <d v="2025-10-22T00:00:00"/>
    <x v="0"/>
    <x v="1"/>
    <x v="8"/>
    <s v="Q4"/>
    <n v="2025"/>
  </r>
  <r>
    <s v="CAN0592"/>
    <s v="Mary"/>
    <s v="Martinez"/>
    <s v="Male"/>
    <n v="23"/>
    <s v="mary.martinez57@gmail.com"/>
    <n v="9124710470"/>
    <s v="Ahmedabad"/>
    <s v="Gujarat"/>
    <s v="M.Tech"/>
    <n v="4.3"/>
    <n v="12.1"/>
    <n v="16.2"/>
    <s v="30 Days"/>
    <x v="0"/>
    <d v="2025-01-25T00:00:00"/>
    <x v="0"/>
    <x v="0"/>
    <x v="5"/>
    <s v="Q1"/>
    <n v="2025"/>
  </r>
  <r>
    <s v="CAN0593"/>
    <s v="Jay"/>
    <s v="Pruitt"/>
    <s v="Female"/>
    <n v="36"/>
    <s v="jay.pruitt72@gmail.com"/>
    <n v="9654630624"/>
    <s v="Pune"/>
    <s v="Maharashtra"/>
    <s v="BBA"/>
    <n v="0.5"/>
    <n v="8.1"/>
    <n v="10.9"/>
    <s v="15 Days"/>
    <x v="1"/>
    <d v="2025-09-14T00:00:00"/>
    <x v="0"/>
    <x v="2"/>
    <x v="2"/>
    <s v="Q3"/>
    <n v="2025"/>
  </r>
  <r>
    <s v="CAN0594"/>
    <s v="Melissa"/>
    <s v="Johnson"/>
    <s v="Female"/>
    <n v="35"/>
    <s v="melissa.johnson90@gmail.com"/>
    <n v="9652801053"/>
    <s v="Bengaluru"/>
    <s v="Karnataka"/>
    <s v="M.Sc"/>
    <n v="3.6"/>
    <n v="3"/>
    <n v="3.7"/>
    <s v="30 Days"/>
    <x v="0"/>
    <d v="2025-07-14T00:00:00"/>
    <x v="0"/>
    <x v="3"/>
    <x v="7"/>
    <s v="Q3"/>
    <n v="2025"/>
  </r>
  <r>
    <s v="CAN0595"/>
    <s v="Timothy"/>
    <s v="Bond"/>
    <s v="Female"/>
    <n v="33"/>
    <s v="timothy.bond53@gmail.com"/>
    <n v="9458370516"/>
    <s v="Delhi"/>
    <s v="Delhi"/>
    <s v="CA"/>
    <n v="5.9"/>
    <n v="17.8"/>
    <n v="25.4"/>
    <s v="30 Days"/>
    <x v="2"/>
    <d v="2025-07-12T00:00:00"/>
    <x v="0"/>
    <x v="3"/>
    <x v="7"/>
    <s v="Q3"/>
    <n v="2025"/>
  </r>
  <r>
    <s v="CAN0596"/>
    <s v="Timothy"/>
    <s v="Wright"/>
    <s v="Male"/>
    <n v="29"/>
    <s v="timothy.wright28@gmail.com"/>
    <n v="9950625470"/>
    <s v="Pune"/>
    <s v="Maharashtra"/>
    <s v="MBA"/>
    <n v="2.5"/>
    <n v="9.6"/>
    <n v="13.4"/>
    <s v="90 Days"/>
    <x v="5"/>
    <d v="2025-06-12T00:00:00"/>
    <x v="0"/>
    <x v="1"/>
    <x v="0"/>
    <s v="Q2"/>
    <n v="2025"/>
  </r>
  <r>
    <s v="CAN0597"/>
    <s v="Jonathan"/>
    <s v="Christian"/>
    <s v="Female"/>
    <n v="27"/>
    <s v="jonathan.christian72@gmail.com"/>
    <n v="9381631458"/>
    <s v="Chandigarh"/>
    <s v="Chandigarh"/>
    <s v="M.Tech"/>
    <n v="2.5"/>
    <n v="4.9000000000000004"/>
    <n v="5.7"/>
    <s v="60 Days"/>
    <x v="2"/>
    <d v="2025-05-21T00:00:00"/>
    <x v="0"/>
    <x v="1"/>
    <x v="10"/>
    <s v="Q2"/>
    <n v="2025"/>
  </r>
  <r>
    <s v="CAN0598"/>
    <s v="Lisa"/>
    <s v="Harrison"/>
    <s v="Female"/>
    <n v="41"/>
    <s v="lisa.harrison11@gmail.com"/>
    <n v="9628324327"/>
    <s v="Indore"/>
    <s v="Madhya Pradesh"/>
    <s v="M.Sc"/>
    <n v="3.8"/>
    <n v="12.6"/>
    <n v="14.3"/>
    <s v="30 Days"/>
    <x v="0"/>
    <d v="2025-08-01T00:00:00"/>
    <x v="0"/>
    <x v="2"/>
    <x v="3"/>
    <s v="Q3"/>
    <n v="2025"/>
  </r>
  <r>
    <s v="CAN0599"/>
    <s v="Ashley"/>
    <s v="Gomez"/>
    <s v="Female"/>
    <n v="29"/>
    <s v="ashley.gomez76@gmail.com"/>
    <n v="9645032006"/>
    <s v="Noida"/>
    <s v="Uttar Pradesh"/>
    <s v="MBA"/>
    <n v="6.5"/>
    <n v="14.2"/>
    <n v="15.9"/>
    <s v="30 Days"/>
    <x v="0"/>
    <d v="2025-07-12T00:00:00"/>
    <x v="0"/>
    <x v="1"/>
    <x v="7"/>
    <s v="Q3"/>
    <n v="2025"/>
  </r>
  <r>
    <s v="CAN0600"/>
    <s v="David"/>
    <s v="Ross"/>
    <s v="Male"/>
    <n v="27"/>
    <s v="david.ross15@gmail.com"/>
    <n v="9750845548"/>
    <s v="Kochi"/>
    <s v="Kerala"/>
    <s v="BBA"/>
    <n v="2.2000000000000002"/>
    <n v="8.8000000000000007"/>
    <n v="12.4"/>
    <s v="60 Days"/>
    <x v="0"/>
    <d v="2025-08-18T00:00:00"/>
    <x v="0"/>
    <x v="1"/>
    <x v="3"/>
    <s v="Q3"/>
    <n v="2025"/>
  </r>
  <r>
    <s v="CAN0601"/>
    <s v="John"/>
    <s v="Watson"/>
    <s v="Female"/>
    <n v="31"/>
    <s v="john.watson13@gmail.com"/>
    <n v="9138317398"/>
    <s v="Delhi"/>
    <s v="Delhi"/>
    <s v="M.Sc"/>
    <n v="0"/>
    <n v="6.6"/>
    <n v="8"/>
    <s v="Immediate"/>
    <x v="0"/>
    <d v="2025-07-09T00:00:00"/>
    <x v="0"/>
    <x v="3"/>
    <x v="7"/>
    <s v="Q3"/>
    <n v="2025"/>
  </r>
  <r>
    <s v="CAN0602"/>
    <s v="Nicole"/>
    <s v="Mullins"/>
    <s v="Male"/>
    <n v="36"/>
    <s v="nicole.mullins66@gmail.com"/>
    <n v="9637751549"/>
    <s v="Kolkata"/>
    <s v="West Bengal"/>
    <s v="BBA"/>
    <n v="0.3"/>
    <n v="2.5"/>
    <n v="3.3"/>
    <s v="60 Days"/>
    <x v="3"/>
    <d v="2025-08-22T00:00:00"/>
    <x v="0"/>
    <x v="2"/>
    <x v="3"/>
    <s v="Q3"/>
    <n v="2025"/>
  </r>
  <r>
    <s v="CAN0603"/>
    <s v="Stacie"/>
    <s v="Warner"/>
    <s v="Female"/>
    <n v="28"/>
    <s v="stacie.warner41@gmail.com"/>
    <n v="9530845790"/>
    <s v="Pune"/>
    <s v="Maharashtra"/>
    <s v="CA"/>
    <n v="0.2"/>
    <n v="2.9"/>
    <n v="3.7"/>
    <s v="Immediate"/>
    <x v="3"/>
    <d v="2025-03-16T00:00:00"/>
    <x v="0"/>
    <x v="1"/>
    <x v="6"/>
    <s v="Q1"/>
    <n v="2025"/>
  </r>
  <r>
    <s v="CAN0604"/>
    <s v="Greg"/>
    <s v="Evans"/>
    <s v="Female"/>
    <n v="26"/>
    <s v="greg.evans38@gmail.com"/>
    <n v="9157474303"/>
    <s v="Ahmedabad"/>
    <s v="Gujarat"/>
    <m/>
    <n v="0.7"/>
    <n v="11.8"/>
    <n v="15.3"/>
    <s v="30 Days"/>
    <x v="0"/>
    <d v="2025-11-23T00:00:00"/>
    <x v="0"/>
    <x v="1"/>
    <x v="9"/>
    <s v="Q4"/>
    <n v="2025"/>
  </r>
  <r>
    <s v="CAN0605"/>
    <s v="Harold"/>
    <s v="Atkins"/>
    <s v="Female"/>
    <n v="29"/>
    <s v="harold.atkins32@gmail.com"/>
    <n v="9378864827"/>
    <s v="Kochi"/>
    <s v="Kerala"/>
    <s v="BBA"/>
    <n v="17.600000000000001"/>
    <n v="23.9"/>
    <n v="30.3"/>
    <s v="Immediate"/>
    <x v="0"/>
    <d v="2025-01-18T00:00:00"/>
    <x v="0"/>
    <x v="1"/>
    <x v="5"/>
    <s v="Q1"/>
    <n v="2025"/>
  </r>
  <r>
    <s v="CAN0606"/>
    <s v="Caroline"/>
    <s v="Estrada"/>
    <s v="Male"/>
    <n v="31"/>
    <s v="caroline.estrada77@gmail.com"/>
    <n v="9603615980"/>
    <s v="Indore"/>
    <s v="Madhya Pradesh"/>
    <s v="MBA"/>
    <n v="3.3"/>
    <n v="8.1"/>
    <n v="11"/>
    <m/>
    <x v="6"/>
    <d v="2025-04-05T00:00:00"/>
    <x v="0"/>
    <x v="3"/>
    <x v="11"/>
    <s v="Q2"/>
    <n v="2025"/>
  </r>
  <r>
    <s v="CAN0607"/>
    <s v="Ashley"/>
    <s v="DVM"/>
    <s v="Female"/>
    <n v="23"/>
    <s v="ashley.dvm83@gmail.com"/>
    <n v="9974770921"/>
    <s v="Chandigarh"/>
    <s v="Chandigarh"/>
    <s v="B.Tech"/>
    <n v="3.6"/>
    <n v="8.8000000000000007"/>
    <n v="10.4"/>
    <s v="30 Days"/>
    <x v="2"/>
    <d v="2025-03-25T00:00:00"/>
    <x v="0"/>
    <x v="0"/>
    <x v="6"/>
    <s v="Q1"/>
    <n v="2025"/>
  </r>
  <r>
    <s v="CAN0608"/>
    <s v="Alyssa"/>
    <s v="Rice"/>
    <s v="Female"/>
    <n v="34"/>
    <s v="alyssa.rice29@gmail.com"/>
    <n v="9608838021"/>
    <s v="Kochi"/>
    <s v="Kerala"/>
    <s v="MBA"/>
    <n v="0.9"/>
    <n v="7.5"/>
    <n v="9"/>
    <s v="60 Days"/>
    <x v="0"/>
    <d v="2025-11-10T00:00:00"/>
    <x v="0"/>
    <x v="3"/>
    <x v="9"/>
    <s v="Q4"/>
    <n v="2025"/>
  </r>
  <r>
    <s v="CAN0609"/>
    <s v="Desiree"/>
    <s v="Scott"/>
    <s v="Male"/>
    <n v="23"/>
    <s v="desiree.scott99@gmail.com"/>
    <n v="9167734721"/>
    <s v="Pune"/>
    <s v="Maharashtra"/>
    <s v="B.Com"/>
    <n v="11.9"/>
    <n v="18.2"/>
    <n v="24.1"/>
    <s v="90 Days"/>
    <x v="0"/>
    <d v="2025-08-02T00:00:00"/>
    <x v="0"/>
    <x v="0"/>
    <x v="3"/>
    <s v="Q3"/>
    <n v="2025"/>
  </r>
  <r>
    <s v="CAN0610"/>
    <s v="Sheila"/>
    <s v="Adams"/>
    <s v="Female"/>
    <n v="29"/>
    <s v="sheila.adams41@gmail.com"/>
    <n v="9832287017"/>
    <s v="Bengaluru"/>
    <s v="Karnataka"/>
    <s v="MBA"/>
    <n v="1.3"/>
    <n v="7.9"/>
    <n v="9.5"/>
    <s v="30 Days"/>
    <x v="3"/>
    <d v="2025-04-11T00:00:00"/>
    <x v="0"/>
    <x v="1"/>
    <x v="11"/>
    <s v="Q2"/>
    <n v="2025"/>
  </r>
  <r>
    <s v="CAN0611"/>
    <s v="Hannah"/>
    <s v="Martin"/>
    <s v="Female"/>
    <n v="29"/>
    <s v="hannah.martin21@gmail.com"/>
    <n v="9659053184"/>
    <s v="Pune"/>
    <s v="Maharashtra"/>
    <s v="B.Tech"/>
    <n v="0.6"/>
    <n v="7.8"/>
    <n v="9.6"/>
    <s v="60 Days"/>
    <x v="6"/>
    <d v="2025-08-29T00:00:00"/>
    <x v="0"/>
    <x v="1"/>
    <x v="3"/>
    <s v="Q3"/>
    <n v="2025"/>
  </r>
  <r>
    <s v="CAN0612"/>
    <s v="Ashley"/>
    <s v="Atkins"/>
    <s v="Male"/>
    <n v="31"/>
    <s v="ashley.atkins35@gmail.com"/>
    <n v="9704752332"/>
    <s v="Gurugram"/>
    <s v="Haryana"/>
    <s v="B.Tech"/>
    <n v="2"/>
    <n v="8.5"/>
    <n v="10.9"/>
    <s v="90 Days"/>
    <x v="2"/>
    <d v="2025-06-25T00:00:00"/>
    <x v="0"/>
    <x v="3"/>
    <x v="0"/>
    <s v="Q2"/>
    <n v="2025"/>
  </r>
  <r>
    <s v="CAN0613"/>
    <s v="Amanda"/>
    <s v="May"/>
    <s v="Female"/>
    <n v="33"/>
    <s v="amanda.may48@gmail.com"/>
    <n v="9507705106"/>
    <s v="Mumbai"/>
    <s v="Maharashtra"/>
    <s v="PhD"/>
    <n v="1.5"/>
    <n v="3.2"/>
    <n v="3.7"/>
    <s v="30 Days"/>
    <x v="4"/>
    <d v="2025-07-17T00:00:00"/>
    <x v="0"/>
    <x v="3"/>
    <x v="7"/>
    <s v="Q3"/>
    <n v="2025"/>
  </r>
  <r>
    <s v="CAN0614"/>
    <s v="Michelle"/>
    <s v="Macias"/>
    <s v="Female"/>
    <n v="26"/>
    <s v="michelle.macias23@gmail.com"/>
    <n v="9436999394"/>
    <s v="Chandigarh"/>
    <s v="Chandigarh"/>
    <s v="B.Tech"/>
    <n v="1.9"/>
    <n v="4.3"/>
    <n v="5.0999999999999996"/>
    <s v="Immediate"/>
    <x v="2"/>
    <d v="2025-11-19T00:00:00"/>
    <x v="0"/>
    <x v="1"/>
    <x v="9"/>
    <s v="Q4"/>
    <n v="2025"/>
  </r>
  <r>
    <s v="CAN0615"/>
    <s v="Cynthia"/>
    <s v="Larson"/>
    <s v="Male"/>
    <n v="37"/>
    <s v="cynthia.larson88@gmail.com"/>
    <n v="9846801431"/>
    <s v="Gurugram"/>
    <s v="Haryana"/>
    <s v="BBA"/>
    <n v="0.5"/>
    <n v="7.2"/>
    <n v="10.3"/>
    <s v="15 Days"/>
    <x v="4"/>
    <d v="2025-12-07T00:00:00"/>
    <x v="0"/>
    <x v="2"/>
    <x v="4"/>
    <s v="Q4"/>
    <n v="2025"/>
  </r>
  <r>
    <s v="CAN0616"/>
    <s v="Seth"/>
    <s v="Schmidt"/>
    <s v="Female"/>
    <n v="31"/>
    <s v="seth.schmidt47@gmail.com"/>
    <n v="9302225785"/>
    <s v="Ahmedabad"/>
    <s v="Gujarat"/>
    <s v="B.Tech"/>
    <n v="0.7"/>
    <n v="7.7"/>
    <n v="9.4"/>
    <s v="30 Days"/>
    <x v="5"/>
    <d v="2025-10-28T00:00:00"/>
    <x v="0"/>
    <x v="3"/>
    <x v="8"/>
    <s v="Q4"/>
    <n v="2025"/>
  </r>
  <r>
    <s v="CAN0617"/>
    <s v="Amber"/>
    <s v="Sanchez"/>
    <s v="Male"/>
    <n v="21"/>
    <s v="amber.sanchez2@gmail.com"/>
    <n v="9325094945"/>
    <s v="Kolkata"/>
    <s v="West Bengal"/>
    <s v="B.Tech"/>
    <n v="9.5"/>
    <n v="13.4"/>
    <n v="17.3"/>
    <s v="30 Days"/>
    <x v="3"/>
    <d v="2025-05-02T00:00:00"/>
    <x v="0"/>
    <x v="0"/>
    <x v="10"/>
    <s v="Q2"/>
    <n v="2025"/>
  </r>
  <r>
    <s v="CAN0618"/>
    <s v="Timothy"/>
    <s v="Kirby"/>
    <s v="Female"/>
    <n v="21"/>
    <s v="timothy.kirby88@gmail.com"/>
    <n v="9407838133"/>
    <s v="Indore"/>
    <s v="Madhya Pradesh"/>
    <s v="B.Tech"/>
    <n v="0.7"/>
    <n v="9.5"/>
    <n v="11.2"/>
    <s v="30 Days"/>
    <x v="5"/>
    <d v="2025-05-17T00:00:00"/>
    <x v="0"/>
    <x v="0"/>
    <x v="10"/>
    <s v="Q2"/>
    <n v="2025"/>
  </r>
  <r>
    <s v="CAN0619"/>
    <s v="Rose"/>
    <s v="Jackson"/>
    <s v="Male"/>
    <n v="28"/>
    <s v="rose.jackson55@gmail.com"/>
    <n v="9194007102"/>
    <s v="Chennai"/>
    <s v="Tamil Nadu"/>
    <m/>
    <n v="11.9"/>
    <n v="20.5"/>
    <n v="26.8"/>
    <s v="Immediate"/>
    <x v="2"/>
    <d v="2025-12-30T00:00:00"/>
    <x v="0"/>
    <x v="1"/>
    <x v="4"/>
    <s v="Q4"/>
    <n v="2025"/>
  </r>
  <r>
    <s v="CAN0620"/>
    <s v="Margaret"/>
    <s v="Livingston"/>
    <s v="Female"/>
    <n v="27"/>
    <s v="margaret.livingston24@gmail.com"/>
    <n v="9114032347"/>
    <s v="Ahmedabad"/>
    <s v="Gujarat"/>
    <s v="B.Tech"/>
    <n v="5.6"/>
    <n v="12.2"/>
    <n v="14.4"/>
    <m/>
    <x v="0"/>
    <d v="2025-03-04T00:00:00"/>
    <x v="0"/>
    <x v="1"/>
    <x v="6"/>
    <s v="Q1"/>
    <n v="2025"/>
  </r>
  <r>
    <s v="CAN0621"/>
    <s v="Laura"/>
    <s v="Nguyen"/>
    <s v="Male"/>
    <n v="27"/>
    <s v="laura.nguyen95@gmail.com"/>
    <n v="9653580424"/>
    <s v="Gurugram"/>
    <s v="Haryana"/>
    <s v="MBA"/>
    <n v="1.2"/>
    <n v="6"/>
    <n v="7.5"/>
    <s v="90 Days"/>
    <x v="0"/>
    <d v="2025-11-02T00:00:00"/>
    <x v="0"/>
    <x v="1"/>
    <x v="9"/>
    <s v="Q4"/>
    <n v="2025"/>
  </r>
  <r>
    <s v="CAN0622"/>
    <s v="Andrew"/>
    <s v="Pennington"/>
    <s v="Female"/>
    <n v="32"/>
    <s v="andrew.pennington55@gmail.com"/>
    <n v="9218650855"/>
    <s v="Kochi"/>
    <s v="Kerala"/>
    <s v="MBA"/>
    <n v="2.2000000000000002"/>
    <n v="4.3"/>
    <n v="5.2"/>
    <m/>
    <x v="2"/>
    <d v="2025-12-05T00:00:00"/>
    <x v="0"/>
    <x v="3"/>
    <x v="4"/>
    <s v="Q4"/>
    <n v="2025"/>
  </r>
  <r>
    <s v="CAN0623"/>
    <s v="Veronica"/>
    <s v="Sandoval"/>
    <s v="Male"/>
    <n v="22"/>
    <s v="veronica.sandoval4@gmail.com"/>
    <n v="9158463804"/>
    <s v="Noida"/>
    <s v="Uttar Pradesh"/>
    <s v="M.Tech"/>
    <n v="2.7"/>
    <n v="8.3000000000000007"/>
    <n v="11.1"/>
    <s v="15 Days"/>
    <x v="5"/>
    <d v="2025-10-10T00:00:00"/>
    <x v="0"/>
    <x v="0"/>
    <x v="8"/>
    <s v="Q4"/>
    <n v="2025"/>
  </r>
  <r>
    <s v="CAN0624"/>
    <s v="Benjamin"/>
    <s v="Mays"/>
    <s v="Male"/>
    <n v="21"/>
    <s v="benjamin.mays48@gmail.com"/>
    <n v="9373878547"/>
    <s v="Kolkata"/>
    <s v="West Bengal"/>
    <s v="B.Tech"/>
    <n v="3.8"/>
    <n v="9"/>
    <n v="10.5"/>
    <s v="Immediate"/>
    <x v="1"/>
    <d v="2025-03-05T00:00:00"/>
    <x v="0"/>
    <x v="0"/>
    <x v="6"/>
    <s v="Q1"/>
    <n v="2025"/>
  </r>
  <r>
    <s v="CAN0625"/>
    <s v="William"/>
    <s v="Smith"/>
    <s v="Male"/>
    <n v="26"/>
    <s v="william.smith65@gmail.com"/>
    <n v="9708928421"/>
    <s v="Ahmedabad"/>
    <s v="Gujarat"/>
    <s v="B.Tech"/>
    <n v="1.4"/>
    <n v="7.4"/>
    <n v="9.5"/>
    <s v="30 Days"/>
    <x v="3"/>
    <d v="2025-01-30T00:00:00"/>
    <x v="0"/>
    <x v="1"/>
    <x v="5"/>
    <s v="Q1"/>
    <n v="2025"/>
  </r>
  <r>
    <s v="CAN0626"/>
    <s v="Natalie"/>
    <s v="Malone"/>
    <s v="Male"/>
    <n v="32"/>
    <s v="natalie.malone18@gmail.com"/>
    <n v="9354213950"/>
    <s v="Indore"/>
    <s v="Madhya Pradesh"/>
    <m/>
    <n v="3.5"/>
    <n v="4.0999999999999996"/>
    <n v="4.9000000000000004"/>
    <s v="60 Days"/>
    <x v="0"/>
    <d v="2025-02-17T00:00:00"/>
    <x v="0"/>
    <x v="3"/>
    <x v="1"/>
    <s v="Q1"/>
    <n v="2025"/>
  </r>
  <r>
    <s v="CAN0627"/>
    <s v="Jose"/>
    <s v="Wallace"/>
    <s v="Female"/>
    <n v="22"/>
    <s v="jose.wallace76@gmail.com"/>
    <n v="9516100237"/>
    <s v="Noida"/>
    <s v="Uttar Pradesh"/>
    <s v="B.Com"/>
    <n v="0.6"/>
    <n v="7.8"/>
    <n v="10.7"/>
    <s v="15 Days"/>
    <x v="5"/>
    <d v="2025-01-26T00:00:00"/>
    <x v="0"/>
    <x v="0"/>
    <x v="5"/>
    <s v="Q1"/>
    <n v="2025"/>
  </r>
  <r>
    <s v="CAN0628"/>
    <s v="Kristi"/>
    <s v="White"/>
    <s v="Male"/>
    <n v="30"/>
    <s v="kristi.white65@gmail.com"/>
    <n v="9356451655"/>
    <s v="Indore"/>
    <s v="Madhya Pradesh"/>
    <s v="B.Tech"/>
    <n v="0.3"/>
    <n v="2.5"/>
    <n v="3.6"/>
    <s v="15 Days"/>
    <x v="0"/>
    <d v="2025-06-19T00:00:00"/>
    <x v="0"/>
    <x v="1"/>
    <x v="0"/>
    <s v="Q2"/>
    <n v="2025"/>
  </r>
  <r>
    <s v="CAN0629"/>
    <s v="Jacqueline"/>
    <s v="DDS"/>
    <s v="Female"/>
    <n v="26"/>
    <s v="jacqueline.dds44@gmail.com"/>
    <n v="9796675739"/>
    <s v="Mumbai"/>
    <s v="Maharashtra"/>
    <s v="BBA"/>
    <n v="0.3"/>
    <n v="11.4"/>
    <n v="13.9"/>
    <s v="30 Days"/>
    <x v="6"/>
    <d v="2025-05-06T00:00:00"/>
    <x v="0"/>
    <x v="1"/>
    <x v="10"/>
    <s v="Q2"/>
    <n v="2025"/>
  </r>
  <r>
    <s v="CAN0630"/>
    <s v="Mrs."/>
    <s v="Moon"/>
    <s v="Female"/>
    <n v="39"/>
    <s v="mrs..moon23@gmail.com"/>
    <n v="9427860863"/>
    <s v="Noida"/>
    <s v="Uttar Pradesh"/>
    <s v="B.Com"/>
    <n v="3.1"/>
    <n v="10.5"/>
    <n v="14.9"/>
    <s v="30 Days"/>
    <x v="2"/>
    <d v="2025-03-26T00:00:00"/>
    <x v="0"/>
    <x v="2"/>
    <x v="6"/>
    <s v="Q1"/>
    <n v="2025"/>
  </r>
  <r>
    <s v="CAN0631"/>
    <s v="Theresa"/>
    <s v="Mueller"/>
    <s v="Female"/>
    <n v="28"/>
    <s v="theresa.mueller64@gmail.com"/>
    <n v="9231449952"/>
    <s v="Kochi"/>
    <s v="Kerala"/>
    <s v="MBA"/>
    <n v="1.3"/>
    <n v="5.4"/>
    <n v="7.4"/>
    <s v="60 Days"/>
    <x v="3"/>
    <d v="2025-05-26T00:00:00"/>
    <x v="0"/>
    <x v="1"/>
    <x v="10"/>
    <s v="Q2"/>
    <n v="2025"/>
  </r>
  <r>
    <s v="CAN0632"/>
    <s v="Lindsay"/>
    <s v="Kemp"/>
    <s v="Male"/>
    <n v="30"/>
    <s v="lindsay.kemp43@gmail.com"/>
    <n v="9151294942"/>
    <s v="Mumbai"/>
    <s v="Maharashtra"/>
    <s v="M.Tech"/>
    <n v="0.2"/>
    <n v="4.8"/>
    <n v="6.6"/>
    <s v="15 Days"/>
    <x v="2"/>
    <d v="2025-04-28T00:00:00"/>
    <x v="0"/>
    <x v="1"/>
    <x v="11"/>
    <s v="Q2"/>
    <n v="2025"/>
  </r>
  <r>
    <s v="CAN0633"/>
    <s v="Eric"/>
    <s v="Thomas"/>
    <s v="Female"/>
    <n v="23"/>
    <s v="eric.thomas56@gmail.com"/>
    <n v="9378055552"/>
    <s v="Pune"/>
    <s v="Maharashtra"/>
    <s v="BBA"/>
    <n v="8.9"/>
    <n v="18.7"/>
    <n v="22.4"/>
    <s v="30 Days"/>
    <x v="5"/>
    <d v="2025-12-05T00:00:00"/>
    <x v="0"/>
    <x v="0"/>
    <x v="4"/>
    <s v="Q4"/>
    <n v="2025"/>
  </r>
  <r>
    <s v="CAN0634"/>
    <s v="Jason"/>
    <s v="Fleming"/>
    <s v="Male"/>
    <n v="25"/>
    <s v="jason.fleming26@gmail.com"/>
    <n v="9538035162"/>
    <s v="Mumbai"/>
    <s v="Maharashtra"/>
    <s v="M.Tech"/>
    <n v="3.9"/>
    <n v="10.3"/>
    <n v="12.5"/>
    <s v="30 Days"/>
    <x v="0"/>
    <d v="2025-12-05T00:00:00"/>
    <x v="0"/>
    <x v="0"/>
    <x v="4"/>
    <s v="Q4"/>
    <n v="2025"/>
  </r>
  <r>
    <s v="CAN0635"/>
    <s v="Crystal"/>
    <s v="Middleton"/>
    <s v="Female"/>
    <n v="31"/>
    <s v="crystal.middleton29@gmail.com"/>
    <n v="9140696554"/>
    <s v="Noida"/>
    <s v="Uttar Pradesh"/>
    <s v="B.Com"/>
    <n v="2.8"/>
    <n v="12.7"/>
    <n v="17.8"/>
    <s v="Immediate"/>
    <x v="0"/>
    <d v="2025-01-30T00:00:00"/>
    <x v="0"/>
    <x v="3"/>
    <x v="5"/>
    <s v="Q1"/>
    <n v="2025"/>
  </r>
  <r>
    <s v="CAN0636"/>
    <s v="Samantha"/>
    <s v="Reynolds"/>
    <s v="Female"/>
    <n v="26"/>
    <s v="samantha.reynolds34@gmail.com"/>
    <n v="9774790222"/>
    <s v="Mumbai"/>
    <s v="Maharashtra"/>
    <s v="B.Com"/>
    <n v="6.1"/>
    <n v="13.9"/>
    <n v="18.7"/>
    <s v="15 Days"/>
    <x v="0"/>
    <d v="2025-09-11T00:00:00"/>
    <x v="0"/>
    <x v="1"/>
    <x v="2"/>
    <s v="Q3"/>
    <n v="2025"/>
  </r>
  <r>
    <s v="CAN0637"/>
    <s v="Christopher"/>
    <s v="Robbins"/>
    <s v="Female"/>
    <n v="25"/>
    <s v="christopher.robbins58@gmail.com"/>
    <n v="9413470637"/>
    <s v="Mumbai"/>
    <s v="Maharashtra"/>
    <s v="MCA"/>
    <n v="1.1000000000000001"/>
    <n v="9"/>
    <n v="12.5"/>
    <s v="30 Days"/>
    <x v="0"/>
    <d v="2025-09-05T00:00:00"/>
    <x v="0"/>
    <x v="0"/>
    <x v="2"/>
    <s v="Q3"/>
    <n v="2025"/>
  </r>
  <r>
    <s v="CAN0638"/>
    <s v="Danielle"/>
    <s v="Garcia"/>
    <s v="Male"/>
    <n v="32"/>
    <s v="danielle.garcia85@gmail.com"/>
    <n v="9836278314"/>
    <s v="Bengaluru"/>
    <s v="Karnataka"/>
    <s v="MBA"/>
    <n v="5.8"/>
    <n v="7.2"/>
    <n v="9.4"/>
    <m/>
    <x v="0"/>
    <d v="2025-02-08T00:00:00"/>
    <x v="0"/>
    <x v="3"/>
    <x v="1"/>
    <s v="Q1"/>
    <n v="2025"/>
  </r>
  <r>
    <s v="CAN0639"/>
    <s v="Robert"/>
    <s v="Johnston"/>
    <s v="Male"/>
    <n v="31"/>
    <s v="robert.johnston42@gmail.com"/>
    <n v="9357724330"/>
    <s v="Bengaluru"/>
    <s v="Karnataka"/>
    <s v="B.Sc"/>
    <n v="4.0999999999999996"/>
    <n v="7"/>
    <n v="10"/>
    <s v="15 Days"/>
    <x v="0"/>
    <d v="2025-07-07T00:00:00"/>
    <x v="0"/>
    <x v="3"/>
    <x v="7"/>
    <s v="Q3"/>
    <n v="2025"/>
  </r>
  <r>
    <s v="CAN0640"/>
    <s v="Ashley"/>
    <s v="Kane"/>
    <s v="Male"/>
    <n v="28"/>
    <s v="ashley.kane36@gmail.com"/>
    <n v="9273731830"/>
    <s v="Delhi"/>
    <s v="Delhi"/>
    <s v="BBA"/>
    <n v="0"/>
    <n v="2.7"/>
    <n v="3"/>
    <s v="Immediate"/>
    <x v="5"/>
    <d v="2025-05-01T00:00:00"/>
    <x v="0"/>
    <x v="1"/>
    <x v="10"/>
    <s v="Q2"/>
    <n v="2025"/>
  </r>
  <r>
    <s v="CAN0641"/>
    <s v="Dr."/>
    <s v="Cardenas"/>
    <s v="Female"/>
    <n v="24"/>
    <s v="dr..cardenas20@gmail.com"/>
    <n v="9807627335"/>
    <s v="Kochi"/>
    <s v="Kerala"/>
    <s v="B.Sc"/>
    <n v="0.1"/>
    <n v="5.9"/>
    <n v="6.8"/>
    <s v="60 Days"/>
    <x v="0"/>
    <d v="2025-04-24T00:00:00"/>
    <x v="0"/>
    <x v="0"/>
    <x v="11"/>
    <s v="Q2"/>
    <n v="2025"/>
  </r>
  <r>
    <s v="CAN0642"/>
    <s v="Karen"/>
    <s v="Taylor"/>
    <s v="Male"/>
    <n v="29"/>
    <s v="karen.taylor6@gmail.com"/>
    <n v="9479707868"/>
    <s v="Mumbai"/>
    <s v="Maharashtra"/>
    <s v="M.Sc"/>
    <n v="4.0999999999999996"/>
    <m/>
    <n v="10.1"/>
    <m/>
    <x v="6"/>
    <d v="2025-10-14T00:00:00"/>
    <x v="0"/>
    <x v="1"/>
    <x v="8"/>
    <s v="Q4"/>
    <n v="2025"/>
  </r>
  <r>
    <s v="CAN0643"/>
    <s v="Leah"/>
    <s v="Miller"/>
    <s v="Female"/>
    <n v="29"/>
    <s v="leah.miller76@gmail.com"/>
    <n v="9574584630"/>
    <s v="Pune"/>
    <s v="Maharashtra"/>
    <s v="MBA"/>
    <n v="0.8"/>
    <n v="7.8"/>
    <n v="10.9"/>
    <s v="30 Days"/>
    <x v="2"/>
    <d v="2025-04-15T00:00:00"/>
    <x v="0"/>
    <x v="1"/>
    <x v="11"/>
    <s v="Q2"/>
    <n v="2025"/>
  </r>
  <r>
    <s v="CAN0644"/>
    <s v="Jeffrey"/>
    <s v="Barr"/>
    <s v="Male"/>
    <n v="29"/>
    <s v="jeffrey.barr44@gmail.com"/>
    <n v="9235691012"/>
    <s v="Gurugram"/>
    <s v="Haryana"/>
    <s v="B.Com"/>
    <n v="1.4"/>
    <n v="5.5"/>
    <n v="7.2"/>
    <s v="90 Days"/>
    <x v="1"/>
    <d v="2025-12-04T00:00:00"/>
    <x v="0"/>
    <x v="1"/>
    <x v="4"/>
    <s v="Q4"/>
    <n v="2025"/>
  </r>
  <r>
    <s v="CAN0645"/>
    <s v="Kathleen"/>
    <s v="Hill"/>
    <s v="Male"/>
    <n v="33"/>
    <s v="kathleen.hill65@gmail.com"/>
    <n v="9124031592"/>
    <s v="Noida"/>
    <s v="Uttar Pradesh"/>
    <s v="BBA"/>
    <n v="1.4"/>
    <n v="6.4"/>
    <n v="8.4"/>
    <s v="Immediate"/>
    <x v="2"/>
    <d v="2025-03-02T00:00:00"/>
    <x v="0"/>
    <x v="3"/>
    <x v="6"/>
    <s v="Q1"/>
    <n v="2025"/>
  </r>
  <r>
    <s v="CAN0646"/>
    <s v="Erin"/>
    <s v="Figueroa"/>
    <s v="Female"/>
    <n v="32"/>
    <s v="erin.figueroa91@gmail.com"/>
    <n v="9578751218"/>
    <s v="Chandigarh"/>
    <s v="Chandigarh"/>
    <s v="B.Com"/>
    <n v="14.2"/>
    <n v="25.9"/>
    <n v="33.1"/>
    <s v="30 Days"/>
    <x v="6"/>
    <d v="2025-10-05T00:00:00"/>
    <x v="0"/>
    <x v="3"/>
    <x v="8"/>
    <s v="Q4"/>
    <n v="2025"/>
  </r>
  <r>
    <s v="CAN0647"/>
    <s v="Larry"/>
    <s v="Sullivan"/>
    <s v="Male"/>
    <n v="25"/>
    <s v="larry.sullivan38@gmail.com"/>
    <n v="9414684790"/>
    <s v="Noida"/>
    <s v="Uttar Pradesh"/>
    <s v="M.Sc"/>
    <n v="4.5"/>
    <n v="11.9"/>
    <n v="13.5"/>
    <s v="15 Days"/>
    <x v="2"/>
    <d v="2025-12-16T00:00:00"/>
    <x v="0"/>
    <x v="0"/>
    <x v="4"/>
    <s v="Q4"/>
    <n v="2025"/>
  </r>
  <r>
    <s v="CAN0648"/>
    <s v="William"/>
    <s v="Bolton"/>
    <s v="Male"/>
    <n v="30"/>
    <s v="william.bolton58@gmail.com"/>
    <n v="9484341109"/>
    <s v="Jaipur"/>
    <s v="Rajasthan"/>
    <s v="B.Sc"/>
    <n v="1.1000000000000001"/>
    <n v="12.3"/>
    <n v="15.2"/>
    <s v="60 Days"/>
    <x v="3"/>
    <d v="2025-04-17T00:00:00"/>
    <x v="0"/>
    <x v="1"/>
    <x v="11"/>
    <s v="Q2"/>
    <n v="2025"/>
  </r>
  <r>
    <s v="CAN0649"/>
    <s v="Heather"/>
    <s v="Fowler"/>
    <s v="Female"/>
    <n v="27"/>
    <s v="heather.fowler56@gmail.com"/>
    <n v="9802861829"/>
    <s v="Jaipur"/>
    <s v="Rajasthan"/>
    <s v="MBA"/>
    <n v="0.7"/>
    <n v="8.6"/>
    <n v="11.4"/>
    <s v="30 Days"/>
    <x v="0"/>
    <d v="2025-02-01T00:00:00"/>
    <x v="0"/>
    <x v="1"/>
    <x v="1"/>
    <s v="Q1"/>
    <n v="2025"/>
  </r>
  <r>
    <s v="CAN0650"/>
    <s v="Angela"/>
    <s v="Walsh"/>
    <s v="Male"/>
    <n v="36"/>
    <s v="angela.walsh53@gmail.com"/>
    <n v="9134749203"/>
    <s v="Noida"/>
    <s v="Uttar Pradesh"/>
    <s v="CA"/>
    <n v="1.6"/>
    <m/>
    <n v="12"/>
    <s v="30 Days"/>
    <x v="4"/>
    <d v="2025-04-28T00:00:00"/>
    <x v="0"/>
    <x v="2"/>
    <x v="11"/>
    <s v="Q2"/>
    <n v="2025"/>
  </r>
  <r>
    <s v="CAN0651"/>
    <s v="Eric"/>
    <s v="Malone"/>
    <s v="Male"/>
    <n v="28"/>
    <s v="eric.malone61@gmail.com"/>
    <n v="9216572289"/>
    <s v="Jaipur"/>
    <s v="Rajasthan"/>
    <s v="MBA"/>
    <n v="1.5"/>
    <n v="9.5"/>
    <n v="13"/>
    <s v="30 Days"/>
    <x v="2"/>
    <d v="2025-05-19T00:00:00"/>
    <x v="0"/>
    <x v="1"/>
    <x v="10"/>
    <s v="Q2"/>
    <n v="2025"/>
  </r>
  <r>
    <s v="CAN0652"/>
    <s v="Charles"/>
    <s v="Lee"/>
    <s v="Female"/>
    <n v="32"/>
    <s v="charles.lee6@gmail.com"/>
    <n v="9864568063"/>
    <s v="Pune"/>
    <s v="Maharashtra"/>
    <s v="MCA"/>
    <n v="3.4"/>
    <n v="12.2"/>
    <n v="17.100000000000001"/>
    <s v="60 Days"/>
    <x v="2"/>
    <d v="2025-08-04T00:00:00"/>
    <x v="0"/>
    <x v="3"/>
    <x v="3"/>
    <s v="Q3"/>
    <n v="2025"/>
  </r>
  <r>
    <s v="CAN0653"/>
    <s v="Erin"/>
    <s v="Flores"/>
    <s v="Male"/>
    <n v="34"/>
    <s v="erin.flores20@gmail.com"/>
    <n v="9788683393"/>
    <s v="Pune"/>
    <s v="Maharashtra"/>
    <s v="MBA"/>
    <n v="0.7"/>
    <m/>
    <n v="6.2"/>
    <s v="Immediate"/>
    <x v="5"/>
    <d v="2025-05-06T00:00:00"/>
    <x v="0"/>
    <x v="3"/>
    <x v="10"/>
    <s v="Q2"/>
    <n v="2025"/>
  </r>
  <r>
    <s v="CAN0654"/>
    <s v="David"/>
    <s v="Fields"/>
    <s v="Male"/>
    <n v="27"/>
    <s v="david.fields23@gmail.com"/>
    <n v="9157873114"/>
    <s v="Noida"/>
    <s v="Uttar Pradesh"/>
    <s v="BBA"/>
    <n v="5.8"/>
    <m/>
    <n v="14.2"/>
    <s v="60 Days"/>
    <x v="1"/>
    <d v="2025-02-27T00:00:00"/>
    <x v="0"/>
    <x v="1"/>
    <x v="1"/>
    <s v="Q1"/>
    <n v="2025"/>
  </r>
  <r>
    <s v="CAN0655"/>
    <s v="Linda"/>
    <s v="Becker"/>
    <s v="Female"/>
    <n v="30"/>
    <s v="linda.becker57@gmail.com"/>
    <n v="9648157247"/>
    <s v="Noida"/>
    <s v="Uttar Pradesh"/>
    <s v="PhD"/>
    <n v="3.1"/>
    <n v="7.8"/>
    <n v="11.3"/>
    <s v="90 Days"/>
    <x v="2"/>
    <d v="2025-04-06T00:00:00"/>
    <x v="0"/>
    <x v="1"/>
    <x v="11"/>
    <s v="Q2"/>
    <n v="2025"/>
  </r>
  <r>
    <s v="CAN0656"/>
    <s v="Ms."/>
    <s v="Burns"/>
    <s v="Male"/>
    <n v="31"/>
    <s v="ms..burns2@gmail.com"/>
    <n v="9890004549"/>
    <s v="Gurugram"/>
    <s v="Haryana"/>
    <s v="B.Tech"/>
    <n v="0.6"/>
    <n v="7.7"/>
    <n v="9.4"/>
    <s v="Immediate"/>
    <x v="0"/>
    <d v="2025-04-07T00:00:00"/>
    <x v="0"/>
    <x v="3"/>
    <x v="11"/>
    <s v="Q2"/>
    <n v="2025"/>
  </r>
  <r>
    <s v="CAN0657"/>
    <s v="Amy"/>
    <s v="George"/>
    <s v="Male"/>
    <n v="35"/>
    <s v="amy.george75@gmail.com"/>
    <n v="9824068563"/>
    <s v="Ahmedabad"/>
    <s v="Gujarat"/>
    <s v="M.Tech"/>
    <n v="3.7"/>
    <n v="16.399999999999999"/>
    <n v="20"/>
    <m/>
    <x v="6"/>
    <d v="2025-05-04T00:00:00"/>
    <x v="0"/>
    <x v="3"/>
    <x v="10"/>
    <s v="Q2"/>
    <n v="2025"/>
  </r>
  <r>
    <s v="CAN0658"/>
    <s v="Chad"/>
    <s v="Smith"/>
    <s v="Male"/>
    <n v="26"/>
    <s v="chad.smith76@gmail.com"/>
    <n v="9929209250"/>
    <s v="Ahmedabad"/>
    <s v="Gujarat"/>
    <s v="MCA"/>
    <n v="4.5999999999999996"/>
    <n v="7.7"/>
    <n v="8.9"/>
    <s v="30 Days"/>
    <x v="1"/>
    <d v="2025-11-05T00:00:00"/>
    <x v="0"/>
    <x v="1"/>
    <x v="9"/>
    <s v="Q4"/>
    <n v="2025"/>
  </r>
  <r>
    <s v="CAN0659"/>
    <s v="Claire"/>
    <s v="MD"/>
    <s v="Male"/>
    <n v="33"/>
    <s v="claire.md59@gmail.com"/>
    <n v="9231363363"/>
    <s v="Hyderabad"/>
    <s v="Telangana"/>
    <s v="B.Tech"/>
    <n v="5"/>
    <n v="14"/>
    <n v="17.100000000000001"/>
    <s v="30 Days"/>
    <x v="2"/>
    <d v="2025-04-27T00:00:00"/>
    <x v="0"/>
    <x v="3"/>
    <x v="11"/>
    <s v="Q2"/>
    <n v="2025"/>
  </r>
  <r>
    <s v="CAN0660"/>
    <s v="Lauren"/>
    <s v="Hughes"/>
    <s v="Male"/>
    <n v="21"/>
    <s v="lauren.hughes52@gmail.com"/>
    <n v="9358104726"/>
    <s v="Pune"/>
    <s v="Maharashtra"/>
    <s v="M.Sc"/>
    <n v="3.7"/>
    <n v="12.9"/>
    <n v="15.5"/>
    <s v="30 Days"/>
    <x v="2"/>
    <d v="2025-01-20T00:00:00"/>
    <x v="0"/>
    <x v="0"/>
    <x v="5"/>
    <s v="Q1"/>
    <n v="2025"/>
  </r>
  <r>
    <s v="CAN0661"/>
    <s v="Andrew"/>
    <s v="Abbott"/>
    <s v="Male"/>
    <n v="26"/>
    <s v="andrew.abbott71@gmail.com"/>
    <n v="9970224136"/>
    <s v="Chennai"/>
    <s v="Tamil Nadu"/>
    <s v="B.Sc"/>
    <n v="5.5"/>
    <n v="10.4"/>
    <n v="14.3"/>
    <s v="30 Days"/>
    <x v="4"/>
    <d v="2025-01-28T00:00:00"/>
    <x v="0"/>
    <x v="1"/>
    <x v="5"/>
    <s v="Q1"/>
    <n v="2025"/>
  </r>
  <r>
    <s v="CAN0662"/>
    <s v="Cameron"/>
    <s v="Hernandez"/>
    <s v="Female"/>
    <n v="28"/>
    <s v="cameron.hernandez60@gmail.com"/>
    <n v="9344631035"/>
    <s v="Ahmedabad"/>
    <s v="Gujarat"/>
    <s v="M.Tech"/>
    <n v="2.6"/>
    <m/>
    <n v="16"/>
    <s v="60 Days"/>
    <x v="1"/>
    <d v="2025-07-18T00:00:00"/>
    <x v="0"/>
    <x v="1"/>
    <x v="7"/>
    <s v="Q3"/>
    <n v="2025"/>
  </r>
  <r>
    <s v="CAN0663"/>
    <s v="Jody"/>
    <s v="Griffin"/>
    <s v="Male"/>
    <n v="27"/>
    <s v="jody.griffin14@gmail.com"/>
    <n v="9379159503"/>
    <s v="Chandigarh"/>
    <s v="Chandigarh"/>
    <m/>
    <n v="10.6"/>
    <n v="19"/>
    <n v="24"/>
    <s v="90 Days"/>
    <x v="0"/>
    <d v="2025-08-25T00:00:00"/>
    <x v="0"/>
    <x v="1"/>
    <x v="3"/>
    <s v="Q3"/>
    <n v="2025"/>
  </r>
  <r>
    <s v="CAN0664"/>
    <s v="John"/>
    <s v="Shaw"/>
    <s v="Female"/>
    <n v="30"/>
    <s v="john.shaw89@gmail.com"/>
    <n v="9102299670"/>
    <s v="Mumbai"/>
    <s v="Maharashtra"/>
    <s v="B.Tech"/>
    <n v="3.4"/>
    <n v="7.2"/>
    <n v="8.3000000000000007"/>
    <s v="30 Days"/>
    <x v="2"/>
    <d v="2025-09-17T00:00:00"/>
    <x v="0"/>
    <x v="1"/>
    <x v="2"/>
    <s v="Q3"/>
    <n v="2025"/>
  </r>
  <r>
    <s v="CAN0665"/>
    <s v="Walter"/>
    <s v="Hayden"/>
    <s v="Male"/>
    <n v="33"/>
    <s v="walter.hayden90@gmail.com"/>
    <n v="9473497520"/>
    <s v="Kolkata"/>
    <s v="West Bengal"/>
    <s v="B.Com"/>
    <n v="5"/>
    <n v="9.1"/>
    <n v="12.3"/>
    <s v="Immediate"/>
    <x v="1"/>
    <d v="2025-02-28T00:00:00"/>
    <x v="0"/>
    <x v="3"/>
    <x v="1"/>
    <s v="Q1"/>
    <n v="2025"/>
  </r>
  <r>
    <s v="CAN0666"/>
    <s v="Carolyn"/>
    <s v="Gonzales"/>
    <s v="Male"/>
    <n v="29"/>
    <s v="carolyn.gonzales70@gmail.com"/>
    <n v="9324967128"/>
    <s v="Hyderabad"/>
    <s v="Telangana"/>
    <s v="M.Sc"/>
    <n v="6.1"/>
    <n v="15.6"/>
    <n v="19.3"/>
    <s v="15 Days"/>
    <x v="1"/>
    <d v="2025-10-16T00:00:00"/>
    <x v="0"/>
    <x v="1"/>
    <x v="8"/>
    <s v="Q4"/>
    <n v="2025"/>
  </r>
  <r>
    <s v="CAN0667"/>
    <s v="Mrs."/>
    <s v="Ramsey"/>
    <s v="Male"/>
    <n v="36"/>
    <s v="mrs..ramsey98@gmail.com"/>
    <n v="9190682393"/>
    <s v="Ahmedabad"/>
    <s v="Gujarat"/>
    <s v="CA"/>
    <n v="4.3"/>
    <n v="9"/>
    <n v="11.2"/>
    <s v="Immediate"/>
    <x v="5"/>
    <d v="2025-09-30T00:00:00"/>
    <x v="0"/>
    <x v="2"/>
    <x v="2"/>
    <s v="Q3"/>
    <n v="2025"/>
  </r>
  <r>
    <s v="CAN0668"/>
    <s v="Rachel"/>
    <s v="Browning"/>
    <s v="Female"/>
    <n v="31"/>
    <s v="rachel.browning18@gmail.com"/>
    <n v="9452656667"/>
    <s v="Pune"/>
    <s v="Maharashtra"/>
    <s v="M.Sc"/>
    <n v="4.7"/>
    <n v="13"/>
    <n v="16"/>
    <s v="30 Days"/>
    <x v="4"/>
    <d v="2025-07-04T00:00:00"/>
    <x v="0"/>
    <x v="3"/>
    <x v="7"/>
    <s v="Q3"/>
    <n v="2025"/>
  </r>
  <r>
    <s v="CAN0669"/>
    <s v="Brianna"/>
    <s v="Cook"/>
    <s v="Male"/>
    <n v="30"/>
    <s v="brianna.cook1@gmail.com"/>
    <n v="9273927726"/>
    <s v="Pune"/>
    <s v="Maharashtra"/>
    <s v="B.Tech"/>
    <n v="1.3"/>
    <n v="3.3"/>
    <n v="4.3"/>
    <s v="30 Days"/>
    <x v="0"/>
    <d v="2025-03-30T00:00:00"/>
    <x v="0"/>
    <x v="1"/>
    <x v="6"/>
    <s v="Q1"/>
    <n v="2025"/>
  </r>
  <r>
    <s v="CAN0670"/>
    <s v="Tiffany"/>
    <s v="Simpson"/>
    <s v="Female"/>
    <n v="30"/>
    <s v="tiffany.simpson59@gmail.com"/>
    <n v="9276734200"/>
    <s v="Kochi"/>
    <s v="Kerala"/>
    <s v="MCA"/>
    <n v="1"/>
    <n v="5.0999999999999996"/>
    <n v="7.1"/>
    <s v="Immediate"/>
    <x v="2"/>
    <d v="2025-06-14T00:00:00"/>
    <x v="0"/>
    <x v="1"/>
    <x v="0"/>
    <s v="Q2"/>
    <n v="2025"/>
  </r>
  <r>
    <s v="CAN0671"/>
    <s v="Morgan"/>
    <s v="Burnett"/>
    <s v="Female"/>
    <n v="21"/>
    <s v="morgan.burnett87@gmail.com"/>
    <n v="9145287227"/>
    <s v="Delhi"/>
    <s v="Delhi"/>
    <s v="M.Tech"/>
    <n v="0.1"/>
    <n v="2.5"/>
    <n v="3.5"/>
    <s v="30 Days"/>
    <x v="0"/>
    <d v="2025-03-31T00:00:00"/>
    <x v="0"/>
    <x v="0"/>
    <x v="6"/>
    <s v="Q1"/>
    <n v="2025"/>
  </r>
  <r>
    <s v="CAN0672"/>
    <s v="Gary"/>
    <s v="Cole"/>
    <s v="Female"/>
    <n v="32"/>
    <s v="gary.cole34@gmail.com"/>
    <n v="9971084232"/>
    <s v="Pune"/>
    <s v="Maharashtra"/>
    <s v="BBA"/>
    <n v="0.4"/>
    <n v="2.5"/>
    <n v="3.4"/>
    <s v="60 Days"/>
    <x v="5"/>
    <d v="2025-06-10T00:00:00"/>
    <x v="0"/>
    <x v="3"/>
    <x v="0"/>
    <s v="Q2"/>
    <n v="2025"/>
  </r>
  <r>
    <s v="CAN0673"/>
    <s v="Diane"/>
    <s v="Lewis"/>
    <s v="Male"/>
    <n v="31"/>
    <s v="diane.lewis69@gmail.com"/>
    <n v="9243894095"/>
    <s v="Jaipur"/>
    <s v="Rajasthan"/>
    <s v="BBA"/>
    <n v="3"/>
    <n v="5.3"/>
    <n v="7"/>
    <m/>
    <x v="2"/>
    <d v="2025-12-14T00:00:00"/>
    <x v="0"/>
    <x v="3"/>
    <x v="4"/>
    <s v="Q4"/>
    <n v="2025"/>
  </r>
  <r>
    <s v="CAN0674"/>
    <s v="Bryan"/>
    <s v="Lopez"/>
    <s v="Male"/>
    <n v="32"/>
    <s v="bryan.lopez79@gmail.com"/>
    <n v="9945572943"/>
    <s v="Chandigarh"/>
    <s v="Chandigarh"/>
    <s v="MCA"/>
    <n v="0.1"/>
    <n v="8.9"/>
    <n v="12.4"/>
    <s v="30 Days"/>
    <x v="3"/>
    <d v="2025-06-13T00:00:00"/>
    <x v="0"/>
    <x v="3"/>
    <x v="0"/>
    <s v="Q2"/>
    <n v="2025"/>
  </r>
  <r>
    <s v="CAN0675"/>
    <s v="Alyssa"/>
    <s v="Lynch"/>
    <s v="Female"/>
    <n v="22"/>
    <s v="alyssa.lynch97@gmail.com"/>
    <n v="9490858564"/>
    <s v="Delhi"/>
    <s v="Delhi"/>
    <s v="BBA"/>
    <n v="7.3"/>
    <n v="12.6"/>
    <n v="18.100000000000001"/>
    <s v="60 Days"/>
    <x v="5"/>
    <d v="2025-02-24T00:00:00"/>
    <x v="0"/>
    <x v="0"/>
    <x v="1"/>
    <s v="Q1"/>
    <n v="2025"/>
  </r>
  <r>
    <s v="CAN0676"/>
    <s v="Marcus"/>
    <s v="Wallace"/>
    <s v="Male"/>
    <n v="28"/>
    <s v="marcus.wallace80@gmail.com"/>
    <n v="9135641484"/>
    <s v="Ahmedabad"/>
    <s v="Gujarat"/>
    <s v="MCA"/>
    <n v="4.5999999999999996"/>
    <n v="7.9"/>
    <n v="11.4"/>
    <s v="30 Days"/>
    <x v="0"/>
    <d v="2025-02-05T00:00:00"/>
    <x v="0"/>
    <x v="1"/>
    <x v="1"/>
    <s v="Q1"/>
    <n v="2025"/>
  </r>
  <r>
    <s v="CAN0677"/>
    <s v="Megan"/>
    <s v="James"/>
    <s v="Male"/>
    <n v="30"/>
    <s v="megan.james67@gmail.com"/>
    <n v="9125089547"/>
    <s v="Bengaluru"/>
    <s v="Karnataka"/>
    <s v="M.Tech"/>
    <n v="5"/>
    <n v="14.4"/>
    <n v="17.2"/>
    <s v="Immediate"/>
    <x v="3"/>
    <d v="2025-08-21T00:00:00"/>
    <x v="0"/>
    <x v="1"/>
    <x v="3"/>
    <s v="Q3"/>
    <n v="2025"/>
  </r>
  <r>
    <s v="CAN0678"/>
    <s v="Christopher"/>
    <s v="Mayer"/>
    <s v="Male"/>
    <n v="25"/>
    <s v="christopher.mayer24@gmail.com"/>
    <n v="9318009325"/>
    <s v="Gurugram"/>
    <s v="Haryana"/>
    <s v="MCA"/>
    <n v="1"/>
    <m/>
    <n v="4.7"/>
    <s v="Immediate"/>
    <x v="2"/>
    <d v="2025-02-03T00:00:00"/>
    <x v="0"/>
    <x v="0"/>
    <x v="1"/>
    <s v="Q1"/>
    <n v="2025"/>
  </r>
  <r>
    <s v="CAN0679"/>
    <s v="Alexander"/>
    <s v="Rodriguez"/>
    <s v="Female"/>
    <n v="26"/>
    <s v="alexander.rodriguez3@gmail.com"/>
    <n v="9770176299"/>
    <s v="Jaipur"/>
    <s v="Rajasthan"/>
    <s v="B.Tech"/>
    <n v="1.6"/>
    <n v="3.1"/>
    <n v="3.6"/>
    <s v="15 Days"/>
    <x v="0"/>
    <d v="2025-02-14T00:00:00"/>
    <x v="0"/>
    <x v="1"/>
    <x v="1"/>
    <s v="Q1"/>
    <n v="2025"/>
  </r>
  <r>
    <s v="CAN0680"/>
    <s v="Jeremy"/>
    <s v="Dixon"/>
    <s v="Female"/>
    <n v="26"/>
    <s v="jeremy.dixon57@gmail.com"/>
    <n v="9747373623"/>
    <s v="Chandigarh"/>
    <s v="Chandigarh"/>
    <s v="CA"/>
    <n v="6.9"/>
    <n v="16.8"/>
    <n v="21.9"/>
    <s v="Immediate"/>
    <x v="0"/>
    <d v="2025-05-27T00:00:00"/>
    <x v="0"/>
    <x v="1"/>
    <x v="10"/>
    <s v="Q2"/>
    <n v="2025"/>
  </r>
  <r>
    <s v="CAN0681"/>
    <s v="Isabel"/>
    <s v="Sanchez"/>
    <s v="Male"/>
    <n v="32"/>
    <s v="isabel.sanchez12@gmail.com"/>
    <n v="9810013440"/>
    <s v="Kolkata"/>
    <s v="West Bengal"/>
    <s v="BBA"/>
    <n v="2.8"/>
    <n v="10.6"/>
    <n v="14"/>
    <s v="60 Days"/>
    <x v="2"/>
    <d v="2025-10-05T00:00:00"/>
    <x v="0"/>
    <x v="3"/>
    <x v="8"/>
    <s v="Q4"/>
    <n v="2025"/>
  </r>
  <r>
    <s v="CAN0682"/>
    <s v="Colleen"/>
    <s v="Cisneros"/>
    <s v="Male"/>
    <n v="24"/>
    <s v="colleen.cisneros59@gmail.com"/>
    <n v="9990691819"/>
    <s v="Hyderabad"/>
    <s v="Telangana"/>
    <s v="MCA"/>
    <n v="4.7"/>
    <n v="15.7"/>
    <n v="18.7"/>
    <s v="15 Days"/>
    <x v="4"/>
    <d v="2025-09-19T00:00:00"/>
    <x v="0"/>
    <x v="0"/>
    <x v="2"/>
    <s v="Q3"/>
    <n v="2025"/>
  </r>
  <r>
    <s v="CAN0683"/>
    <s v="Jodi"/>
    <s v="Perez"/>
    <s v="Male"/>
    <n v="33"/>
    <s v="jodi.perez89@gmail.com"/>
    <n v="9428152006"/>
    <s v="Noida"/>
    <s v="Uttar Pradesh"/>
    <s v="B.Tech"/>
    <n v="8.1"/>
    <n v="14.3"/>
    <n v="16.5"/>
    <m/>
    <x v="3"/>
    <d v="2025-08-25T00:00:00"/>
    <x v="0"/>
    <x v="3"/>
    <x v="3"/>
    <s v="Q3"/>
    <n v="2025"/>
  </r>
  <r>
    <s v="CAN0684"/>
    <s v="Daniel"/>
    <s v="Anderson"/>
    <s v="Male"/>
    <n v="25"/>
    <s v="daniel.anderson65@gmail.com"/>
    <n v="9620461650"/>
    <s v="Bengaluru"/>
    <s v="Karnataka"/>
    <s v="M.Tech"/>
    <n v="0.8"/>
    <n v="14.7"/>
    <n v="20.2"/>
    <s v="60 Days"/>
    <x v="5"/>
    <d v="2025-07-25T00:00:00"/>
    <x v="0"/>
    <x v="0"/>
    <x v="7"/>
    <s v="Q3"/>
    <n v="2025"/>
  </r>
  <r>
    <s v="CAN0685"/>
    <s v="Edwin"/>
    <s v="Willis"/>
    <s v="Male"/>
    <n v="38"/>
    <s v="edwin.willis45@gmail.com"/>
    <n v="9632834239"/>
    <s v="Jaipur"/>
    <s v="Rajasthan"/>
    <s v="MCA"/>
    <n v="5.7"/>
    <n v="11"/>
    <n v="15.7"/>
    <s v="15 Days"/>
    <x v="3"/>
    <d v="2025-08-06T00:00:00"/>
    <x v="0"/>
    <x v="2"/>
    <x v="3"/>
    <s v="Q3"/>
    <n v="2025"/>
  </r>
  <r>
    <s v="CAN0686"/>
    <s v="Ashley"/>
    <s v="Kline"/>
    <s v="Female"/>
    <n v="32"/>
    <s v="ashley.kline61@gmail.com"/>
    <n v="9644181702"/>
    <s v="Hyderabad"/>
    <s v="Telangana"/>
    <s v="MBA"/>
    <n v="11.5"/>
    <n v="16.5"/>
    <n v="19.600000000000001"/>
    <s v="30 Days"/>
    <x v="2"/>
    <d v="2025-02-18T00:00:00"/>
    <x v="0"/>
    <x v="3"/>
    <x v="1"/>
    <s v="Q1"/>
    <n v="2025"/>
  </r>
  <r>
    <s v="CAN0687"/>
    <s v="Elizabeth"/>
    <s v="Jones"/>
    <s v="Male"/>
    <n v="35"/>
    <s v="elizabeth.jones45@gmail.com"/>
    <n v="9782481197"/>
    <s v="Mumbai"/>
    <s v="Maharashtra"/>
    <s v="BBA"/>
    <n v="1"/>
    <n v="8.1"/>
    <n v="10.1"/>
    <s v="30 Days"/>
    <x v="0"/>
    <d v="2025-08-12T00:00:00"/>
    <x v="0"/>
    <x v="3"/>
    <x v="3"/>
    <s v="Q3"/>
    <n v="2025"/>
  </r>
  <r>
    <s v="CAN0688"/>
    <s v="Anne"/>
    <s v="Jackson"/>
    <s v="Female"/>
    <n v="27"/>
    <s v="anne.jackson39@gmail.com"/>
    <n v="9372649044"/>
    <s v="Chandigarh"/>
    <s v="Chandigarh"/>
    <s v="M.Sc"/>
    <n v="5.9"/>
    <n v="11"/>
    <n v="14.3"/>
    <s v="30 Days"/>
    <x v="1"/>
    <d v="2025-03-06T00:00:00"/>
    <x v="0"/>
    <x v="1"/>
    <x v="6"/>
    <s v="Q1"/>
    <n v="2025"/>
  </r>
  <r>
    <s v="CAN0689"/>
    <s v="Cheryl"/>
    <s v="Diaz"/>
    <s v="Female"/>
    <n v="35"/>
    <s v="cheryl.diaz22@gmail.com"/>
    <n v="9413595724"/>
    <s v="Pune"/>
    <s v="Maharashtra"/>
    <s v="M.Sc"/>
    <n v="3.5"/>
    <m/>
    <n v="12"/>
    <m/>
    <x v="3"/>
    <d v="2025-08-12T00:00:00"/>
    <x v="0"/>
    <x v="3"/>
    <x v="3"/>
    <s v="Q3"/>
    <n v="2025"/>
  </r>
  <r>
    <s v="CAN0690"/>
    <s v="Kristi"/>
    <s v="Williams"/>
    <s v="Female"/>
    <n v="34"/>
    <s v="kristi.williams92@gmail.com"/>
    <n v="9569000304"/>
    <s v="Hyderabad"/>
    <s v="Telangana"/>
    <s v="M.Sc"/>
    <n v="0.1"/>
    <n v="10.7"/>
    <n v="12.5"/>
    <s v="15 Days"/>
    <x v="6"/>
    <d v="2025-06-12T00:00:00"/>
    <x v="0"/>
    <x v="3"/>
    <x v="0"/>
    <s v="Q2"/>
    <n v="2025"/>
  </r>
  <r>
    <s v="CAN0691"/>
    <s v="Matthew"/>
    <s v="Roman"/>
    <s v="Male"/>
    <n v="24"/>
    <s v="matthew.roman56@gmail.com"/>
    <n v="9516602593"/>
    <s v="Chennai"/>
    <s v="Tamil Nadu"/>
    <s v="B.Tech"/>
    <n v="2"/>
    <n v="8.8000000000000007"/>
    <n v="10.4"/>
    <s v="30 Days"/>
    <x v="0"/>
    <d v="2025-09-01T00:00:00"/>
    <x v="0"/>
    <x v="0"/>
    <x v="2"/>
    <s v="Q3"/>
    <n v="2025"/>
  </r>
  <r>
    <s v="CAN0692"/>
    <s v="Rick"/>
    <s v="Clark"/>
    <s v="Female"/>
    <n v="25"/>
    <s v="rick.clark25@gmail.com"/>
    <n v="9572093283"/>
    <s v="Pune"/>
    <s v="Maharashtra"/>
    <s v="BBA"/>
    <n v="7.5"/>
    <n v="10.9"/>
    <n v="15.2"/>
    <s v="Immediate"/>
    <x v="6"/>
    <d v="2025-04-13T00:00:00"/>
    <x v="0"/>
    <x v="0"/>
    <x v="11"/>
    <s v="Q2"/>
    <n v="2025"/>
  </r>
  <r>
    <s v="CAN0693"/>
    <s v="Zachary"/>
    <s v="Smith"/>
    <s v="Male"/>
    <n v="32"/>
    <s v="zachary.smith99@gmail.com"/>
    <n v="9793674796"/>
    <s v="Ahmedabad"/>
    <s v="Gujarat"/>
    <s v="B.Tech"/>
    <n v="6.5"/>
    <n v="11.8"/>
    <n v="14.9"/>
    <s v="60 Days"/>
    <x v="4"/>
    <d v="2025-11-19T00:00:00"/>
    <x v="0"/>
    <x v="3"/>
    <x v="9"/>
    <s v="Q4"/>
    <n v="2025"/>
  </r>
  <r>
    <s v="CAN0694"/>
    <s v="Kimberly"/>
    <s v="Jones"/>
    <s v="Female"/>
    <n v="27"/>
    <s v="kimberly.jones30@gmail.com"/>
    <n v="9715078127"/>
    <s v="Pune"/>
    <s v="Maharashtra"/>
    <s v="M.Tech"/>
    <n v="1.1000000000000001"/>
    <n v="9.1"/>
    <n v="11.3"/>
    <s v="30 Days"/>
    <x v="0"/>
    <d v="2025-11-26T00:00:00"/>
    <x v="0"/>
    <x v="1"/>
    <x v="9"/>
    <s v="Q4"/>
    <n v="2025"/>
  </r>
  <r>
    <s v="CAN0695"/>
    <s v="Leah"/>
    <s v="Harris"/>
    <s v="Male"/>
    <n v="30"/>
    <s v="leah.harris40@gmail.com"/>
    <n v="9264697678"/>
    <s v="Chennai"/>
    <s v="Tamil Nadu"/>
    <m/>
    <n v="12.1"/>
    <n v="18.600000000000001"/>
    <n v="25.3"/>
    <s v="Immediate"/>
    <x v="3"/>
    <d v="2025-01-26T00:00:00"/>
    <x v="0"/>
    <x v="1"/>
    <x v="5"/>
    <s v="Q1"/>
    <n v="2025"/>
  </r>
  <r>
    <s v="CAN0696"/>
    <s v="Elizabeth"/>
    <s v="Bradley"/>
    <s v="Male"/>
    <n v="26"/>
    <s v="elizabeth.bradley27@gmail.com"/>
    <n v="9190263417"/>
    <s v="Chennai"/>
    <s v="Tamil Nadu"/>
    <s v="B.Sc"/>
    <n v="1.9"/>
    <n v="4.8"/>
    <n v="5.5"/>
    <m/>
    <x v="0"/>
    <d v="2025-06-03T00:00:00"/>
    <x v="0"/>
    <x v="1"/>
    <x v="0"/>
    <s v="Q2"/>
    <n v="2025"/>
  </r>
  <r>
    <s v="CAN0697"/>
    <s v="Donna"/>
    <s v="Watson"/>
    <s v="Female"/>
    <n v="28"/>
    <s v="donna.watson29@gmail.com"/>
    <n v="9498944657"/>
    <s v="Hyderabad"/>
    <s v="Telangana"/>
    <s v="MBA"/>
    <n v="0.7"/>
    <n v="4.5"/>
    <n v="6.1"/>
    <s v="Immediate"/>
    <x v="0"/>
    <d v="2025-01-05T00:00:00"/>
    <x v="0"/>
    <x v="1"/>
    <x v="5"/>
    <s v="Q1"/>
    <n v="2025"/>
  </r>
  <r>
    <s v="CAN0698"/>
    <s v="Kathleen"/>
    <s v="Rodriguez"/>
    <s v="Male"/>
    <n v="24"/>
    <s v="kathleen.rodriguez96@gmail.com"/>
    <n v="9216114416"/>
    <s v="Delhi"/>
    <s v="Delhi"/>
    <s v="MBA"/>
    <n v="5.8"/>
    <n v="12.4"/>
    <n v="17.100000000000001"/>
    <s v="90 Days"/>
    <x v="0"/>
    <d v="2025-01-19T00:00:00"/>
    <x v="0"/>
    <x v="0"/>
    <x v="5"/>
    <s v="Q1"/>
    <n v="2025"/>
  </r>
  <r>
    <s v="CAN0699"/>
    <s v="Brandi"/>
    <s v="Wilkins"/>
    <s v="Male"/>
    <n v="32"/>
    <s v="brandi.wilkins50@gmail.com"/>
    <n v="9542113410"/>
    <s v="Pune"/>
    <s v="Maharashtra"/>
    <s v="MCA"/>
    <n v="2.2999999999999998"/>
    <n v="14.1"/>
    <n v="17.600000000000001"/>
    <s v="15 Days"/>
    <x v="0"/>
    <d v="2025-09-20T00:00:00"/>
    <x v="0"/>
    <x v="3"/>
    <x v="2"/>
    <s v="Q3"/>
    <n v="2025"/>
  </r>
  <r>
    <s v="CAN0700"/>
    <s v="Johnny"/>
    <s v="Brown"/>
    <s v="Female"/>
    <n v="33"/>
    <s v="johnny.brown87@gmail.com"/>
    <n v="9569318168"/>
    <s v="Ahmedabad"/>
    <s v="Gujarat"/>
    <s v="MBA"/>
    <n v="2"/>
    <n v="7.2"/>
    <n v="10"/>
    <s v="30 Days"/>
    <x v="0"/>
    <d v="2025-07-28T00:00:00"/>
    <x v="0"/>
    <x v="3"/>
    <x v="7"/>
    <s v="Q3"/>
    <n v="2025"/>
  </r>
  <r>
    <s v="CAN0701"/>
    <s v="Madison"/>
    <s v="Bell"/>
    <s v="Female"/>
    <n v="28"/>
    <s v="madison.bell53@gmail.com"/>
    <n v="9326663249"/>
    <s v="Pune"/>
    <s v="Maharashtra"/>
    <s v="B.Tech"/>
    <n v="2.2000000000000002"/>
    <n v="9.6"/>
    <n v="11.4"/>
    <s v="90 Days"/>
    <x v="6"/>
    <d v="2025-10-13T00:00:00"/>
    <x v="0"/>
    <x v="1"/>
    <x v="8"/>
    <s v="Q4"/>
    <n v="2025"/>
  </r>
  <r>
    <s v="CAN0702"/>
    <s v="Jimmy"/>
    <s v="Wilkins"/>
    <s v="Male"/>
    <n v="34"/>
    <s v="jimmy.wilkins16@gmail.com"/>
    <n v="9185740454"/>
    <s v="Pune"/>
    <s v="Maharashtra"/>
    <s v="B.Com"/>
    <n v="8.5"/>
    <n v="16.8"/>
    <n v="23.7"/>
    <s v="90 Days"/>
    <x v="0"/>
    <d v="2025-11-18T00:00:00"/>
    <x v="0"/>
    <x v="3"/>
    <x v="9"/>
    <s v="Q4"/>
    <n v="2025"/>
  </r>
  <r>
    <s v="CAN0703"/>
    <s v="Kirsten"/>
    <s v="Ball"/>
    <s v="Male"/>
    <n v="32"/>
    <s v="kirsten.ball21@gmail.com"/>
    <n v="9306837126"/>
    <s v="Delhi"/>
    <s v="Delhi"/>
    <s v="M.Sc"/>
    <n v="3.2"/>
    <n v="13.9"/>
    <n v="19.600000000000001"/>
    <s v="30 Days"/>
    <x v="1"/>
    <d v="2025-04-15T00:00:00"/>
    <x v="0"/>
    <x v="3"/>
    <x v="11"/>
    <s v="Q2"/>
    <n v="2025"/>
  </r>
  <r>
    <s v="CAN0704"/>
    <s v="Rachel"/>
    <s v="Coleman"/>
    <s v="Male"/>
    <n v="34"/>
    <s v="rachel.coleman51@gmail.com"/>
    <n v="9805178959"/>
    <s v="Bengaluru"/>
    <s v="Karnataka"/>
    <s v="M.Tech"/>
    <n v="12"/>
    <n v="20.399999999999999"/>
    <n v="23"/>
    <s v="30 Days"/>
    <x v="2"/>
    <d v="2025-11-02T00:00:00"/>
    <x v="0"/>
    <x v="3"/>
    <x v="9"/>
    <s v="Q4"/>
    <n v="2025"/>
  </r>
  <r>
    <s v="CAN0705"/>
    <s v="Aaron"/>
    <s v="Valenzuela"/>
    <s v="Male"/>
    <n v="27"/>
    <s v="aaron.valenzuela9@gmail.com"/>
    <n v="9237621508"/>
    <s v="Bengaluru"/>
    <s v="Karnataka"/>
    <s v="MBA"/>
    <n v="6.4"/>
    <n v="10.7"/>
    <n v="13"/>
    <s v="60 Days"/>
    <x v="2"/>
    <d v="2025-10-07T00:00:00"/>
    <x v="0"/>
    <x v="1"/>
    <x v="8"/>
    <s v="Q4"/>
    <n v="2025"/>
  </r>
  <r>
    <s v="CAN0706"/>
    <s v="Howard"/>
    <s v="Walker"/>
    <s v="Female"/>
    <n v="24"/>
    <s v="howard.walker21@gmail.com"/>
    <n v="9224097435"/>
    <s v="Mumbai"/>
    <s v="Maharashtra"/>
    <s v="MBA"/>
    <n v="0.3"/>
    <n v="6.3"/>
    <n v="7.2"/>
    <s v="90 Days"/>
    <x v="0"/>
    <d v="2025-07-08T00:00:00"/>
    <x v="0"/>
    <x v="0"/>
    <x v="7"/>
    <s v="Q3"/>
    <n v="2025"/>
  </r>
  <r>
    <s v="CAN0707"/>
    <s v="Dana"/>
    <s v="Hernandez"/>
    <s v="Female"/>
    <n v="35"/>
    <s v="dana.hernandez79@gmail.com"/>
    <n v="9524079354"/>
    <s v="Pune"/>
    <s v="Maharashtra"/>
    <s v="BBA"/>
    <n v="7"/>
    <n v="14.7"/>
    <n v="18.5"/>
    <s v="Immediate"/>
    <x v="1"/>
    <d v="2025-06-03T00:00:00"/>
    <x v="0"/>
    <x v="3"/>
    <x v="0"/>
    <s v="Q2"/>
    <n v="2025"/>
  </r>
  <r>
    <s v="CAN0708"/>
    <s v="David"/>
    <s v="Long"/>
    <s v="Male"/>
    <n v="21"/>
    <s v="david.long57@gmail.com"/>
    <n v="9511344128"/>
    <s v="Mumbai"/>
    <s v="Maharashtra"/>
    <s v="BBA"/>
    <n v="4.3"/>
    <n v="17.600000000000001"/>
    <n v="21"/>
    <s v="90 Days"/>
    <x v="2"/>
    <d v="2025-11-27T00:00:00"/>
    <x v="0"/>
    <x v="0"/>
    <x v="9"/>
    <s v="Q4"/>
    <n v="2025"/>
  </r>
  <r>
    <s v="CAN0709"/>
    <s v="Miguel"/>
    <s v="Velasquez"/>
    <s v="Female"/>
    <n v="27"/>
    <s v="miguel.velasquez49@gmail.com"/>
    <n v="9522179404"/>
    <s v="Kolkata"/>
    <s v="West Bengal"/>
    <s v="MBA"/>
    <n v="0.3"/>
    <n v="2.7"/>
    <n v="3.3"/>
    <s v="Immediate"/>
    <x v="0"/>
    <d v="2025-08-18T00:00:00"/>
    <x v="0"/>
    <x v="1"/>
    <x v="3"/>
    <s v="Q3"/>
    <n v="2025"/>
  </r>
  <r>
    <s v="CAN0710"/>
    <s v="Rachel"/>
    <s v="Pitts"/>
    <s v="Male"/>
    <n v="30"/>
    <s v="rachel.pitts26@gmail.com"/>
    <n v="9264736599"/>
    <s v="Delhi"/>
    <s v="Delhi"/>
    <s v="B.Com"/>
    <n v="5.3"/>
    <n v="7.3"/>
    <n v="9.6"/>
    <s v="30 Days"/>
    <x v="1"/>
    <d v="2025-03-29T00:00:00"/>
    <x v="0"/>
    <x v="1"/>
    <x v="6"/>
    <s v="Q1"/>
    <n v="2025"/>
  </r>
  <r>
    <s v="CAN0711"/>
    <s v="Jorge"/>
    <s v="Lee"/>
    <s v="Male"/>
    <n v="32"/>
    <s v="jorge.lee35@gmail.com"/>
    <n v="9999799885"/>
    <s v="Hyderabad"/>
    <s v="Telangana"/>
    <m/>
    <n v="6"/>
    <n v="10.5"/>
    <n v="11.8"/>
    <s v="Immediate"/>
    <x v="1"/>
    <d v="2025-12-06T00:00:00"/>
    <x v="0"/>
    <x v="3"/>
    <x v="4"/>
    <s v="Q4"/>
    <n v="2025"/>
  </r>
  <r>
    <s v="CAN0712"/>
    <s v="Denise"/>
    <s v="Jones"/>
    <s v="Female"/>
    <n v="27"/>
    <s v="denise.jones39@gmail.com"/>
    <n v="9729349177"/>
    <s v="Delhi"/>
    <s v="Delhi"/>
    <s v="MBA"/>
    <n v="16.399999999999999"/>
    <n v="27.2"/>
    <n v="31"/>
    <s v="60 Days"/>
    <x v="0"/>
    <d v="2025-06-04T00:00:00"/>
    <x v="0"/>
    <x v="1"/>
    <x v="0"/>
    <s v="Q2"/>
    <n v="2025"/>
  </r>
  <r>
    <s v="CAN0713"/>
    <s v="Heather"/>
    <s v="Jefferson"/>
    <s v="Male"/>
    <n v="25"/>
    <s v="heather.jefferson3@gmail.com"/>
    <n v="9970387898"/>
    <s v="Noida"/>
    <s v="Uttar Pradesh"/>
    <s v="B.Com"/>
    <n v="11.6"/>
    <n v="19.2"/>
    <n v="26.6"/>
    <s v="Immediate"/>
    <x v="0"/>
    <d v="2025-09-15T00:00:00"/>
    <x v="0"/>
    <x v="0"/>
    <x v="2"/>
    <s v="Q3"/>
    <n v="2025"/>
  </r>
  <r>
    <s v="CAN0714"/>
    <s v="Marcus"/>
    <s v="Hunt"/>
    <s v="Male"/>
    <n v="32"/>
    <s v="marcus.hunt11@gmail.com"/>
    <n v="9975216016"/>
    <s v="Mumbai"/>
    <s v="Maharashtra"/>
    <m/>
    <n v="1.2"/>
    <n v="6.6"/>
    <n v="8.6999999999999993"/>
    <s v="Immediate"/>
    <x v="2"/>
    <d v="2025-08-02T00:00:00"/>
    <x v="0"/>
    <x v="3"/>
    <x v="3"/>
    <s v="Q3"/>
    <n v="2025"/>
  </r>
  <r>
    <s v="CAN0715"/>
    <s v="Dr."/>
    <s v="MD"/>
    <s v="Male"/>
    <n v="33"/>
    <s v="dr..md76@gmail.com"/>
    <n v="9358751726"/>
    <s v="Gurugram"/>
    <s v="Haryana"/>
    <s v="M.Sc"/>
    <n v="0.2"/>
    <n v="6.6"/>
    <n v="7.5"/>
    <s v="30 Days"/>
    <x v="0"/>
    <d v="2025-12-03T00:00:00"/>
    <x v="0"/>
    <x v="3"/>
    <x v="4"/>
    <s v="Q4"/>
    <n v="2025"/>
  </r>
  <r>
    <s v="CAN0716"/>
    <s v="Michael"/>
    <s v="Gonzalez"/>
    <s v="Male"/>
    <n v="24"/>
    <s v="michael.gonzalez77@gmail.com"/>
    <n v="9162707844"/>
    <s v="Kochi"/>
    <s v="Kerala"/>
    <s v="B.Tech"/>
    <n v="3"/>
    <n v="8.5"/>
    <n v="10.7"/>
    <s v="30 Days"/>
    <x v="0"/>
    <d v="2025-05-23T00:00:00"/>
    <x v="0"/>
    <x v="0"/>
    <x v="10"/>
    <s v="Q2"/>
    <n v="2025"/>
  </r>
  <r>
    <s v="CAN0717"/>
    <s v="Nicholas"/>
    <s v="Arnold"/>
    <s v="Female"/>
    <n v="38"/>
    <s v="nicholas.arnold38@gmail.com"/>
    <n v="9300410583"/>
    <s v="Ahmedabad"/>
    <s v="Gujarat"/>
    <s v="BBA"/>
    <n v="0.7"/>
    <n v="10.4"/>
    <n v="12.6"/>
    <s v="30 Days"/>
    <x v="2"/>
    <d v="2025-05-21T00:00:00"/>
    <x v="0"/>
    <x v="2"/>
    <x v="10"/>
    <s v="Q2"/>
    <n v="2025"/>
  </r>
  <r>
    <s v="CAN0718"/>
    <s v="Nicholas"/>
    <s v="Hayes"/>
    <s v="Female"/>
    <n v="36"/>
    <s v="nicholas.hayes66@gmail.com"/>
    <n v="9191863147"/>
    <s v="Mumbai"/>
    <s v="Maharashtra"/>
    <s v="M.Sc"/>
    <n v="1.2"/>
    <n v="2.5"/>
    <n v="3.2"/>
    <s v="15 Days"/>
    <x v="0"/>
    <d v="2025-09-18T00:00:00"/>
    <x v="0"/>
    <x v="2"/>
    <x v="2"/>
    <s v="Q3"/>
    <n v="2025"/>
  </r>
  <r>
    <s v="CAN0719"/>
    <s v="Rebecca"/>
    <s v="Miller"/>
    <s v="Female"/>
    <n v="28"/>
    <s v="rebecca.miller38@gmail.com"/>
    <n v="9872564134"/>
    <s v="Chennai"/>
    <s v="Tamil Nadu"/>
    <s v="B.Com"/>
    <n v="2.2999999999999998"/>
    <n v="14.4"/>
    <n v="18.100000000000001"/>
    <s v="60 Days"/>
    <x v="0"/>
    <d v="2025-11-03T00:00:00"/>
    <x v="0"/>
    <x v="1"/>
    <x v="9"/>
    <s v="Q4"/>
    <n v="2025"/>
  </r>
  <r>
    <s v="CAN0720"/>
    <s v="David"/>
    <s v="Savage"/>
    <s v="Female"/>
    <n v="31"/>
    <s v="david.savage56@gmail.com"/>
    <n v="9599428042"/>
    <s v="Chennai"/>
    <s v="Tamil Nadu"/>
    <s v="MCA"/>
    <n v="1"/>
    <n v="7.5"/>
    <n v="10.5"/>
    <s v="60 Days"/>
    <x v="0"/>
    <d v="2025-10-08T00:00:00"/>
    <x v="0"/>
    <x v="3"/>
    <x v="8"/>
    <s v="Q4"/>
    <n v="2025"/>
  </r>
  <r>
    <s v="CAN0721"/>
    <s v="Danielle"/>
    <s v="Rodriguez"/>
    <s v="Female"/>
    <n v="22"/>
    <s v="danielle.rodriguez72@gmail.com"/>
    <n v="9116350774"/>
    <s v="Mumbai"/>
    <s v="Maharashtra"/>
    <s v="B.Sc"/>
    <n v="0.3"/>
    <n v="13.5"/>
    <n v="18.3"/>
    <s v="30 Days"/>
    <x v="5"/>
    <d v="2025-04-10T00:00:00"/>
    <x v="0"/>
    <x v="0"/>
    <x v="11"/>
    <s v="Q2"/>
    <n v="2025"/>
  </r>
  <r>
    <s v="CAN0722"/>
    <s v="Mary"/>
    <s v="Baldwin"/>
    <s v="Male"/>
    <n v="24"/>
    <s v="mary.baldwin23@gmail.com"/>
    <n v="9866204211"/>
    <s v="Pune"/>
    <s v="Maharashtra"/>
    <s v="B.Tech"/>
    <n v="10.4"/>
    <n v="18.3"/>
    <n v="24.5"/>
    <s v="Immediate"/>
    <x v="2"/>
    <d v="2025-11-29T00:00:00"/>
    <x v="0"/>
    <x v="0"/>
    <x v="9"/>
    <s v="Q4"/>
    <n v="2025"/>
  </r>
  <r>
    <s v="CAN0723"/>
    <s v="Laura"/>
    <s v="PhD"/>
    <s v="Male"/>
    <n v="29"/>
    <s v="laura.phd54@gmail.com"/>
    <n v="9146305658"/>
    <s v="Indore"/>
    <s v="Madhya Pradesh"/>
    <s v="B.Tech"/>
    <n v="4.7"/>
    <n v="14"/>
    <n v="20.100000000000001"/>
    <s v="30 Days"/>
    <x v="2"/>
    <d v="2025-07-11T00:00:00"/>
    <x v="0"/>
    <x v="1"/>
    <x v="7"/>
    <s v="Q3"/>
    <n v="2025"/>
  </r>
  <r>
    <s v="CAN0724"/>
    <s v="Nicholas"/>
    <s v="Russell"/>
    <s v="Female"/>
    <n v="28"/>
    <s v="nicholas.russell72@gmail.com"/>
    <n v="9895034621"/>
    <s v="Pune"/>
    <s v="Maharashtra"/>
    <s v="B.Sc"/>
    <n v="6.9"/>
    <n v="21.4"/>
    <n v="28.6"/>
    <s v="30 Days"/>
    <x v="2"/>
    <d v="2025-07-19T00:00:00"/>
    <x v="0"/>
    <x v="1"/>
    <x v="7"/>
    <s v="Q3"/>
    <n v="2025"/>
  </r>
  <r>
    <s v="CAN0725"/>
    <s v="Judith"/>
    <s v="Arnold"/>
    <s v="Female"/>
    <n v="30"/>
    <s v="judith.arnold66@gmail.com"/>
    <n v="9934748548"/>
    <s v="Gurugram"/>
    <s v="Haryana"/>
    <s v="PhD"/>
    <n v="0.6"/>
    <m/>
    <n v="15.4"/>
    <s v="60 Days"/>
    <x v="0"/>
    <d v="2025-02-08T00:00:00"/>
    <x v="0"/>
    <x v="1"/>
    <x v="1"/>
    <s v="Q1"/>
    <n v="2025"/>
  </r>
  <r>
    <s v="CAN0726"/>
    <s v="David"/>
    <s v="Greene"/>
    <s v="Female"/>
    <n v="31"/>
    <s v="david.greene23@gmail.com"/>
    <n v="9994839197"/>
    <s v="Gurugram"/>
    <s v="Haryana"/>
    <s v="M.Sc"/>
    <n v="1.3"/>
    <n v="13.3"/>
    <n v="16.100000000000001"/>
    <s v="60 Days"/>
    <x v="2"/>
    <d v="2025-06-09T00:00:00"/>
    <x v="0"/>
    <x v="3"/>
    <x v="0"/>
    <s v="Q2"/>
    <n v="2025"/>
  </r>
  <r>
    <s v="CAN0727"/>
    <s v="Debbie"/>
    <s v="Wise"/>
    <s v="Female"/>
    <n v="31"/>
    <s v="debbie.wise24@gmail.com"/>
    <n v="9686148893"/>
    <s v="Pune"/>
    <s v="Maharashtra"/>
    <s v="B.Tech"/>
    <n v="0.3"/>
    <n v="13.2"/>
    <n v="15.2"/>
    <s v="60 Days"/>
    <x v="1"/>
    <d v="2025-09-02T00:00:00"/>
    <x v="0"/>
    <x v="3"/>
    <x v="2"/>
    <s v="Q3"/>
    <n v="2025"/>
  </r>
  <r>
    <s v="CAN0728"/>
    <s v="Angela"/>
    <s v="French"/>
    <s v="Male"/>
    <n v="39"/>
    <s v="angela.french14@gmail.com"/>
    <n v="9663301805"/>
    <s v="Pune"/>
    <s v="Maharashtra"/>
    <s v="B.Tech"/>
    <n v="2.8"/>
    <n v="5.7"/>
    <n v="7.4"/>
    <s v="90 Days"/>
    <x v="3"/>
    <d v="2025-05-28T00:00:00"/>
    <x v="0"/>
    <x v="2"/>
    <x v="10"/>
    <s v="Q2"/>
    <n v="2025"/>
  </r>
  <r>
    <s v="CAN0729"/>
    <s v="Jason"/>
    <s v="Ortega"/>
    <s v="Male"/>
    <n v="22"/>
    <s v="jason.ortega35@gmail.com"/>
    <n v="9321137405"/>
    <s v="Noida"/>
    <s v="Uttar Pradesh"/>
    <s v="MCA"/>
    <n v="0.6"/>
    <n v="6.3"/>
    <n v="9"/>
    <s v="15 Days"/>
    <x v="2"/>
    <d v="2025-08-14T00:00:00"/>
    <x v="0"/>
    <x v="0"/>
    <x v="3"/>
    <s v="Q3"/>
    <n v="2025"/>
  </r>
  <r>
    <s v="CAN0730"/>
    <s v="Raymond"/>
    <s v="Franco"/>
    <s v="Female"/>
    <n v="24"/>
    <s v="raymond.franco49@gmail.com"/>
    <n v="9944346861"/>
    <s v="Bengaluru"/>
    <s v="Karnataka"/>
    <m/>
    <n v="2.5"/>
    <m/>
    <n v="13.2"/>
    <s v="30 Days"/>
    <x v="0"/>
    <d v="2025-10-31T00:00:00"/>
    <x v="0"/>
    <x v="0"/>
    <x v="8"/>
    <s v="Q4"/>
    <n v="2025"/>
  </r>
  <r>
    <s v="CAN0731"/>
    <s v="Maria"/>
    <s v="Evans"/>
    <s v="Male"/>
    <n v="30"/>
    <s v="maria.evans91@gmail.com"/>
    <n v="9550447056"/>
    <s v="Ahmedabad"/>
    <s v="Gujarat"/>
    <s v="MBA"/>
    <n v="1.1000000000000001"/>
    <n v="7.8"/>
    <n v="9"/>
    <s v="30 Days"/>
    <x v="0"/>
    <d v="2025-01-30T00:00:00"/>
    <x v="0"/>
    <x v="1"/>
    <x v="5"/>
    <s v="Q1"/>
    <n v="2025"/>
  </r>
  <r>
    <s v="CAN0732"/>
    <s v="Nathan"/>
    <s v="Smith"/>
    <s v="Male"/>
    <n v="23"/>
    <s v="nathan.smith5@gmail.com"/>
    <n v="9233795934"/>
    <s v="Chandigarh"/>
    <s v="Chandigarh"/>
    <m/>
    <n v="0.4"/>
    <n v="7.5"/>
    <n v="8.5"/>
    <s v="30 Days"/>
    <x v="3"/>
    <d v="2025-12-23T00:00:00"/>
    <x v="0"/>
    <x v="0"/>
    <x v="4"/>
    <s v="Q4"/>
    <n v="2025"/>
  </r>
  <r>
    <s v="CAN0733"/>
    <s v="Richard"/>
    <s v="Erickson"/>
    <s v="Male"/>
    <n v="28"/>
    <s v="richard.erickson19@gmail.com"/>
    <n v="9972797914"/>
    <s v="Noida"/>
    <s v="Uttar Pradesh"/>
    <s v="B.Tech"/>
    <n v="2.7"/>
    <n v="10.7"/>
    <n v="13.9"/>
    <s v="15 Days"/>
    <x v="2"/>
    <d v="2025-04-08T00:00:00"/>
    <x v="0"/>
    <x v="1"/>
    <x v="11"/>
    <s v="Q2"/>
    <n v="2025"/>
  </r>
  <r>
    <s v="CAN0734"/>
    <s v="Deanna"/>
    <s v="Barnes"/>
    <s v="Male"/>
    <n v="30"/>
    <s v="deanna.barnes74@gmail.com"/>
    <n v="9943948675"/>
    <s v="Chandigarh"/>
    <s v="Chandigarh"/>
    <s v="MBA"/>
    <n v="0.9"/>
    <n v="3.4"/>
    <n v="4.2"/>
    <s v="30 Days"/>
    <x v="0"/>
    <d v="2025-05-29T00:00:00"/>
    <x v="0"/>
    <x v="1"/>
    <x v="10"/>
    <s v="Q2"/>
    <n v="2025"/>
  </r>
  <r>
    <s v="CAN0735"/>
    <s v="Justin"/>
    <s v="Ward"/>
    <s v="Female"/>
    <n v="31"/>
    <s v="justin.ward42@gmail.com"/>
    <n v="9150904228"/>
    <s v="Indore"/>
    <s v="Madhya Pradesh"/>
    <s v="BBA"/>
    <n v="1.3"/>
    <n v="6.6"/>
    <n v="8.5"/>
    <s v="Immediate"/>
    <x v="0"/>
    <d v="2025-11-27T00:00:00"/>
    <x v="0"/>
    <x v="3"/>
    <x v="9"/>
    <s v="Q4"/>
    <n v="2025"/>
  </r>
  <r>
    <s v="CAN0736"/>
    <s v="Scott"/>
    <s v="Peters"/>
    <s v="Male"/>
    <n v="27"/>
    <s v="scott.peters36@gmail.com"/>
    <n v="9561770614"/>
    <s v="Chandigarh"/>
    <s v="Chandigarh"/>
    <s v="M.Tech"/>
    <n v="0.6"/>
    <n v="9.5"/>
    <n v="12"/>
    <s v="30 Days"/>
    <x v="1"/>
    <d v="2025-02-26T00:00:00"/>
    <x v="0"/>
    <x v="1"/>
    <x v="1"/>
    <s v="Q1"/>
    <n v="2025"/>
  </r>
  <r>
    <s v="CAN0737"/>
    <s v="David"/>
    <s v="Jordan"/>
    <s v="Female"/>
    <n v="21"/>
    <s v="david.jordan23@gmail.com"/>
    <n v="9968625469"/>
    <s v="Mumbai"/>
    <s v="Maharashtra"/>
    <s v="B.Sc"/>
    <n v="1.6"/>
    <n v="11.3"/>
    <n v="15.2"/>
    <s v="60 Days"/>
    <x v="0"/>
    <d v="2025-03-11T00:00:00"/>
    <x v="0"/>
    <x v="0"/>
    <x v="6"/>
    <s v="Q1"/>
    <n v="2025"/>
  </r>
  <r>
    <s v="CAN0738"/>
    <s v="Norman"/>
    <s v="King"/>
    <s v="Male"/>
    <n v="29"/>
    <s v="norman.king86@gmail.com"/>
    <n v="9458993036"/>
    <s v="Hyderabad"/>
    <s v="Telangana"/>
    <s v="MCA"/>
    <n v="1.2"/>
    <n v="4.8"/>
    <n v="7"/>
    <s v="30 Days"/>
    <x v="3"/>
    <d v="2025-11-20T00:00:00"/>
    <x v="0"/>
    <x v="1"/>
    <x v="9"/>
    <s v="Q4"/>
    <n v="2025"/>
  </r>
  <r>
    <s v="CAN0739"/>
    <s v="Maria"/>
    <s v="Mitchell"/>
    <s v="Female"/>
    <n v="23"/>
    <s v="maria.mitchell8@gmail.com"/>
    <n v="9287354276"/>
    <s v="Delhi"/>
    <s v="Delhi"/>
    <s v="B.Tech"/>
    <n v="1.8"/>
    <n v="10.9"/>
    <n v="13.8"/>
    <s v="Immediate"/>
    <x v="2"/>
    <d v="2025-07-30T00:00:00"/>
    <x v="0"/>
    <x v="0"/>
    <x v="7"/>
    <s v="Q3"/>
    <n v="2025"/>
  </r>
  <r>
    <s v="CAN0740"/>
    <s v="Michael"/>
    <s v="Bailey"/>
    <s v="Male"/>
    <n v="38"/>
    <s v="michael.bailey12@gmail.com"/>
    <n v="9544142604"/>
    <s v="Hyderabad"/>
    <s v="Telangana"/>
    <s v="M.Sc"/>
    <n v="0.7"/>
    <n v="9.4"/>
    <n v="12.9"/>
    <s v="30 Days"/>
    <x v="0"/>
    <d v="2025-06-06T00:00:00"/>
    <x v="0"/>
    <x v="2"/>
    <x v="0"/>
    <s v="Q2"/>
    <n v="2025"/>
  </r>
  <r>
    <s v="CAN0741"/>
    <s v="Bethany"/>
    <s v="Gill"/>
    <s v="Female"/>
    <n v="32"/>
    <s v="bethany.gill54@gmail.com"/>
    <n v="9524213205"/>
    <s v="Bengaluru"/>
    <s v="Karnataka"/>
    <s v="M.Tech"/>
    <n v="4"/>
    <m/>
    <n v="13.3"/>
    <s v="15 Days"/>
    <x v="1"/>
    <d v="2025-08-09T00:00:00"/>
    <x v="0"/>
    <x v="3"/>
    <x v="3"/>
    <s v="Q3"/>
    <n v="2025"/>
  </r>
  <r>
    <s v="CAN0742"/>
    <s v="Teresa"/>
    <s v="Maldonado"/>
    <s v="Male"/>
    <n v="33"/>
    <s v="teresa.maldonado43@gmail.com"/>
    <n v="9112930072"/>
    <s v="Bengaluru"/>
    <s v="Karnataka"/>
    <s v="B.Tech"/>
    <n v="3.5"/>
    <n v="9.5"/>
    <n v="10.8"/>
    <s v="30 Days"/>
    <x v="3"/>
    <d v="2025-12-24T00:00:00"/>
    <x v="0"/>
    <x v="3"/>
    <x v="4"/>
    <s v="Q4"/>
    <n v="2025"/>
  </r>
  <r>
    <s v="CAN0743"/>
    <s v="Christopher"/>
    <s v="Carpenter"/>
    <s v="Male"/>
    <n v="30"/>
    <s v="christopher.carpenter48@gmail.com"/>
    <n v="9998670688"/>
    <s v="Mumbai"/>
    <s v="Maharashtra"/>
    <s v="M.Tech"/>
    <n v="1"/>
    <n v="10.1"/>
    <n v="13.2"/>
    <s v="Immediate"/>
    <x v="2"/>
    <d v="2025-05-14T00:00:00"/>
    <x v="0"/>
    <x v="1"/>
    <x v="10"/>
    <s v="Q2"/>
    <n v="2025"/>
  </r>
  <r>
    <s v="CAN0744"/>
    <s v="Michelle"/>
    <s v="Scott"/>
    <s v="Male"/>
    <n v="25"/>
    <s v="michelle.scott9@gmail.com"/>
    <n v="9636538049"/>
    <s v="Kolkata"/>
    <s v="West Bengal"/>
    <s v="M.Tech"/>
    <n v="4.7"/>
    <n v="11.7"/>
    <n v="13.5"/>
    <s v="Immediate"/>
    <x v="5"/>
    <d v="2025-09-12T00:00:00"/>
    <x v="0"/>
    <x v="0"/>
    <x v="2"/>
    <s v="Q3"/>
    <n v="2025"/>
  </r>
  <r>
    <s v="CAN0745"/>
    <s v="Jason"/>
    <s v="Lin"/>
    <s v="Female"/>
    <n v="23"/>
    <s v="jason.lin65@gmail.com"/>
    <n v="9742287558"/>
    <s v="Bengaluru"/>
    <s v="Karnataka"/>
    <s v="B.Tech"/>
    <n v="3.6"/>
    <n v="12.9"/>
    <n v="17"/>
    <s v="60 Days"/>
    <x v="4"/>
    <d v="2025-06-05T00:00:00"/>
    <x v="0"/>
    <x v="0"/>
    <x v="0"/>
    <s v="Q2"/>
    <n v="2025"/>
  </r>
  <r>
    <s v="CAN0746"/>
    <s v="Adam"/>
    <s v="Lynn"/>
    <s v="Male"/>
    <n v="22"/>
    <s v="adam.lynn54@gmail.com"/>
    <n v="9814057504"/>
    <s v="Ahmedabad"/>
    <s v="Gujarat"/>
    <s v="B.Sc"/>
    <n v="20"/>
    <n v="23"/>
    <n v="32.700000000000003"/>
    <s v="60 Days"/>
    <x v="6"/>
    <d v="2025-05-07T00:00:00"/>
    <x v="0"/>
    <x v="0"/>
    <x v="10"/>
    <s v="Q2"/>
    <n v="2025"/>
  </r>
  <r>
    <s v="CAN0747"/>
    <s v="Ashley"/>
    <s v="Cruz"/>
    <s v="Male"/>
    <n v="32"/>
    <s v="ashley.cruz60@gmail.com"/>
    <n v="9506827385"/>
    <s v="Mumbai"/>
    <s v="Maharashtra"/>
    <s v="B.Sc"/>
    <n v="2.7"/>
    <n v="6.8"/>
    <n v="9.3000000000000007"/>
    <s v="30 Days"/>
    <x v="2"/>
    <d v="2025-10-06T00:00:00"/>
    <x v="0"/>
    <x v="3"/>
    <x v="8"/>
    <s v="Q4"/>
    <n v="2025"/>
  </r>
  <r>
    <s v="CAN0748"/>
    <s v="Jeffrey"/>
    <s v="Henderson"/>
    <s v="Male"/>
    <n v="21"/>
    <s v="jeffrey.henderson73@gmail.com"/>
    <n v="9528973394"/>
    <s v="Indore"/>
    <s v="Madhya Pradesh"/>
    <s v="MCA"/>
    <n v="0.6"/>
    <n v="4.4000000000000004"/>
    <n v="6.1"/>
    <s v="30 Days"/>
    <x v="2"/>
    <d v="2025-10-10T00:00:00"/>
    <x v="0"/>
    <x v="0"/>
    <x v="8"/>
    <s v="Q4"/>
    <n v="2025"/>
  </r>
  <r>
    <s v="CAN0749"/>
    <s v="Benjamin"/>
    <s v="Allen"/>
    <s v="Female"/>
    <n v="23"/>
    <s v="benjamin.allen75@gmail.com"/>
    <n v="9257041092"/>
    <s v="Ahmedabad"/>
    <s v="Gujarat"/>
    <s v="MBA"/>
    <n v="3"/>
    <n v="13.2"/>
    <n v="16.100000000000001"/>
    <s v="60 Days"/>
    <x v="0"/>
    <d v="2025-05-29T00:00:00"/>
    <x v="0"/>
    <x v="0"/>
    <x v="10"/>
    <s v="Q2"/>
    <n v="2025"/>
  </r>
  <r>
    <s v="CAN0750"/>
    <s v="Laura"/>
    <s v="Santos"/>
    <s v="Female"/>
    <n v="26"/>
    <s v="laura.santos2@gmail.com"/>
    <n v="9258706907"/>
    <s v="Gurugram"/>
    <s v="Haryana"/>
    <s v="MBA"/>
    <n v="0.2"/>
    <n v="5.4"/>
    <n v="7.3"/>
    <s v="60 Days"/>
    <x v="0"/>
    <d v="2025-11-28T00:00:00"/>
    <x v="0"/>
    <x v="1"/>
    <x v="9"/>
    <s v="Q4"/>
    <n v="2025"/>
  </r>
  <r>
    <s v="CAN0751"/>
    <s v="Joseph"/>
    <s v="Fleming"/>
    <s v="Male"/>
    <n v="27"/>
    <s v="joseph.fleming34@gmail.com"/>
    <n v="9355647929"/>
    <s v="Jaipur"/>
    <s v="Rajasthan"/>
    <s v="B.Com"/>
    <n v="2"/>
    <n v="2.5"/>
    <n v="3"/>
    <s v="30 Days"/>
    <x v="1"/>
    <d v="2025-11-07T00:00:00"/>
    <x v="0"/>
    <x v="1"/>
    <x v="9"/>
    <s v="Q4"/>
    <n v="2025"/>
  </r>
  <r>
    <s v="CAN0752"/>
    <s v="Anna"/>
    <s v="Fields"/>
    <s v="Female"/>
    <n v="32"/>
    <s v="anna.fields79@gmail.com"/>
    <n v="9729973881"/>
    <s v="Pune"/>
    <s v="Maharashtra"/>
    <s v="CA"/>
    <n v="5.2"/>
    <n v="11.8"/>
    <n v="16.3"/>
    <m/>
    <x v="0"/>
    <d v="2025-09-22T00:00:00"/>
    <x v="0"/>
    <x v="3"/>
    <x v="2"/>
    <s v="Q3"/>
    <n v="2025"/>
  </r>
  <r>
    <s v="CAN0753"/>
    <s v="Abigail"/>
    <s v="Hinton"/>
    <s v="Female"/>
    <n v="23"/>
    <s v="abigail.hinton45@gmail.com"/>
    <n v="9264867250"/>
    <s v="Chandigarh"/>
    <s v="Chandigarh"/>
    <s v="BBA"/>
    <n v="1.8"/>
    <n v="6.8"/>
    <n v="9.5"/>
    <s v="90 Days"/>
    <x v="2"/>
    <d v="2025-07-09T00:00:00"/>
    <x v="0"/>
    <x v="0"/>
    <x v="7"/>
    <s v="Q3"/>
    <n v="2025"/>
  </r>
  <r>
    <s v="CAN0754"/>
    <s v="Anthony"/>
    <s v="Evans"/>
    <s v="Male"/>
    <n v="25"/>
    <s v="anthony.evans35@gmail.com"/>
    <n v="9954791583"/>
    <s v="Delhi"/>
    <s v="Delhi"/>
    <s v="B.Tech"/>
    <n v="1.4"/>
    <n v="3.5"/>
    <n v="4.0999999999999996"/>
    <s v="60 Days"/>
    <x v="0"/>
    <d v="2025-10-08T00:00:00"/>
    <x v="0"/>
    <x v="0"/>
    <x v="8"/>
    <s v="Q4"/>
    <n v="2025"/>
  </r>
  <r>
    <s v="CAN0755"/>
    <s v="Patrick"/>
    <s v="Case"/>
    <s v="Female"/>
    <n v="40"/>
    <s v="patrick.case96@gmail.com"/>
    <n v="9168990028"/>
    <s v="Gurugram"/>
    <s v="Haryana"/>
    <s v="B.Com"/>
    <n v="1.5"/>
    <m/>
    <n v="8.1999999999999993"/>
    <s v="Immediate"/>
    <x v="2"/>
    <d v="2025-12-25T00:00:00"/>
    <x v="0"/>
    <x v="2"/>
    <x v="4"/>
    <s v="Q4"/>
    <n v="2025"/>
  </r>
  <r>
    <s v="CAN0756"/>
    <s v="Jonathan"/>
    <s v="Marks"/>
    <s v="Male"/>
    <n v="37"/>
    <s v="jonathan.marks16@gmail.com"/>
    <n v="9960580647"/>
    <s v="Delhi"/>
    <s v="Delhi"/>
    <s v="BBA"/>
    <n v="0.9"/>
    <n v="7"/>
    <n v="8.1999999999999993"/>
    <s v="60 Days"/>
    <x v="3"/>
    <d v="2025-04-21T00:00:00"/>
    <x v="0"/>
    <x v="2"/>
    <x v="11"/>
    <s v="Q2"/>
    <n v="2025"/>
  </r>
  <r>
    <s v="CAN0757"/>
    <s v="Richard"/>
    <s v="Shepard"/>
    <s v="Female"/>
    <n v="21"/>
    <s v="richard.shepard20@gmail.com"/>
    <n v="9970128978"/>
    <s v="Chennai"/>
    <s v="Tamil Nadu"/>
    <s v="B.Sc"/>
    <n v="10.1"/>
    <n v="18.8"/>
    <n v="21.1"/>
    <s v="60 Days"/>
    <x v="3"/>
    <d v="2025-02-19T00:00:00"/>
    <x v="0"/>
    <x v="0"/>
    <x v="1"/>
    <s v="Q1"/>
    <n v="2025"/>
  </r>
  <r>
    <s v="CAN0758"/>
    <s v="Jennifer"/>
    <s v="Shelton"/>
    <s v="Female"/>
    <n v="29"/>
    <s v="jennifer.shelton24@gmail.com"/>
    <n v="9930167470"/>
    <s v="Delhi"/>
    <s v="Delhi"/>
    <s v="M.Tech"/>
    <n v="0.3"/>
    <n v="6.9"/>
    <n v="9.6"/>
    <s v="90 Days"/>
    <x v="2"/>
    <d v="2025-03-08T00:00:00"/>
    <x v="0"/>
    <x v="1"/>
    <x v="6"/>
    <s v="Q1"/>
    <n v="2025"/>
  </r>
  <r>
    <s v="CAN0759"/>
    <s v="Willie"/>
    <s v="Romero"/>
    <s v="Female"/>
    <n v="26"/>
    <s v="willie.romero41@gmail.com"/>
    <n v="9858264893"/>
    <s v="Pune"/>
    <s v="Maharashtra"/>
    <s v="B.Com"/>
    <n v="4.5"/>
    <n v="10.3"/>
    <n v="12"/>
    <s v="30 Days"/>
    <x v="2"/>
    <d v="2025-05-09T00:00:00"/>
    <x v="0"/>
    <x v="1"/>
    <x v="10"/>
    <s v="Q2"/>
    <n v="2025"/>
  </r>
  <r>
    <s v="CAN0760"/>
    <s v="Cynthia"/>
    <s v="Lawson"/>
    <s v="Female"/>
    <n v="35"/>
    <s v="cynthia.lawson24@gmail.com"/>
    <n v="9245321049"/>
    <s v="Ahmedabad"/>
    <s v="Gujarat"/>
    <s v="M.Sc"/>
    <n v="0.6"/>
    <n v="7.5"/>
    <n v="10.6"/>
    <s v="15 Days"/>
    <x v="5"/>
    <d v="2025-12-11T00:00:00"/>
    <x v="0"/>
    <x v="3"/>
    <x v="4"/>
    <s v="Q4"/>
    <n v="2025"/>
  </r>
  <r>
    <s v="CAN0761"/>
    <s v="Justin"/>
    <s v="Wright"/>
    <s v="Female"/>
    <n v="27"/>
    <s v="justin.wright26@gmail.com"/>
    <n v="9935806152"/>
    <s v="Chennai"/>
    <s v="Tamil Nadu"/>
    <s v="MBA"/>
    <n v="0.8"/>
    <n v="6.9"/>
    <n v="8.4"/>
    <s v="Immediate"/>
    <x v="2"/>
    <d v="2025-12-14T00:00:00"/>
    <x v="0"/>
    <x v="1"/>
    <x v="4"/>
    <s v="Q4"/>
    <n v="2025"/>
  </r>
  <r>
    <s v="CAN0762"/>
    <s v="Christopher"/>
    <s v="Howard"/>
    <s v="Male"/>
    <n v="21"/>
    <s v="christopher.howard70@gmail.com"/>
    <n v="9271373992"/>
    <s v="Delhi"/>
    <s v="Delhi"/>
    <s v="B.Tech"/>
    <n v="0.3"/>
    <n v="9.1"/>
    <n v="11.2"/>
    <s v="60 Days"/>
    <x v="0"/>
    <d v="2025-02-07T00:00:00"/>
    <x v="0"/>
    <x v="0"/>
    <x v="1"/>
    <s v="Q1"/>
    <n v="2025"/>
  </r>
  <r>
    <s v="CAN0763"/>
    <s v="Meagan"/>
    <s v="Yang"/>
    <s v="Female"/>
    <n v="32"/>
    <s v="meagan.yang1@gmail.com"/>
    <n v="9198050624"/>
    <s v="Indore"/>
    <s v="Madhya Pradesh"/>
    <s v="MBA"/>
    <n v="4.4000000000000004"/>
    <n v="8.4"/>
    <n v="9.6"/>
    <s v="15 Days"/>
    <x v="5"/>
    <d v="2025-07-29T00:00:00"/>
    <x v="0"/>
    <x v="3"/>
    <x v="7"/>
    <s v="Q3"/>
    <n v="2025"/>
  </r>
  <r>
    <s v="CAN0764"/>
    <s v="John"/>
    <s v="Hunt"/>
    <s v="Female"/>
    <n v="21"/>
    <s v="john.hunt15@gmail.com"/>
    <n v="9133371556"/>
    <s v="Noida"/>
    <s v="Uttar Pradesh"/>
    <s v="B.Com"/>
    <n v="6.3"/>
    <n v="13.8"/>
    <n v="16.600000000000001"/>
    <s v="60 Days"/>
    <x v="5"/>
    <d v="2025-08-21T00:00:00"/>
    <x v="0"/>
    <x v="0"/>
    <x v="3"/>
    <s v="Q3"/>
    <n v="2025"/>
  </r>
  <r>
    <s v="CAN0765"/>
    <s v="Anthony"/>
    <s v="Watts"/>
    <s v="Male"/>
    <n v="32"/>
    <s v="anthony.watts90@gmail.com"/>
    <n v="9236601477"/>
    <s v="Indore"/>
    <s v="Madhya Pradesh"/>
    <s v="B.Com"/>
    <n v="0.4"/>
    <n v="2.5"/>
    <n v="3"/>
    <s v="15 Days"/>
    <x v="3"/>
    <d v="2025-04-20T00:00:00"/>
    <x v="0"/>
    <x v="3"/>
    <x v="11"/>
    <s v="Q2"/>
    <n v="2025"/>
  </r>
  <r>
    <s v="CAN0766"/>
    <s v="Bethany"/>
    <s v="Pitts"/>
    <s v="Male"/>
    <n v="30"/>
    <s v="bethany.pitts57@gmail.com"/>
    <n v="9403236734"/>
    <s v="Hyderabad"/>
    <s v="Telangana"/>
    <s v="M.Sc"/>
    <n v="6.9"/>
    <n v="13.1"/>
    <n v="17.399999999999999"/>
    <s v="30 Days"/>
    <x v="2"/>
    <d v="2025-02-15T00:00:00"/>
    <x v="0"/>
    <x v="1"/>
    <x v="1"/>
    <s v="Q1"/>
    <n v="2025"/>
  </r>
  <r>
    <s v="CAN0767"/>
    <s v="Benjamin"/>
    <s v="Yang"/>
    <s v="Female"/>
    <n v="22"/>
    <s v="benjamin.yang58@gmail.com"/>
    <n v="9167270025"/>
    <s v="Ahmedabad"/>
    <s v="Gujarat"/>
    <s v="BBA"/>
    <n v="2.8"/>
    <n v="2.5"/>
    <n v="3.2"/>
    <s v="30 Days"/>
    <x v="2"/>
    <d v="2025-04-29T00:00:00"/>
    <x v="0"/>
    <x v="0"/>
    <x v="11"/>
    <s v="Q2"/>
    <n v="2025"/>
  </r>
  <r>
    <s v="CAN0768"/>
    <s v="Sarah"/>
    <s v="Montgomery"/>
    <s v="Male"/>
    <n v="33"/>
    <s v="sarah.montgomery99@gmail.com"/>
    <n v="9788309222"/>
    <s v="Pune"/>
    <s v="Maharashtra"/>
    <s v="BBA"/>
    <n v="8.1999999999999993"/>
    <n v="18.2"/>
    <n v="21.5"/>
    <s v="Immediate"/>
    <x v="6"/>
    <d v="2025-06-25T00:00:00"/>
    <x v="0"/>
    <x v="3"/>
    <x v="0"/>
    <s v="Q2"/>
    <n v="2025"/>
  </r>
  <r>
    <s v="CAN0769"/>
    <s v="Katelyn"/>
    <s v="Alexander"/>
    <s v="Male"/>
    <n v="24"/>
    <s v="katelyn.alexander16@gmail.com"/>
    <n v="9698175639"/>
    <s v="Pune"/>
    <s v="Maharashtra"/>
    <s v="MBA"/>
    <n v="0.5"/>
    <n v="2.5"/>
    <n v="2.9"/>
    <s v="30 Days"/>
    <x v="0"/>
    <d v="2025-07-30T00:00:00"/>
    <x v="0"/>
    <x v="0"/>
    <x v="7"/>
    <s v="Q3"/>
    <n v="2025"/>
  </r>
  <r>
    <s v="CAN0770"/>
    <s v="Kendra"/>
    <s v="Roberts"/>
    <s v="Male"/>
    <n v="22"/>
    <s v="kendra.roberts37@gmail.com"/>
    <n v="9448418652"/>
    <s v="Delhi"/>
    <s v="Delhi"/>
    <s v="M.Sc"/>
    <n v="2.2999999999999998"/>
    <n v="7.1"/>
    <n v="8.6"/>
    <s v="60 Days"/>
    <x v="3"/>
    <d v="2025-10-29T00:00:00"/>
    <x v="0"/>
    <x v="0"/>
    <x v="8"/>
    <s v="Q4"/>
    <n v="2025"/>
  </r>
  <r>
    <s v="CAN0771"/>
    <s v="Paula"/>
    <s v="Morgan"/>
    <s v="Male"/>
    <n v="25"/>
    <s v="paula.morgan80@gmail.com"/>
    <n v="9249183349"/>
    <s v="Pune"/>
    <s v="Maharashtra"/>
    <s v="MCA"/>
    <n v="1"/>
    <n v="4.2"/>
    <n v="5.6"/>
    <s v="60 Days"/>
    <x v="2"/>
    <d v="2025-01-13T00:00:00"/>
    <x v="0"/>
    <x v="0"/>
    <x v="5"/>
    <s v="Q1"/>
    <n v="2025"/>
  </r>
  <r>
    <s v="CAN0772"/>
    <s v="Chase"/>
    <s v="Jensen"/>
    <s v="Male"/>
    <n v="43"/>
    <s v="chase.jensen69@gmail.com"/>
    <n v="9979913389"/>
    <s v="Delhi"/>
    <s v="Delhi"/>
    <s v="B.Com"/>
    <n v="7"/>
    <n v="11"/>
    <n v="15.3"/>
    <s v="15 Days"/>
    <x v="3"/>
    <d v="2025-08-28T00:00:00"/>
    <x v="0"/>
    <x v="2"/>
    <x v="3"/>
    <s v="Q3"/>
    <n v="2025"/>
  </r>
  <r>
    <s v="CAN0773"/>
    <s v="Raymond"/>
    <s v="Romero"/>
    <s v="Other"/>
    <n v="34"/>
    <s v="raymond.romero94@gmail.com"/>
    <n v="9311065559"/>
    <s v="Jaipur"/>
    <s v="Rajasthan"/>
    <s v="M.Sc"/>
    <n v="6.4"/>
    <n v="8.9"/>
    <n v="12.1"/>
    <s v="Immediate"/>
    <x v="4"/>
    <d v="2025-04-24T00:00:00"/>
    <x v="0"/>
    <x v="3"/>
    <x v="11"/>
    <s v="Q2"/>
    <n v="2025"/>
  </r>
  <r>
    <s v="CAN0774"/>
    <s v="Connie"/>
    <s v="Parker"/>
    <s v="Male"/>
    <n v="33"/>
    <s v="connie.parker26@gmail.com"/>
    <n v="9545262242"/>
    <s v="Gurugram"/>
    <s v="Haryana"/>
    <s v="M.Tech"/>
    <n v="13.8"/>
    <n v="25.8"/>
    <n v="36.5"/>
    <s v="90 Days"/>
    <x v="1"/>
    <d v="2025-07-07T00:00:00"/>
    <x v="0"/>
    <x v="3"/>
    <x v="7"/>
    <s v="Q3"/>
    <n v="2025"/>
  </r>
  <r>
    <s v="CAN0775"/>
    <s v="Janet"/>
    <s v="Willis"/>
    <s v="Male"/>
    <n v="37"/>
    <s v="janet.willis29@gmail.com"/>
    <n v="9173895910"/>
    <s v="Chennai"/>
    <s v="Tamil Nadu"/>
    <s v="BBA"/>
    <n v="1.8"/>
    <n v="5.9"/>
    <n v="7.7"/>
    <s v="30 Days"/>
    <x v="4"/>
    <d v="2025-07-31T00:00:00"/>
    <x v="0"/>
    <x v="2"/>
    <x v="7"/>
    <s v="Q3"/>
    <n v="2025"/>
  </r>
  <r>
    <s v="CAN0776"/>
    <s v="Andrea"/>
    <s v="Washington"/>
    <s v="Female"/>
    <n v="24"/>
    <s v="andrea.washington74@gmail.com"/>
    <n v="9548935728"/>
    <s v="Pune"/>
    <s v="Maharashtra"/>
    <s v="B.Tech"/>
    <n v="2.5"/>
    <n v="11"/>
    <n v="15.7"/>
    <s v="30 Days"/>
    <x v="1"/>
    <d v="2025-08-07T00:00:00"/>
    <x v="0"/>
    <x v="0"/>
    <x v="3"/>
    <s v="Q3"/>
    <n v="2025"/>
  </r>
  <r>
    <s v="CAN0777"/>
    <s v="Peter"/>
    <s v="Gray"/>
    <s v="Male"/>
    <n v="21"/>
    <s v="peter.gray50@gmail.com"/>
    <n v="9438669059"/>
    <s v="Delhi"/>
    <s v="Delhi"/>
    <s v="MBA"/>
    <n v="5.9"/>
    <n v="12.9"/>
    <n v="14.6"/>
    <s v="30 Days"/>
    <x v="1"/>
    <d v="2025-12-05T00:00:00"/>
    <x v="0"/>
    <x v="0"/>
    <x v="4"/>
    <s v="Q4"/>
    <n v="2025"/>
  </r>
  <r>
    <s v="CAN0778"/>
    <s v="Wayne"/>
    <s v="Davis"/>
    <s v="Male"/>
    <n v="27"/>
    <s v="wayne.davis21@gmail.com"/>
    <n v="9160461285"/>
    <s v="Gurugram"/>
    <s v="Haryana"/>
    <s v="B.Sc"/>
    <n v="2.5"/>
    <n v="10.199999999999999"/>
    <n v="11.7"/>
    <s v="15 Days"/>
    <x v="2"/>
    <d v="2025-06-02T00:00:00"/>
    <x v="0"/>
    <x v="1"/>
    <x v="0"/>
    <s v="Q2"/>
    <n v="2025"/>
  </r>
  <r>
    <s v="CAN0779"/>
    <s v="Kevin"/>
    <s v="Butler"/>
    <s v="Male"/>
    <n v="35"/>
    <s v="kevin.butler69@gmail.com"/>
    <n v="9539522687"/>
    <s v="Kolkata"/>
    <s v="West Bengal"/>
    <s v="B.Tech"/>
    <n v="10.1"/>
    <n v="22.4"/>
    <n v="30.5"/>
    <s v="15 Days"/>
    <x v="0"/>
    <d v="2025-02-17T00:00:00"/>
    <x v="0"/>
    <x v="3"/>
    <x v="1"/>
    <s v="Q1"/>
    <n v="2025"/>
  </r>
  <r>
    <s v="CAN0780"/>
    <s v="Kimberly"/>
    <s v="Vaughn"/>
    <s v="Male"/>
    <n v="39"/>
    <s v="kimberly.vaughn68@gmail.com"/>
    <n v="9980420363"/>
    <s v="Jaipur"/>
    <s v="Rajasthan"/>
    <s v="B.Sc"/>
    <n v="2.5"/>
    <n v="6.8"/>
    <n v="7.8"/>
    <s v="30 Days"/>
    <x v="5"/>
    <d v="2025-04-25T00:00:00"/>
    <x v="0"/>
    <x v="2"/>
    <x v="11"/>
    <s v="Q2"/>
    <n v="2025"/>
  </r>
  <r>
    <s v="CAN0781"/>
    <s v="Heidi"/>
    <s v="Newman"/>
    <s v="Male"/>
    <n v="29"/>
    <s v="heidi.newman11@gmail.com"/>
    <n v="9623011384"/>
    <s v="Gurugram"/>
    <s v="Haryana"/>
    <s v="B.Tech"/>
    <n v="1.7"/>
    <n v="7.3"/>
    <n v="10"/>
    <s v="30 Days"/>
    <x v="0"/>
    <d v="2025-08-17T00:00:00"/>
    <x v="0"/>
    <x v="1"/>
    <x v="3"/>
    <s v="Q3"/>
    <n v="2025"/>
  </r>
  <r>
    <s v="CAN0782"/>
    <s v="Terry"/>
    <s v="Mccoy"/>
    <s v="Other"/>
    <n v="24"/>
    <s v="terry.mccoy35@gmail.com"/>
    <n v="9299641013"/>
    <s v="Delhi"/>
    <s v="Delhi"/>
    <s v="B.Tech"/>
    <n v="3.6"/>
    <n v="7.1"/>
    <n v="9.9"/>
    <s v="30 Days"/>
    <x v="5"/>
    <d v="2025-06-27T00:00:00"/>
    <x v="0"/>
    <x v="0"/>
    <x v="0"/>
    <s v="Q2"/>
    <n v="2025"/>
  </r>
  <r>
    <s v="CAN0783"/>
    <s v="Suzanne"/>
    <s v="Williams"/>
    <s v="Female"/>
    <n v="36"/>
    <s v="suzanne.williams18@gmail.com"/>
    <n v="9739778727"/>
    <s v="Jaipur"/>
    <s v="Rajasthan"/>
    <s v="M.Tech"/>
    <n v="2.7"/>
    <n v="8.8000000000000007"/>
    <n v="11"/>
    <s v="30 Days"/>
    <x v="0"/>
    <d v="2025-07-05T00:00:00"/>
    <x v="0"/>
    <x v="2"/>
    <x v="7"/>
    <s v="Q3"/>
    <n v="2025"/>
  </r>
  <r>
    <s v="CAN0784"/>
    <s v="Diana"/>
    <s v="Davis"/>
    <s v="Female"/>
    <n v="32"/>
    <s v="diana.davis69@gmail.com"/>
    <n v="9353586117"/>
    <s v="Pune"/>
    <s v="Maharashtra"/>
    <s v="M.Sc"/>
    <n v="3"/>
    <n v="8.4"/>
    <n v="10.9"/>
    <s v="30 Days"/>
    <x v="1"/>
    <d v="2025-06-13T00:00:00"/>
    <x v="0"/>
    <x v="3"/>
    <x v="0"/>
    <s v="Q2"/>
    <n v="2025"/>
  </r>
  <r>
    <s v="CAN0785"/>
    <s v="David"/>
    <s v="Yu"/>
    <s v="Male"/>
    <n v="30"/>
    <s v="david.yu57@gmail.com"/>
    <n v="9841538287"/>
    <s v="Kochi"/>
    <s v="Kerala"/>
    <s v="BBA"/>
    <n v="0.5"/>
    <n v="9"/>
    <n v="12"/>
    <s v="30 Days"/>
    <x v="2"/>
    <d v="2025-10-21T00:00:00"/>
    <x v="0"/>
    <x v="1"/>
    <x v="8"/>
    <s v="Q4"/>
    <n v="2025"/>
  </r>
  <r>
    <s v="CAN0786"/>
    <s v="Heather"/>
    <s v="Chaney"/>
    <s v="Female"/>
    <n v="27"/>
    <s v="heather.chaney39@gmail.com"/>
    <n v="9323810429"/>
    <s v="Jaipur"/>
    <s v="Rajasthan"/>
    <s v="M.Tech"/>
    <n v="3.9"/>
    <n v="4.8"/>
    <n v="6.3"/>
    <s v="30 Days"/>
    <x v="2"/>
    <d v="2025-12-23T00:00:00"/>
    <x v="0"/>
    <x v="1"/>
    <x v="4"/>
    <s v="Q4"/>
    <n v="2025"/>
  </r>
  <r>
    <s v="CAN0787"/>
    <s v="Deborah"/>
    <s v="Moran"/>
    <s v="Other"/>
    <n v="24"/>
    <s v="deborah.moran49@gmail.com"/>
    <n v="9189091256"/>
    <s v="Kochi"/>
    <s v="Kerala"/>
    <s v="B.Tech"/>
    <n v="6.8"/>
    <n v="14.5"/>
    <n v="20.399999999999999"/>
    <s v="Immediate"/>
    <x v="1"/>
    <d v="2025-07-18T00:00:00"/>
    <x v="0"/>
    <x v="0"/>
    <x v="7"/>
    <s v="Q3"/>
    <n v="2025"/>
  </r>
  <r>
    <s v="CAN0788"/>
    <s v="William"/>
    <s v="Stephenson"/>
    <s v="Female"/>
    <n v="24"/>
    <s v="william.stephenson83@gmail.com"/>
    <n v="9438265607"/>
    <s v="Delhi"/>
    <s v="Delhi"/>
    <s v="B.Tech"/>
    <n v="0.2"/>
    <n v="10.5"/>
    <n v="14.5"/>
    <s v="30 Days"/>
    <x v="3"/>
    <d v="2025-09-08T00:00:00"/>
    <x v="0"/>
    <x v="0"/>
    <x v="2"/>
    <s v="Q3"/>
    <n v="2025"/>
  </r>
  <r>
    <s v="CAN0789"/>
    <s v="Amanda"/>
    <s v="Jenkins"/>
    <s v="Other"/>
    <n v="29"/>
    <s v="amanda.jenkins61@gmail.com"/>
    <n v="9928058724"/>
    <s v="Indore"/>
    <s v="Madhya Pradesh"/>
    <s v="B.Tech"/>
    <n v="1.4"/>
    <n v="10.4"/>
    <n v="13.3"/>
    <s v="Immediate"/>
    <x v="0"/>
    <d v="2025-12-07T00:00:00"/>
    <x v="0"/>
    <x v="1"/>
    <x v="4"/>
    <s v="Q4"/>
    <n v="2025"/>
  </r>
  <r>
    <s v="CAN0790"/>
    <s v="Erica"/>
    <s v="Dawson"/>
    <s v="Female"/>
    <n v="33"/>
    <s v="erica.dawson18@gmail.com"/>
    <n v="9783377877"/>
    <s v="Chandigarh"/>
    <s v="Chandigarh"/>
    <s v="BBA"/>
    <n v="0"/>
    <n v="9"/>
    <n v="12.3"/>
    <s v="30 Days"/>
    <x v="0"/>
    <d v="2025-10-01T00:00:00"/>
    <x v="0"/>
    <x v="3"/>
    <x v="8"/>
    <s v="Q4"/>
    <n v="2025"/>
  </r>
  <r>
    <s v="CAN0791"/>
    <s v="Erica"/>
    <s v="Bridges"/>
    <s v="Male"/>
    <n v="26"/>
    <s v="erica.bridges24@gmail.com"/>
    <n v="9882521394"/>
    <s v="Indore"/>
    <s v="Madhya Pradesh"/>
    <s v="B.Tech"/>
    <n v="6.1"/>
    <n v="13.1"/>
    <n v="16"/>
    <s v="15 Days"/>
    <x v="0"/>
    <d v="2025-06-28T00:00:00"/>
    <x v="0"/>
    <x v="1"/>
    <x v="0"/>
    <s v="Q2"/>
    <n v="2025"/>
  </r>
  <r>
    <s v="CAN0792"/>
    <s v="Chad"/>
    <s v="Brown"/>
    <s v="Female"/>
    <n v="30"/>
    <s v="chad.brown25@gmail.com"/>
    <n v="9720191218"/>
    <s v="Pune"/>
    <s v="Maharashtra"/>
    <s v="B.Tech"/>
    <n v="1.8"/>
    <n v="9.3000000000000007"/>
    <n v="12.7"/>
    <s v="Immediate"/>
    <x v="3"/>
    <d v="2025-03-17T00:00:00"/>
    <x v="0"/>
    <x v="1"/>
    <x v="6"/>
    <s v="Q1"/>
    <n v="2025"/>
  </r>
  <r>
    <s v="CAN0793"/>
    <s v="Mr."/>
    <s v="PhD"/>
    <s v="Female"/>
    <n v="28"/>
    <s v="mr..phd39@gmail.com"/>
    <n v="9370291403"/>
    <s v="Chandigarh"/>
    <s v="Chandigarh"/>
    <s v="BBA"/>
    <n v="7.8"/>
    <n v="17.7"/>
    <n v="21.4"/>
    <s v="60 Days"/>
    <x v="6"/>
    <d v="2025-05-26T00:00:00"/>
    <x v="0"/>
    <x v="1"/>
    <x v="10"/>
    <s v="Q2"/>
    <n v="2025"/>
  </r>
  <r>
    <s v="CAN0794"/>
    <s v="Larry"/>
    <s v="Garcia"/>
    <s v="Female"/>
    <n v="30"/>
    <s v="larry.garcia87@gmail.com"/>
    <n v="9846889227"/>
    <s v="Indore"/>
    <s v="Madhya Pradesh"/>
    <s v="M.Tech"/>
    <n v="3.1"/>
    <n v="7.8"/>
    <n v="9.4"/>
    <s v="90 Days"/>
    <x v="4"/>
    <d v="2025-01-07T00:00:00"/>
    <x v="0"/>
    <x v="1"/>
    <x v="5"/>
    <s v="Q1"/>
    <n v="2025"/>
  </r>
  <r>
    <s v="CAN0795"/>
    <s v="Emma"/>
    <s v="Castro"/>
    <s v="Male"/>
    <n v="36"/>
    <s v="emma.castro30@gmail.com"/>
    <n v="9444698973"/>
    <s v="Chandigarh"/>
    <s v="Chandigarh"/>
    <s v="B.Tech"/>
    <n v="3.6"/>
    <n v="4"/>
    <n v="5"/>
    <s v="60 Days"/>
    <x v="0"/>
    <d v="2025-11-28T00:00:00"/>
    <x v="0"/>
    <x v="2"/>
    <x v="9"/>
    <s v="Q4"/>
    <n v="2025"/>
  </r>
  <r>
    <s v="CAN0796"/>
    <s v="Jonathan"/>
    <s v="Proctor"/>
    <s v="Male"/>
    <n v="31"/>
    <s v="jonathan.proctor2@gmail.com"/>
    <n v="9650699285"/>
    <s v="Indore"/>
    <s v="Madhya Pradesh"/>
    <s v="CA"/>
    <n v="4.5"/>
    <n v="12"/>
    <n v="14"/>
    <s v="30 Days"/>
    <x v="1"/>
    <d v="2025-06-25T00:00:00"/>
    <x v="0"/>
    <x v="3"/>
    <x v="0"/>
    <s v="Q2"/>
    <n v="2025"/>
  </r>
  <r>
    <s v="CAN0797"/>
    <s v="Sharon"/>
    <s v="Horton"/>
    <s v="Male"/>
    <n v="26"/>
    <s v="sharon.horton24@gmail.com"/>
    <n v="9558716284"/>
    <s v="Chennai"/>
    <s v="Tamil Nadu"/>
    <s v="B.Tech"/>
    <n v="4.8"/>
    <n v="10.4"/>
    <n v="14.8"/>
    <s v="30 Days"/>
    <x v="2"/>
    <d v="2025-09-22T00:00:00"/>
    <x v="0"/>
    <x v="1"/>
    <x v="2"/>
    <s v="Q3"/>
    <n v="2025"/>
  </r>
  <r>
    <s v="CAN0798"/>
    <s v="Brian"/>
    <s v="Burnett"/>
    <s v="Female"/>
    <n v="31"/>
    <s v="brian.burnett93@gmail.com"/>
    <n v="9145626220"/>
    <s v="Gurugram"/>
    <s v="Haryana"/>
    <m/>
    <n v="3.6"/>
    <n v="10.199999999999999"/>
    <n v="13.5"/>
    <s v="15 Days"/>
    <x v="0"/>
    <d v="2025-09-13T00:00:00"/>
    <x v="0"/>
    <x v="3"/>
    <x v="2"/>
    <s v="Q3"/>
    <n v="2025"/>
  </r>
  <r>
    <s v="CAN0799"/>
    <s v="Jonathan"/>
    <s v="Sosa"/>
    <s v="Male"/>
    <n v="21"/>
    <s v="jonathan.sosa18@gmail.com"/>
    <n v="9362252095"/>
    <s v="Indore"/>
    <s v="Madhya Pradesh"/>
    <s v="B.Sc"/>
    <n v="1"/>
    <n v="12.6"/>
    <n v="17"/>
    <s v="15 Days"/>
    <x v="0"/>
    <d v="2025-05-07T00:00:00"/>
    <x v="0"/>
    <x v="0"/>
    <x v="10"/>
    <s v="Q2"/>
    <n v="2025"/>
  </r>
  <r>
    <s v="CAN0800"/>
    <s v="Dorothy"/>
    <s v="Page"/>
    <s v="Male"/>
    <n v="28"/>
    <s v="dorothy.page90@gmail.com"/>
    <n v="9662050056"/>
    <s v="Hyderabad"/>
    <s v="Telangana"/>
    <s v="B.Tech"/>
    <n v="6.6"/>
    <n v="7"/>
    <n v="9.4"/>
    <s v="30 Days"/>
    <x v="6"/>
    <d v="2025-07-11T00:00:00"/>
    <x v="0"/>
    <x v="1"/>
    <x v="7"/>
    <s v="Q3"/>
    <n v="2025"/>
  </r>
  <r>
    <s v="CAN0801"/>
    <s v="Eric"/>
    <s v="Warner"/>
    <s v="Female"/>
    <n v="31"/>
    <s v="eric.warner25@gmail.com"/>
    <n v="9814165909"/>
    <s v="Pune"/>
    <s v="Maharashtra"/>
    <s v="B.Sc"/>
    <n v="4.7"/>
    <m/>
    <n v="10.8"/>
    <s v="30 Days"/>
    <x v="0"/>
    <d v="2025-06-25T00:00:00"/>
    <x v="0"/>
    <x v="3"/>
    <x v="0"/>
    <s v="Q2"/>
    <n v="2025"/>
  </r>
  <r>
    <s v="CAN0802"/>
    <s v="Fred"/>
    <s v="Berger"/>
    <s v="Male"/>
    <n v="22"/>
    <s v="fred.berger36@gmail.com"/>
    <n v="9475024751"/>
    <s v="Mumbai"/>
    <s v="Maharashtra"/>
    <s v="BBA"/>
    <n v="0.4"/>
    <n v="4"/>
    <n v="5.2"/>
    <s v="60 Days"/>
    <x v="4"/>
    <d v="2025-11-20T00:00:00"/>
    <x v="0"/>
    <x v="0"/>
    <x v="9"/>
    <s v="Q4"/>
    <n v="2025"/>
  </r>
  <r>
    <s v="CAN0803"/>
    <s v="Ann"/>
    <s v="Dean"/>
    <s v="Male"/>
    <n v="32"/>
    <s v="ann.dean80@gmail.com"/>
    <n v="9259566882"/>
    <s v="Kochi"/>
    <s v="Kerala"/>
    <s v="B.Com"/>
    <n v="17.399999999999999"/>
    <n v="23.4"/>
    <n v="28.6"/>
    <s v="30 Days"/>
    <x v="2"/>
    <d v="2025-02-10T00:00:00"/>
    <x v="0"/>
    <x v="3"/>
    <x v="1"/>
    <s v="Q1"/>
    <n v="2025"/>
  </r>
  <r>
    <s v="CAN0804"/>
    <s v="Brenda"/>
    <s v="West"/>
    <s v="Female"/>
    <n v="39"/>
    <s v="brenda.west44@gmail.com"/>
    <n v="9943172856"/>
    <s v="Noida"/>
    <s v="Uttar Pradesh"/>
    <m/>
    <n v="5.4"/>
    <n v="15.2"/>
    <n v="20.9"/>
    <s v="Immediate"/>
    <x v="2"/>
    <d v="2025-09-08T00:00:00"/>
    <x v="0"/>
    <x v="2"/>
    <x v="2"/>
    <s v="Q3"/>
    <n v="2025"/>
  </r>
  <r>
    <s v="CAN0805"/>
    <s v="Justin"/>
    <s v="Haynes"/>
    <s v="Male"/>
    <n v="24"/>
    <s v="justin.haynes70@gmail.com"/>
    <n v="9639688539"/>
    <s v="Mumbai"/>
    <s v="Maharashtra"/>
    <s v="MBA"/>
    <n v="12.6"/>
    <n v="23.6"/>
    <n v="30"/>
    <s v="90 Days"/>
    <x v="0"/>
    <d v="2025-02-21T00:00:00"/>
    <x v="0"/>
    <x v="0"/>
    <x v="1"/>
    <s v="Q1"/>
    <n v="2025"/>
  </r>
  <r>
    <s v="CAN0806"/>
    <s v="Eric"/>
    <s v="Taylor"/>
    <s v="Male"/>
    <n v="36"/>
    <s v="eric.taylor20@gmail.com"/>
    <n v="9209905209"/>
    <s v="Hyderabad"/>
    <s v="Telangana"/>
    <s v="MBA"/>
    <n v="1.5"/>
    <n v="7.7"/>
    <n v="10.5"/>
    <s v="15 Days"/>
    <x v="5"/>
    <d v="2025-07-30T00:00:00"/>
    <x v="0"/>
    <x v="2"/>
    <x v="7"/>
    <s v="Q3"/>
    <n v="2025"/>
  </r>
  <r>
    <s v="CAN0807"/>
    <s v="Nicole"/>
    <s v="Vaughan"/>
    <s v="Male"/>
    <n v="37"/>
    <s v="nicole.vaughan70@gmail.com"/>
    <n v="9146553386"/>
    <s v="Chennai"/>
    <s v="Tamil Nadu"/>
    <s v="MCA"/>
    <n v="1.9"/>
    <n v="4.9000000000000004"/>
    <n v="6.1"/>
    <s v="60 Days"/>
    <x v="2"/>
    <d v="2025-06-25T00:00:00"/>
    <x v="0"/>
    <x v="2"/>
    <x v="0"/>
    <s v="Q2"/>
    <n v="2025"/>
  </r>
  <r>
    <s v="CAN0808"/>
    <s v="Michelle"/>
    <s v="Adams"/>
    <s v="Male"/>
    <n v="39"/>
    <s v="michelle.adams70@gmail.com"/>
    <n v="9992014242"/>
    <s v="Bengaluru"/>
    <s v="Karnataka"/>
    <s v="B.Tech"/>
    <n v="4.0999999999999996"/>
    <n v="9.6999999999999993"/>
    <n v="11.4"/>
    <s v="15 Days"/>
    <x v="2"/>
    <d v="2025-10-25T00:00:00"/>
    <x v="0"/>
    <x v="2"/>
    <x v="8"/>
    <s v="Q4"/>
    <n v="2025"/>
  </r>
  <r>
    <s v="CAN0809"/>
    <s v="Jack"/>
    <s v="Jackson"/>
    <s v="Male"/>
    <n v="27"/>
    <s v="jack.jackson94@gmail.com"/>
    <n v="9168200132"/>
    <s v="Pune"/>
    <s v="Maharashtra"/>
    <m/>
    <n v="14.7"/>
    <n v="19.7"/>
    <n v="26.6"/>
    <s v="30 Days"/>
    <x v="1"/>
    <d v="2025-01-09T00:00:00"/>
    <x v="0"/>
    <x v="1"/>
    <x v="5"/>
    <s v="Q1"/>
    <n v="2025"/>
  </r>
  <r>
    <s v="CAN0810"/>
    <s v="Claire"/>
    <s v="Atkins"/>
    <s v="Male"/>
    <n v="27"/>
    <s v="claire.atkins63@gmail.com"/>
    <n v="9570876624"/>
    <s v="Ahmedabad"/>
    <s v="Gujarat"/>
    <s v="MBA"/>
    <n v="1.9"/>
    <n v="8.5"/>
    <n v="10.199999999999999"/>
    <s v="60 Days"/>
    <x v="2"/>
    <d v="2025-10-17T00:00:00"/>
    <x v="0"/>
    <x v="1"/>
    <x v="8"/>
    <s v="Q4"/>
    <n v="2025"/>
  </r>
  <r>
    <s v="CAN0811"/>
    <s v="Samantha"/>
    <s v="Carter"/>
    <s v="Male"/>
    <n v="23"/>
    <s v="samantha.carter6@gmail.com"/>
    <n v="9390831875"/>
    <s v="Pune"/>
    <s v="Maharashtra"/>
    <s v="BBA"/>
    <n v="3.2"/>
    <n v="6.1"/>
    <n v="7.2"/>
    <s v="60 Days"/>
    <x v="0"/>
    <d v="2025-01-15T00:00:00"/>
    <x v="0"/>
    <x v="0"/>
    <x v="5"/>
    <s v="Q1"/>
    <n v="2025"/>
  </r>
  <r>
    <s v="CAN0812"/>
    <s v="Christopher"/>
    <s v="Sheppard"/>
    <s v="Female"/>
    <n v="31"/>
    <s v="christopher.sheppard86@gmail.com"/>
    <n v="9824444734"/>
    <s v="Ahmedabad"/>
    <s v="Gujarat"/>
    <s v="B.Sc"/>
    <n v="4.0999999999999996"/>
    <n v="10.4"/>
    <n v="13.3"/>
    <s v="30 Days"/>
    <x v="6"/>
    <d v="2025-08-11T00:00:00"/>
    <x v="0"/>
    <x v="3"/>
    <x v="3"/>
    <s v="Q3"/>
    <n v="2025"/>
  </r>
  <r>
    <s v="CAN0813"/>
    <s v="Amber"/>
    <s v="Martinez"/>
    <s v="Male"/>
    <n v="25"/>
    <s v="amber.martinez8@gmail.com"/>
    <n v="9643357688"/>
    <s v="Mumbai"/>
    <s v="Maharashtra"/>
    <s v="BBA"/>
    <n v="9.5"/>
    <n v="12.7"/>
    <n v="16.7"/>
    <s v="60 Days"/>
    <x v="6"/>
    <d v="2025-07-27T00:00:00"/>
    <x v="0"/>
    <x v="0"/>
    <x v="7"/>
    <s v="Q3"/>
    <n v="2025"/>
  </r>
  <r>
    <s v="CAN0814"/>
    <s v="Brenda"/>
    <s v="Gonzalez"/>
    <s v="Female"/>
    <n v="30"/>
    <s v="brenda.gonzalez64@gmail.com"/>
    <n v="9927986348"/>
    <s v="Delhi"/>
    <s v="Delhi"/>
    <s v="B.Tech"/>
    <n v="0.6"/>
    <n v="6.3"/>
    <n v="8.6999999999999993"/>
    <m/>
    <x v="6"/>
    <d v="2025-09-15T00:00:00"/>
    <x v="0"/>
    <x v="1"/>
    <x v="2"/>
    <s v="Q3"/>
    <n v="2025"/>
  </r>
  <r>
    <s v="CAN0815"/>
    <s v="Christopher"/>
    <s v="Mills"/>
    <s v="Female"/>
    <n v="29"/>
    <s v="christopher.mills54@gmail.com"/>
    <n v="9398510751"/>
    <s v="Chennai"/>
    <s v="Tamil Nadu"/>
    <s v="B.Tech"/>
    <n v="1.3"/>
    <n v="8"/>
    <n v="9.3000000000000007"/>
    <s v="60 Days"/>
    <x v="2"/>
    <d v="2025-02-20T00:00:00"/>
    <x v="0"/>
    <x v="1"/>
    <x v="1"/>
    <s v="Q1"/>
    <n v="2025"/>
  </r>
  <r>
    <s v="CAN0816"/>
    <s v="Jeffrey"/>
    <s v="Lee"/>
    <s v="Female"/>
    <n v="32"/>
    <s v="jeffrey.lee66@gmail.com"/>
    <n v="9674309631"/>
    <s v="Kolkata"/>
    <s v="West Bengal"/>
    <s v="B.Tech"/>
    <n v="4.2"/>
    <n v="14.2"/>
    <n v="18.3"/>
    <s v="Immediate"/>
    <x v="0"/>
    <d v="2025-04-29T00:00:00"/>
    <x v="0"/>
    <x v="3"/>
    <x v="11"/>
    <s v="Q2"/>
    <n v="2025"/>
  </r>
  <r>
    <s v="CAN0817"/>
    <s v="John"/>
    <s v="Rios"/>
    <s v="Male"/>
    <n v="26"/>
    <s v="john.rios16@gmail.com"/>
    <n v="9150547036"/>
    <s v="Noida"/>
    <s v="Uttar Pradesh"/>
    <s v="B.Tech"/>
    <n v="3.2"/>
    <n v="13.1"/>
    <n v="15.1"/>
    <s v="30 Days"/>
    <x v="6"/>
    <d v="2025-12-03T00:00:00"/>
    <x v="0"/>
    <x v="1"/>
    <x v="4"/>
    <s v="Q4"/>
    <n v="2025"/>
  </r>
  <r>
    <s v="CAN0818"/>
    <s v="Ashley"/>
    <s v="Davis"/>
    <s v="Female"/>
    <n v="29"/>
    <s v="ashley.davis94@gmail.com"/>
    <n v="9326502151"/>
    <s v="Chandigarh"/>
    <s v="Chandigarh"/>
    <s v="B.Com"/>
    <n v="0.5"/>
    <n v="9.1"/>
    <n v="12.4"/>
    <s v="30 Days"/>
    <x v="0"/>
    <d v="2025-12-15T00:00:00"/>
    <x v="0"/>
    <x v="1"/>
    <x v="4"/>
    <s v="Q4"/>
    <n v="2025"/>
  </r>
  <r>
    <s v="CAN0819"/>
    <s v="Johnathan"/>
    <s v="Odonnell"/>
    <s v="Female"/>
    <n v="37"/>
    <s v="johnathan.odonnell61@gmail.com"/>
    <n v="9280132681"/>
    <s v="Bengaluru"/>
    <s v="Karnataka"/>
    <s v="B.Com"/>
    <n v="0.7"/>
    <n v="3.9"/>
    <n v="5.4"/>
    <s v="60 Days"/>
    <x v="4"/>
    <d v="2025-03-02T00:00:00"/>
    <x v="0"/>
    <x v="2"/>
    <x v="6"/>
    <s v="Q1"/>
    <n v="2025"/>
  </r>
  <r>
    <s v="CAN0820"/>
    <s v="Brittney"/>
    <s v="Moore"/>
    <s v="Female"/>
    <n v="27"/>
    <s v="brittney.moore57@gmail.com"/>
    <n v="9214490776"/>
    <s v="Mumbai"/>
    <s v="Maharashtra"/>
    <m/>
    <n v="3.6"/>
    <n v="11"/>
    <n v="15"/>
    <s v="30 Days"/>
    <x v="3"/>
    <d v="2025-09-22T00:00:00"/>
    <x v="0"/>
    <x v="1"/>
    <x v="2"/>
    <s v="Q3"/>
    <n v="2025"/>
  </r>
  <r>
    <s v="CAN0821"/>
    <s v="Cole"/>
    <s v="Herrera"/>
    <s v="Female"/>
    <n v="31"/>
    <s v="cole.herrera19@gmail.com"/>
    <n v="9834490030"/>
    <s v="Pune"/>
    <s v="Maharashtra"/>
    <m/>
    <n v="4"/>
    <n v="16.899999999999999"/>
    <n v="20.399999999999999"/>
    <s v="Immediate"/>
    <x v="1"/>
    <d v="2025-08-04T00:00:00"/>
    <x v="0"/>
    <x v="3"/>
    <x v="3"/>
    <s v="Q3"/>
    <n v="2025"/>
  </r>
  <r>
    <s v="CAN0822"/>
    <s v="Joseph"/>
    <s v="Bennett"/>
    <s v="Female"/>
    <n v="32"/>
    <s v="joseph.bennett17@gmail.com"/>
    <n v="9453983433"/>
    <s v="Noida"/>
    <s v="Uttar Pradesh"/>
    <s v="M.Tech"/>
    <n v="2.4"/>
    <n v="8.8000000000000007"/>
    <n v="10.1"/>
    <m/>
    <x v="1"/>
    <d v="2025-09-22T00:00:00"/>
    <x v="0"/>
    <x v="3"/>
    <x v="2"/>
    <s v="Q3"/>
    <n v="2025"/>
  </r>
  <r>
    <s v="CAN0823"/>
    <s v="Megan"/>
    <s v="Scott"/>
    <s v="Male"/>
    <n v="29"/>
    <s v="megan.scott55@gmail.com"/>
    <n v="9380496672"/>
    <s v="Gurugram"/>
    <s v="Haryana"/>
    <s v="B.Sc"/>
    <n v="2.6"/>
    <n v="9.4"/>
    <n v="12.4"/>
    <s v="30 Days"/>
    <x v="2"/>
    <d v="2025-02-28T00:00:00"/>
    <x v="0"/>
    <x v="1"/>
    <x v="1"/>
    <s v="Q1"/>
    <n v="2025"/>
  </r>
  <r>
    <s v="CAN0824"/>
    <s v="Theresa"/>
    <s v="Reese"/>
    <s v="Male"/>
    <n v="31"/>
    <s v="theresa.reese58@gmail.com"/>
    <n v="9287900115"/>
    <s v="Ahmedabad"/>
    <s v="Gujarat"/>
    <s v="B.Tech"/>
    <n v="1.6"/>
    <m/>
    <n v="4"/>
    <s v="30 Days"/>
    <x v="0"/>
    <d v="2025-01-27T00:00:00"/>
    <x v="0"/>
    <x v="3"/>
    <x v="5"/>
    <s v="Q1"/>
    <n v="2025"/>
  </r>
  <r>
    <s v="CAN0825"/>
    <s v="Brian"/>
    <s v="Davenport"/>
    <s v="Female"/>
    <n v="21"/>
    <s v="brian.davenport37@gmail.com"/>
    <n v="9599531008"/>
    <s v="Pune"/>
    <s v="Maharashtra"/>
    <s v="B.Com"/>
    <n v="4"/>
    <n v="8"/>
    <n v="9.1"/>
    <s v="60 Days"/>
    <x v="3"/>
    <d v="2025-05-04T00:00:00"/>
    <x v="0"/>
    <x v="0"/>
    <x v="10"/>
    <s v="Q2"/>
    <n v="2025"/>
  </r>
  <r>
    <s v="CAN0826"/>
    <s v="Holly"/>
    <s v="Hernandez"/>
    <s v="Male"/>
    <n v="32"/>
    <s v="holly.hernandez90@gmail.com"/>
    <n v="9955477567"/>
    <s v="Indore"/>
    <s v="Madhya Pradesh"/>
    <s v="BBA"/>
    <n v="1.4"/>
    <n v="10.9"/>
    <n v="13.6"/>
    <s v="15 Days"/>
    <x v="3"/>
    <d v="2025-07-07T00:00:00"/>
    <x v="0"/>
    <x v="3"/>
    <x v="7"/>
    <s v="Q3"/>
    <n v="2025"/>
  </r>
  <r>
    <s v="CAN0827"/>
    <s v="Brian"/>
    <s v="Mccann"/>
    <s v="Male"/>
    <n v="39"/>
    <s v="brian.mccann76@gmail.com"/>
    <n v="9977725381"/>
    <s v="Jaipur"/>
    <s v="Rajasthan"/>
    <s v="MBA"/>
    <n v="0"/>
    <n v="8.3000000000000007"/>
    <n v="10.6"/>
    <s v="Immediate"/>
    <x v="0"/>
    <d v="2025-04-21T00:00:00"/>
    <x v="0"/>
    <x v="2"/>
    <x v="11"/>
    <s v="Q2"/>
    <n v="2025"/>
  </r>
  <r>
    <s v="CAN0828"/>
    <s v="Madison"/>
    <s v="Bryan"/>
    <s v="Male"/>
    <n v="28"/>
    <s v="madison.bryan57@gmail.com"/>
    <n v="9814740179"/>
    <s v="Ahmedabad"/>
    <s v="Gujarat"/>
    <s v="BBA"/>
    <n v="2.1"/>
    <n v="9.3000000000000007"/>
    <n v="13.2"/>
    <s v="90 Days"/>
    <x v="1"/>
    <d v="2025-02-21T00:00:00"/>
    <x v="0"/>
    <x v="1"/>
    <x v="1"/>
    <s v="Q1"/>
    <n v="2025"/>
  </r>
  <r>
    <s v="CAN0829"/>
    <s v="Stephanie"/>
    <s v="Pittman"/>
    <s v="Female"/>
    <n v="32"/>
    <s v="stephanie.pittman2@gmail.com"/>
    <n v="9551979889"/>
    <s v="Noida"/>
    <s v="Uttar Pradesh"/>
    <s v="B.Sc"/>
    <n v="5.4"/>
    <n v="13.5"/>
    <n v="19.3"/>
    <s v="30 Days"/>
    <x v="0"/>
    <d v="2025-04-28T00:00:00"/>
    <x v="0"/>
    <x v="3"/>
    <x v="11"/>
    <s v="Q2"/>
    <n v="2025"/>
  </r>
  <r>
    <s v="CAN0830"/>
    <s v="Martin"/>
    <s v="Walker"/>
    <s v="Male"/>
    <n v="34"/>
    <s v="martin.walker28@gmail.com"/>
    <n v="9715175004"/>
    <s v="Indore"/>
    <s v="Madhya Pradesh"/>
    <s v="B.Com"/>
    <n v="2"/>
    <n v="10.1"/>
    <n v="12.8"/>
    <s v="60 Days"/>
    <x v="0"/>
    <d v="2025-09-23T00:00:00"/>
    <x v="0"/>
    <x v="3"/>
    <x v="2"/>
    <s v="Q3"/>
    <n v="2025"/>
  </r>
  <r>
    <s v="CAN0831"/>
    <s v="Andrew"/>
    <s v="Collins"/>
    <s v="Male"/>
    <n v="31"/>
    <s v="andrew.collins94@gmail.com"/>
    <n v="9170091811"/>
    <s v="Gurugram"/>
    <s v="Haryana"/>
    <s v="M.Sc"/>
    <n v="8.1"/>
    <n v="15.4"/>
    <n v="17.3"/>
    <s v="15 Days"/>
    <x v="6"/>
    <d v="2025-03-31T00:00:00"/>
    <x v="0"/>
    <x v="3"/>
    <x v="6"/>
    <s v="Q1"/>
    <n v="2025"/>
  </r>
  <r>
    <s v="CAN0832"/>
    <s v="Vanessa"/>
    <s v="Green"/>
    <s v="Female"/>
    <n v="33"/>
    <s v="vanessa.green44@gmail.com"/>
    <n v="9136416089"/>
    <s v="Delhi"/>
    <s v="Delhi"/>
    <s v="B.Tech"/>
    <n v="0.9"/>
    <n v="4.2"/>
    <n v="5.5"/>
    <s v="15 Days"/>
    <x v="2"/>
    <d v="2025-11-13T00:00:00"/>
    <x v="0"/>
    <x v="3"/>
    <x v="9"/>
    <s v="Q4"/>
    <n v="2025"/>
  </r>
  <r>
    <s v="CAN0833"/>
    <s v="Meghan"/>
    <s v="Long"/>
    <s v="Male"/>
    <n v="36"/>
    <s v="meghan.long66@gmail.com"/>
    <n v="9387183733"/>
    <s v="Chennai"/>
    <s v="Tamil Nadu"/>
    <s v="MCA"/>
    <n v="8.6999999999999993"/>
    <n v="12.3"/>
    <n v="16.600000000000001"/>
    <s v="30 Days"/>
    <x v="5"/>
    <d v="2025-05-31T00:00:00"/>
    <x v="0"/>
    <x v="2"/>
    <x v="10"/>
    <s v="Q2"/>
    <n v="2025"/>
  </r>
  <r>
    <s v="CAN0834"/>
    <s v="Jasmine"/>
    <s v="Fisher"/>
    <s v="Male"/>
    <n v="31"/>
    <s v="jasmine.fisher57@gmail.com"/>
    <n v="9328381918"/>
    <s v="Indore"/>
    <s v="Madhya Pradesh"/>
    <s v="M.Tech"/>
    <n v="7.7"/>
    <n v="21.8"/>
    <n v="28.6"/>
    <s v="30 Days"/>
    <x v="6"/>
    <d v="2025-06-20T00:00:00"/>
    <x v="0"/>
    <x v="3"/>
    <x v="0"/>
    <s v="Q2"/>
    <n v="2025"/>
  </r>
  <r>
    <s v="CAN0835"/>
    <s v="William"/>
    <s v="MD"/>
    <s v="Male"/>
    <n v="21"/>
    <s v="william.md98@gmail.com"/>
    <n v="9427448802"/>
    <s v="Noida"/>
    <s v="Uttar Pradesh"/>
    <s v="M.Sc"/>
    <n v="2.9"/>
    <n v="12"/>
    <n v="17.3"/>
    <s v="15 Days"/>
    <x v="2"/>
    <d v="2025-01-25T00:00:00"/>
    <x v="0"/>
    <x v="0"/>
    <x v="5"/>
    <s v="Q1"/>
    <n v="2025"/>
  </r>
  <r>
    <s v="CAN0836"/>
    <s v="Melissa"/>
    <s v="Morton"/>
    <s v="Male"/>
    <n v="23"/>
    <s v="melissa.morton83@gmail.com"/>
    <n v="9369131122"/>
    <s v="Pune"/>
    <s v="Maharashtra"/>
    <s v="CA"/>
    <n v="16.7"/>
    <n v="24.2"/>
    <n v="31.3"/>
    <s v="30 Days"/>
    <x v="2"/>
    <d v="2025-05-20T00:00:00"/>
    <x v="0"/>
    <x v="0"/>
    <x v="10"/>
    <s v="Q2"/>
    <n v="2025"/>
  </r>
  <r>
    <s v="CAN0837"/>
    <s v="David"/>
    <s v="Harris"/>
    <s v="Female"/>
    <n v="25"/>
    <s v="david.harris17@gmail.com"/>
    <n v="9486086544"/>
    <s v="Jaipur"/>
    <s v="Rajasthan"/>
    <s v="M.Sc"/>
    <n v="1.8"/>
    <n v="12.5"/>
    <n v="16.100000000000001"/>
    <s v="30 Days"/>
    <x v="0"/>
    <d v="2025-11-26T00:00:00"/>
    <x v="0"/>
    <x v="0"/>
    <x v="9"/>
    <s v="Q4"/>
    <n v="2025"/>
  </r>
  <r>
    <s v="CAN0838"/>
    <s v="Sarah"/>
    <s v="Anderson"/>
    <s v="Male"/>
    <n v="30"/>
    <s v="sarah.anderson88@gmail.com"/>
    <n v="9926634979"/>
    <s v="Kolkata"/>
    <s v="West Bengal"/>
    <s v="B.Sc"/>
    <n v="9"/>
    <n v="16.399999999999999"/>
    <n v="22"/>
    <s v="30 Days"/>
    <x v="0"/>
    <d v="2025-05-14T00:00:00"/>
    <x v="0"/>
    <x v="1"/>
    <x v="10"/>
    <s v="Q2"/>
    <n v="2025"/>
  </r>
  <r>
    <s v="CAN0839"/>
    <s v="Heather"/>
    <s v="Baker"/>
    <s v="Male"/>
    <n v="22"/>
    <s v="heather.baker14@gmail.com"/>
    <n v="9983537296"/>
    <s v="Chennai"/>
    <s v="Tamil Nadu"/>
    <s v="M.Tech"/>
    <n v="8.3000000000000007"/>
    <n v="15.4"/>
    <n v="18.899999999999999"/>
    <s v="15 Days"/>
    <x v="2"/>
    <d v="2025-05-24T00:00:00"/>
    <x v="0"/>
    <x v="0"/>
    <x v="10"/>
    <s v="Q2"/>
    <n v="2025"/>
  </r>
  <r>
    <s v="CAN0840"/>
    <s v="Lisa"/>
    <s v="Carter"/>
    <s v="Female"/>
    <n v="26"/>
    <s v="lisa.carter87@gmail.com"/>
    <n v="9948995695"/>
    <s v="Jaipur"/>
    <s v="Rajasthan"/>
    <s v="MBA"/>
    <n v="0.5"/>
    <n v="2.7"/>
    <n v="3.6"/>
    <s v="60 Days"/>
    <x v="5"/>
    <d v="2025-02-28T00:00:00"/>
    <x v="0"/>
    <x v="1"/>
    <x v="1"/>
    <s v="Q1"/>
    <n v="2025"/>
  </r>
  <r>
    <s v="CAN0841"/>
    <s v="Christopher"/>
    <s v="Henry"/>
    <s v="Female"/>
    <n v="35"/>
    <s v="christopher.henry3@gmail.com"/>
    <n v="9276420535"/>
    <s v="Ahmedabad"/>
    <s v="Gujarat"/>
    <s v="B.Sc"/>
    <n v="0.6"/>
    <n v="2.5"/>
    <n v="3.2"/>
    <s v="60 Days"/>
    <x v="1"/>
    <d v="2025-08-09T00:00:00"/>
    <x v="0"/>
    <x v="3"/>
    <x v="3"/>
    <s v="Q3"/>
    <n v="2025"/>
  </r>
  <r>
    <s v="CAN0842"/>
    <s v="Tammy"/>
    <s v="Jackson"/>
    <s v="Male"/>
    <n v="38"/>
    <s v="tammy.jackson63@gmail.com"/>
    <n v="9684418783"/>
    <s v="Chandigarh"/>
    <s v="Chandigarh"/>
    <s v="M.Sc"/>
    <n v="1.4"/>
    <n v="10"/>
    <n v="12.7"/>
    <s v="60 Days"/>
    <x v="2"/>
    <d v="2025-03-02T00:00:00"/>
    <x v="0"/>
    <x v="2"/>
    <x v="6"/>
    <s v="Q1"/>
    <n v="2025"/>
  </r>
  <r>
    <s v="CAN0843"/>
    <s v="Rhonda"/>
    <s v="Herrera"/>
    <s v="Male"/>
    <n v="30"/>
    <s v="rhonda.herrera46@gmail.com"/>
    <n v="9940060734"/>
    <s v="Indore"/>
    <s v="Madhya Pradesh"/>
    <s v="M.Tech"/>
    <n v="7.5"/>
    <n v="16"/>
    <n v="21.7"/>
    <m/>
    <x v="4"/>
    <d v="2025-11-06T00:00:00"/>
    <x v="0"/>
    <x v="1"/>
    <x v="9"/>
    <s v="Q4"/>
    <n v="2025"/>
  </r>
  <r>
    <s v="CAN0844"/>
    <s v="Jennifer"/>
    <s v="Gordon"/>
    <s v="Female"/>
    <n v="21"/>
    <s v="jennifer.gordon88@gmail.com"/>
    <n v="9447841452"/>
    <s v="Chennai"/>
    <s v="Tamil Nadu"/>
    <s v="B.Sc"/>
    <n v="0.9"/>
    <n v="8"/>
    <n v="10.6"/>
    <s v="15 Days"/>
    <x v="3"/>
    <d v="2025-02-13T00:00:00"/>
    <x v="0"/>
    <x v="0"/>
    <x v="1"/>
    <s v="Q1"/>
    <n v="2025"/>
  </r>
  <r>
    <s v="CAN0845"/>
    <s v="William"/>
    <s v="Mckenzie"/>
    <s v="Female"/>
    <n v="27"/>
    <s v="william.mckenzie45@gmail.com"/>
    <n v="9716751846"/>
    <s v="Pune"/>
    <s v="Maharashtra"/>
    <s v="M.Tech"/>
    <n v="0.3"/>
    <n v="11.7"/>
    <n v="14.4"/>
    <s v="15 Days"/>
    <x v="1"/>
    <d v="2025-11-19T00:00:00"/>
    <x v="0"/>
    <x v="1"/>
    <x v="9"/>
    <s v="Q4"/>
    <n v="2025"/>
  </r>
  <r>
    <s v="CAN0846"/>
    <s v="Jesse"/>
    <s v="Anderson"/>
    <s v="Female"/>
    <n v="30"/>
    <s v="jesse.anderson67@gmail.com"/>
    <n v="9648304435"/>
    <s v="Chennai"/>
    <s v="Tamil Nadu"/>
    <s v="B.Tech"/>
    <n v="4"/>
    <n v="9.5"/>
    <n v="13.4"/>
    <s v="Immediate"/>
    <x v="0"/>
    <d v="2025-05-04T00:00:00"/>
    <x v="0"/>
    <x v="1"/>
    <x v="10"/>
    <s v="Q2"/>
    <n v="2025"/>
  </r>
  <r>
    <s v="CAN0847"/>
    <s v="Ashley"/>
    <s v="Roberts"/>
    <s v="Male"/>
    <n v="26"/>
    <s v="ashley.roberts66@gmail.com"/>
    <n v="9611484505"/>
    <s v="Pune"/>
    <s v="Maharashtra"/>
    <s v="M.Tech"/>
    <n v="2.2999999999999998"/>
    <n v="7.9"/>
    <n v="10.7"/>
    <s v="60 Days"/>
    <x v="2"/>
    <d v="2025-01-22T00:00:00"/>
    <x v="0"/>
    <x v="1"/>
    <x v="5"/>
    <s v="Q1"/>
    <n v="2025"/>
  </r>
  <r>
    <s v="CAN0848"/>
    <s v="Sheila"/>
    <s v="Lambert"/>
    <s v="Male"/>
    <n v="32"/>
    <s v="sheila.lambert12@gmail.com"/>
    <n v="9119824232"/>
    <s v="Pune"/>
    <s v="Maharashtra"/>
    <s v="B.Sc"/>
    <n v="1.2"/>
    <n v="5.8"/>
    <n v="6.8"/>
    <s v="30 Days"/>
    <x v="3"/>
    <d v="2025-03-07T00:00:00"/>
    <x v="0"/>
    <x v="3"/>
    <x v="6"/>
    <s v="Q1"/>
    <n v="2025"/>
  </r>
  <r>
    <s v="CAN0849"/>
    <s v="Kayla"/>
    <s v="Bennett"/>
    <s v="Male"/>
    <n v="37"/>
    <s v="kayla.bennett89@gmail.com"/>
    <n v="9216456038"/>
    <s v="Kolkata"/>
    <s v="West Bengal"/>
    <s v="MBA"/>
    <n v="0.8"/>
    <n v="4.0999999999999996"/>
    <n v="5.7"/>
    <s v="30 Days"/>
    <x v="0"/>
    <d v="2025-12-04T00:00:00"/>
    <x v="0"/>
    <x v="2"/>
    <x v="4"/>
    <s v="Q4"/>
    <n v="2025"/>
  </r>
  <r>
    <s v="CAN0850"/>
    <s v="Christopher"/>
    <s v="Adams"/>
    <s v="Male"/>
    <n v="34"/>
    <s v="christopher.adams23@gmail.com"/>
    <n v="9243660477"/>
    <s v="Delhi"/>
    <s v="Delhi"/>
    <s v="B.Tech"/>
    <n v="4.0999999999999996"/>
    <n v="14.7"/>
    <n v="18.399999999999999"/>
    <s v="Immediate"/>
    <x v="2"/>
    <d v="2025-10-10T00:00:00"/>
    <x v="0"/>
    <x v="3"/>
    <x v="8"/>
    <s v="Q4"/>
    <n v="2025"/>
  </r>
  <r>
    <s v="CAN0851"/>
    <s v="Jessica"/>
    <s v="Hunt"/>
    <s v="Male"/>
    <n v="32"/>
    <s v="jessica.hunt31@gmail.com"/>
    <n v="9533522203"/>
    <s v="Gurugram"/>
    <s v="Haryana"/>
    <s v="M.Sc"/>
    <n v="1.8"/>
    <n v="9.9"/>
    <n v="11.4"/>
    <m/>
    <x v="6"/>
    <d v="2025-02-18T00:00:00"/>
    <x v="0"/>
    <x v="3"/>
    <x v="1"/>
    <s v="Q1"/>
    <n v="2025"/>
  </r>
  <r>
    <s v="CAN0852"/>
    <s v="Erika"/>
    <s v="Smith"/>
    <s v="Female"/>
    <n v="29"/>
    <s v="erika.smith69@gmail.com"/>
    <n v="9694919521"/>
    <s v="Chandigarh"/>
    <s v="Chandigarh"/>
    <s v="M.Tech"/>
    <n v="0.4"/>
    <n v="9.4"/>
    <n v="13.2"/>
    <s v="30 Days"/>
    <x v="1"/>
    <d v="2025-03-19T00:00:00"/>
    <x v="0"/>
    <x v="1"/>
    <x v="6"/>
    <s v="Q1"/>
    <n v="2025"/>
  </r>
  <r>
    <s v="CAN0853"/>
    <s v="Stephanie"/>
    <s v="Jackson"/>
    <s v="Female"/>
    <n v="24"/>
    <s v="stephanie.jackson42@gmail.com"/>
    <n v="9537539269"/>
    <s v="Bengaluru"/>
    <s v="Karnataka"/>
    <s v="M.Tech"/>
    <n v="5.5"/>
    <n v="9.6999999999999993"/>
    <n v="11.2"/>
    <m/>
    <x v="3"/>
    <d v="2025-05-14T00:00:00"/>
    <x v="0"/>
    <x v="0"/>
    <x v="10"/>
    <s v="Q2"/>
    <n v="2025"/>
  </r>
  <r>
    <s v="CAN0854"/>
    <s v="Melinda"/>
    <s v="Mcintyre"/>
    <s v="Male"/>
    <n v="28"/>
    <s v="melinda.mcintyre19@gmail.com"/>
    <n v="9903449594"/>
    <s v="Chandigarh"/>
    <s v="Chandigarh"/>
    <s v="B.Sc"/>
    <n v="3.5"/>
    <n v="7.2"/>
    <n v="8.4"/>
    <s v="15 Days"/>
    <x v="5"/>
    <d v="2025-08-22T00:00:00"/>
    <x v="0"/>
    <x v="1"/>
    <x v="3"/>
    <s v="Q3"/>
    <n v="2025"/>
  </r>
  <r>
    <s v="CAN0855"/>
    <s v="Ryan"/>
    <s v="Wilson"/>
    <s v="Male"/>
    <n v="26"/>
    <s v="ryan.wilson6@gmail.com"/>
    <n v="9464774642"/>
    <s v="Chennai"/>
    <s v="Tamil Nadu"/>
    <s v="B.Com"/>
    <n v="0.3"/>
    <n v="9.5"/>
    <n v="12.2"/>
    <s v="30 Days"/>
    <x v="6"/>
    <d v="2025-06-30T00:00:00"/>
    <x v="0"/>
    <x v="1"/>
    <x v="0"/>
    <s v="Q2"/>
    <n v="2025"/>
  </r>
  <r>
    <s v="CAN0856"/>
    <s v="Sarah"/>
    <s v="Brown"/>
    <s v="Female"/>
    <n v="25"/>
    <s v="sarah.brown68@gmail.com"/>
    <n v="9533461646"/>
    <s v="Pune"/>
    <s v="Maharashtra"/>
    <s v="M.Sc"/>
    <n v="1.8"/>
    <n v="16.100000000000001"/>
    <n v="22.1"/>
    <s v="30 Days"/>
    <x v="2"/>
    <d v="2025-05-21T00:00:00"/>
    <x v="0"/>
    <x v="0"/>
    <x v="10"/>
    <s v="Q2"/>
    <n v="2025"/>
  </r>
  <r>
    <s v="CAN0857"/>
    <s v="Christopher"/>
    <s v="Miller"/>
    <s v="Male"/>
    <n v="24"/>
    <s v="christopher.miller10@gmail.com"/>
    <n v="9959964911"/>
    <s v="Kochi"/>
    <s v="Kerala"/>
    <s v="B.Sc"/>
    <n v="1.7"/>
    <n v="6.8"/>
    <n v="7.8"/>
    <s v="15 Days"/>
    <x v="4"/>
    <d v="2025-01-21T00:00:00"/>
    <x v="0"/>
    <x v="0"/>
    <x v="5"/>
    <s v="Q1"/>
    <n v="2025"/>
  </r>
  <r>
    <s v="CAN0858"/>
    <s v="Richard"/>
    <s v="Tapia"/>
    <s v="Male"/>
    <n v="21"/>
    <s v="richard.tapia68@gmail.com"/>
    <n v="9403772344"/>
    <s v="Kolkata"/>
    <s v="West Bengal"/>
    <s v="MCA"/>
    <n v="3.1"/>
    <n v="6.1"/>
    <n v="7.2"/>
    <s v="60 Days"/>
    <x v="1"/>
    <d v="2025-03-10T00:00:00"/>
    <x v="0"/>
    <x v="0"/>
    <x v="6"/>
    <s v="Q1"/>
    <n v="2025"/>
  </r>
  <r>
    <s v="CAN0859"/>
    <s v="Glenn"/>
    <s v="Davis"/>
    <s v="Female"/>
    <n v="26"/>
    <s v="glenn.davis14@gmail.com"/>
    <n v="9830122206"/>
    <s v="Pune"/>
    <s v="Maharashtra"/>
    <m/>
    <n v="5.8"/>
    <n v="8.6"/>
    <n v="10.9"/>
    <s v="30 Days"/>
    <x v="3"/>
    <d v="2025-01-01T00:00:00"/>
    <x v="0"/>
    <x v="1"/>
    <x v="5"/>
    <s v="Q1"/>
    <n v="2025"/>
  </r>
  <r>
    <s v="CAN0860"/>
    <s v="Andrew"/>
    <s v="Schwartz"/>
    <s v="Female"/>
    <n v="28"/>
    <s v="andrew.schwartz7@gmail.com"/>
    <n v="9342001686"/>
    <s v="Bengaluru"/>
    <s v="Karnataka"/>
    <s v="MBA"/>
    <n v="3.4"/>
    <n v="9.4"/>
    <n v="12.9"/>
    <s v="60 Days"/>
    <x v="2"/>
    <d v="2025-03-18T00:00:00"/>
    <x v="0"/>
    <x v="1"/>
    <x v="6"/>
    <s v="Q1"/>
    <n v="2025"/>
  </r>
  <r>
    <s v="CAN0861"/>
    <s v="Lynn"/>
    <s v="Gentry"/>
    <s v="Male"/>
    <n v="27"/>
    <s v="lynn.gentry68@gmail.com"/>
    <n v="9915103880"/>
    <s v="Jaipur"/>
    <s v="Rajasthan"/>
    <s v="M.Tech"/>
    <n v="0.6"/>
    <n v="2.9"/>
    <n v="4.2"/>
    <s v="60 Days"/>
    <x v="0"/>
    <d v="2025-04-29T00:00:00"/>
    <x v="0"/>
    <x v="1"/>
    <x v="11"/>
    <s v="Q2"/>
    <n v="2025"/>
  </r>
  <r>
    <s v="CAN0862"/>
    <s v="Ryan"/>
    <s v="Wolfe"/>
    <s v="Female"/>
    <n v="24"/>
    <s v="ryan.wolfe39@gmail.com"/>
    <n v="9700181099"/>
    <s v="Jaipur"/>
    <s v="Rajasthan"/>
    <s v="MBA"/>
    <n v="8"/>
    <n v="11.9"/>
    <n v="17"/>
    <s v="Immediate"/>
    <x v="2"/>
    <d v="2025-03-06T00:00:00"/>
    <x v="0"/>
    <x v="0"/>
    <x v="6"/>
    <s v="Q1"/>
    <n v="2025"/>
  </r>
  <r>
    <s v="CAN0863"/>
    <s v="Monique"/>
    <s v="MD"/>
    <s v="Female"/>
    <n v="27"/>
    <s v="monique.md58@gmail.com"/>
    <n v="9238746379"/>
    <s v="Ahmedabad"/>
    <s v="Gujarat"/>
    <s v="M.Tech"/>
    <n v="0.4"/>
    <n v="6.9"/>
    <n v="9.1999999999999993"/>
    <s v="15 Days"/>
    <x v="5"/>
    <d v="2025-12-31T00:00:00"/>
    <x v="0"/>
    <x v="1"/>
    <x v="4"/>
    <s v="Q4"/>
    <n v="2025"/>
  </r>
  <r>
    <s v="CAN0864"/>
    <s v="Michael"/>
    <s v="Jensen"/>
    <s v="Female"/>
    <n v="21"/>
    <s v="michael.jensen92@gmail.com"/>
    <n v="9857447209"/>
    <s v="Delhi"/>
    <s v="Delhi"/>
    <s v="M.Tech"/>
    <n v="0.2"/>
    <n v="6.8"/>
    <n v="8.9"/>
    <s v="Immediate"/>
    <x v="2"/>
    <d v="2025-07-23T00:00:00"/>
    <x v="0"/>
    <x v="0"/>
    <x v="7"/>
    <s v="Q3"/>
    <n v="2025"/>
  </r>
  <r>
    <s v="CAN0865"/>
    <s v="Samantha"/>
    <s v="Branch"/>
    <s v="Male"/>
    <n v="22"/>
    <s v="samantha.branch4@gmail.com"/>
    <n v="9796455703"/>
    <s v="Delhi"/>
    <s v="Delhi"/>
    <s v="B.Tech"/>
    <n v="2.8"/>
    <n v="9.8000000000000007"/>
    <n v="11.4"/>
    <s v="Immediate"/>
    <x v="1"/>
    <d v="2025-06-14T00:00:00"/>
    <x v="0"/>
    <x v="0"/>
    <x v="0"/>
    <s v="Q2"/>
    <n v="2025"/>
  </r>
  <r>
    <s v="CAN0866"/>
    <s v="Joe"/>
    <s v="Downs"/>
    <s v="Male"/>
    <n v="38"/>
    <s v="joe.downs84@gmail.com"/>
    <n v="9580624545"/>
    <s v="Pune"/>
    <s v="Maharashtra"/>
    <s v="B.Tech"/>
    <n v="2"/>
    <n v="10.4"/>
    <n v="14.8"/>
    <s v="60 Days"/>
    <x v="1"/>
    <d v="2025-08-16T00:00:00"/>
    <x v="0"/>
    <x v="2"/>
    <x v="3"/>
    <s v="Q3"/>
    <n v="2025"/>
  </r>
  <r>
    <s v="CAN0867"/>
    <s v="Juan"/>
    <s v="Davidson"/>
    <s v="Female"/>
    <n v="32"/>
    <s v="juan.davidson68@gmail.com"/>
    <n v="9747203153"/>
    <s v="Kolkata"/>
    <s v="West Bengal"/>
    <s v="B.Com"/>
    <n v="0.6"/>
    <n v="5.3"/>
    <n v="7.6"/>
    <s v="90 Days"/>
    <x v="5"/>
    <d v="2025-08-09T00:00:00"/>
    <x v="0"/>
    <x v="3"/>
    <x v="3"/>
    <s v="Q3"/>
    <n v="2025"/>
  </r>
  <r>
    <s v="CAN0868"/>
    <s v="Jason"/>
    <s v="Dudley"/>
    <s v="Male"/>
    <n v="21"/>
    <s v="jason.dudley16@gmail.com"/>
    <n v="9647288633"/>
    <s v="Gurugram"/>
    <s v="Haryana"/>
    <s v="MBA"/>
    <n v="0.2"/>
    <n v="3.4"/>
    <n v="4.4000000000000004"/>
    <s v="60 Days"/>
    <x v="5"/>
    <d v="2025-04-17T00:00:00"/>
    <x v="0"/>
    <x v="0"/>
    <x v="11"/>
    <s v="Q2"/>
    <n v="2025"/>
  </r>
  <r>
    <s v="CAN0869"/>
    <s v="Emily"/>
    <s v="Bonilla"/>
    <s v="Female"/>
    <n v="21"/>
    <s v="emily.bonilla29@gmail.com"/>
    <n v="9357993334"/>
    <s v="Hyderabad"/>
    <s v="Telangana"/>
    <s v="B.Com"/>
    <n v="1.5"/>
    <n v="8.6"/>
    <n v="10.8"/>
    <m/>
    <x v="0"/>
    <d v="2025-08-03T00:00:00"/>
    <x v="0"/>
    <x v="0"/>
    <x v="3"/>
    <s v="Q3"/>
    <n v="2025"/>
  </r>
  <r>
    <s v="CAN0870"/>
    <s v="Melinda"/>
    <s v="Grant"/>
    <s v="Male"/>
    <n v="31"/>
    <s v="melinda.grant87@gmail.com"/>
    <n v="9945920866"/>
    <s v="Kolkata"/>
    <s v="West Bengal"/>
    <s v="B.Com"/>
    <n v="16.399999999999999"/>
    <n v="22.3"/>
    <n v="30.3"/>
    <s v="60 Days"/>
    <x v="1"/>
    <d v="2025-11-20T00:00:00"/>
    <x v="0"/>
    <x v="3"/>
    <x v="9"/>
    <s v="Q4"/>
    <n v="2025"/>
  </r>
  <r>
    <s v="CAN0871"/>
    <s v="Sandra"/>
    <s v="Newton"/>
    <s v="Female"/>
    <n v="33"/>
    <s v="sandra.newton61@gmail.com"/>
    <n v="9587819547"/>
    <s v="Delhi"/>
    <s v="Delhi"/>
    <s v="M.Sc"/>
    <n v="1.6"/>
    <n v="12.5"/>
    <n v="15.7"/>
    <s v="Immediate"/>
    <x v="6"/>
    <d v="2025-06-15T00:00:00"/>
    <x v="0"/>
    <x v="3"/>
    <x v="0"/>
    <s v="Q2"/>
    <n v="2025"/>
  </r>
  <r>
    <s v="CAN0872"/>
    <s v="Jason"/>
    <s v="Hopkins"/>
    <s v="Male"/>
    <n v="26"/>
    <s v="jason.hopkins65@gmail.com"/>
    <n v="9129642570"/>
    <s v="Kochi"/>
    <s v="Kerala"/>
    <s v="MBA"/>
    <n v="0.5"/>
    <n v="4.5"/>
    <n v="6.4"/>
    <s v="60 Days"/>
    <x v="0"/>
    <d v="2025-07-09T00:00:00"/>
    <x v="0"/>
    <x v="1"/>
    <x v="7"/>
    <s v="Q3"/>
    <n v="2025"/>
  </r>
  <r>
    <s v="CAN0873"/>
    <s v="Eric"/>
    <s v="Parker"/>
    <s v="Female"/>
    <n v="31"/>
    <s v="eric.parker78@gmail.com"/>
    <n v="9219454530"/>
    <s v="Gurugram"/>
    <s v="Haryana"/>
    <s v="B.Tech"/>
    <n v="14.5"/>
    <n v="24.3"/>
    <n v="30"/>
    <s v="15 Days"/>
    <x v="1"/>
    <d v="2025-02-27T00:00:00"/>
    <x v="0"/>
    <x v="3"/>
    <x v="1"/>
    <s v="Q1"/>
    <n v="2025"/>
  </r>
  <r>
    <s v="CAN0874"/>
    <s v="Brian"/>
    <s v="Nguyen"/>
    <s v="Female"/>
    <n v="29"/>
    <s v="brian.nguyen44@gmail.com"/>
    <n v="9454616542"/>
    <s v="Indore"/>
    <s v="Madhya Pradesh"/>
    <s v="MBA"/>
    <n v="5.5"/>
    <m/>
    <n v="21.3"/>
    <s v="Immediate"/>
    <x v="3"/>
    <d v="2025-01-12T00:00:00"/>
    <x v="0"/>
    <x v="1"/>
    <x v="5"/>
    <s v="Q1"/>
    <n v="2025"/>
  </r>
  <r>
    <s v="CAN0875"/>
    <s v="Kelly"/>
    <s v="Smith"/>
    <s v="Female"/>
    <n v="26"/>
    <s v="kelly.smith9@gmail.com"/>
    <n v="9595771382"/>
    <s v="Kolkata"/>
    <s v="West Bengal"/>
    <s v="PhD"/>
    <n v="1.8"/>
    <n v="2.7"/>
    <n v="3.3"/>
    <s v="15 Days"/>
    <x v="1"/>
    <d v="2025-01-02T00:00:00"/>
    <x v="0"/>
    <x v="1"/>
    <x v="5"/>
    <s v="Q1"/>
    <n v="2025"/>
  </r>
  <r>
    <s v="CAN0876"/>
    <s v="Lonnie"/>
    <s v="Baker"/>
    <s v="Male"/>
    <n v="32"/>
    <s v="lonnie.baker53@gmail.com"/>
    <n v="9674314958"/>
    <s v="Chennai"/>
    <s v="Tamil Nadu"/>
    <s v="CA"/>
    <n v="4.4000000000000004"/>
    <n v="12.4"/>
    <n v="14.9"/>
    <s v="Immediate"/>
    <x v="6"/>
    <d v="2025-05-16T00:00:00"/>
    <x v="0"/>
    <x v="3"/>
    <x v="10"/>
    <s v="Q2"/>
    <n v="2025"/>
  </r>
  <r>
    <s v="CAN0877"/>
    <s v="Rachel"/>
    <s v="Burton"/>
    <s v="Female"/>
    <n v="21"/>
    <s v="rachel.burton83@gmail.com"/>
    <n v="9487192610"/>
    <s v="Mumbai"/>
    <s v="Maharashtra"/>
    <s v="M.Tech"/>
    <n v="13.8"/>
    <n v="25.1"/>
    <n v="35.799999999999997"/>
    <s v="90 Days"/>
    <x v="6"/>
    <d v="2025-05-12T00:00:00"/>
    <x v="0"/>
    <x v="0"/>
    <x v="10"/>
    <s v="Q2"/>
    <n v="2025"/>
  </r>
  <r>
    <s v="CAN0878"/>
    <s v="Stephen"/>
    <s v="Ward"/>
    <s v="Female"/>
    <n v="29"/>
    <s v="stephen.ward97@gmail.com"/>
    <n v="9119740936"/>
    <s v="Gurugram"/>
    <s v="Haryana"/>
    <s v="B.Com"/>
    <n v="15.3"/>
    <n v="24.5"/>
    <n v="35.1"/>
    <s v="15 Days"/>
    <x v="2"/>
    <d v="2025-10-25T00:00:00"/>
    <x v="0"/>
    <x v="1"/>
    <x v="8"/>
    <s v="Q4"/>
    <n v="2025"/>
  </r>
  <r>
    <s v="CAN0879"/>
    <s v="Samantha"/>
    <s v="Sullivan"/>
    <s v="Male"/>
    <n v="29"/>
    <s v="samantha.sullivan71@gmail.com"/>
    <n v="9860637231"/>
    <s v="Kolkata"/>
    <s v="West Bengal"/>
    <s v="M.Tech"/>
    <n v="0.7"/>
    <n v="11.9"/>
    <n v="13.7"/>
    <s v="60 Days"/>
    <x v="0"/>
    <d v="2025-12-23T00:00:00"/>
    <x v="0"/>
    <x v="1"/>
    <x v="4"/>
    <s v="Q4"/>
    <n v="2025"/>
  </r>
  <r>
    <s v="CAN0880"/>
    <s v="Scott"/>
    <s v="Diaz"/>
    <s v="Male"/>
    <n v="25"/>
    <s v="scott.diaz13@gmail.com"/>
    <n v="9254165404"/>
    <s v="Mumbai"/>
    <s v="Maharashtra"/>
    <s v="MBA"/>
    <n v="1.6"/>
    <n v="4.0999999999999996"/>
    <n v="5.7"/>
    <s v="60 Days"/>
    <x v="2"/>
    <d v="2025-05-01T00:00:00"/>
    <x v="0"/>
    <x v="0"/>
    <x v="10"/>
    <s v="Q2"/>
    <n v="2025"/>
  </r>
  <r>
    <s v="CAN0881"/>
    <s v="Norma"/>
    <s v="Garcia"/>
    <s v="Female"/>
    <n v="27"/>
    <s v="norma.garcia92@gmail.com"/>
    <n v="9671796827"/>
    <s v="Chandigarh"/>
    <s v="Chandigarh"/>
    <s v="B.Sc"/>
    <n v="5.3"/>
    <n v="11.8"/>
    <n v="15.2"/>
    <s v="90 Days"/>
    <x v="3"/>
    <d v="2025-12-09T00:00:00"/>
    <x v="0"/>
    <x v="1"/>
    <x v="4"/>
    <s v="Q4"/>
    <n v="2025"/>
  </r>
  <r>
    <s v="CAN0882"/>
    <s v="Vanessa"/>
    <s v="Webb"/>
    <s v="Female"/>
    <n v="23"/>
    <s v="vanessa.webb33@gmail.com"/>
    <n v="9539059622"/>
    <s v="Ahmedabad"/>
    <s v="Gujarat"/>
    <s v="M.Tech"/>
    <n v="0.1"/>
    <n v="8.1999999999999993"/>
    <n v="11.5"/>
    <s v="15 Days"/>
    <x v="6"/>
    <d v="2025-01-13T00:00:00"/>
    <x v="0"/>
    <x v="0"/>
    <x v="5"/>
    <s v="Q1"/>
    <n v="2025"/>
  </r>
  <r>
    <s v="CAN0883"/>
    <s v="Raymond"/>
    <s v="Cruz"/>
    <s v="Female"/>
    <n v="30"/>
    <s v="raymond.cruz74@gmail.com"/>
    <n v="9161667320"/>
    <s v="Pune"/>
    <s v="Maharashtra"/>
    <s v="MBA"/>
    <n v="0.5"/>
    <n v="5.4"/>
    <n v="7.5"/>
    <s v="15 Days"/>
    <x v="2"/>
    <d v="2025-10-30T00:00:00"/>
    <x v="0"/>
    <x v="1"/>
    <x v="8"/>
    <s v="Q4"/>
    <n v="2025"/>
  </r>
  <r>
    <s v="CAN0884"/>
    <s v="Jonathan"/>
    <s v="Thomas"/>
    <s v="Male"/>
    <n v="28"/>
    <s v="jonathan.thomas25@gmail.com"/>
    <n v="9103132541"/>
    <s v="Pune"/>
    <s v="Maharashtra"/>
    <s v="B.Tech"/>
    <n v="5.5"/>
    <n v="13.3"/>
    <n v="18"/>
    <s v="Immediate"/>
    <x v="0"/>
    <d v="2025-10-31T00:00:00"/>
    <x v="0"/>
    <x v="1"/>
    <x v="8"/>
    <s v="Q4"/>
    <n v="2025"/>
  </r>
  <r>
    <s v="CAN0885"/>
    <s v="Haley"/>
    <s v="Thomas"/>
    <s v="Female"/>
    <n v="23"/>
    <s v="haley.thomas92@gmail.com"/>
    <n v="9287364987"/>
    <s v="Jaipur"/>
    <s v="Rajasthan"/>
    <s v="B.Tech"/>
    <n v="0.8"/>
    <n v="7.5"/>
    <n v="10.3"/>
    <s v="30 Days"/>
    <x v="2"/>
    <d v="2025-01-10T00:00:00"/>
    <x v="0"/>
    <x v="0"/>
    <x v="5"/>
    <s v="Q1"/>
    <n v="2025"/>
  </r>
  <r>
    <s v="CAN0886"/>
    <s v="Gregory"/>
    <s v="Brown"/>
    <s v="Male"/>
    <n v="25"/>
    <s v="gregory.brown34@gmail.com"/>
    <n v="9354634404"/>
    <s v="Hyderabad"/>
    <s v="Telangana"/>
    <s v="M.Tech"/>
    <n v="8.1999999999999993"/>
    <n v="14.3"/>
    <n v="20.6"/>
    <s v="15 Days"/>
    <x v="0"/>
    <d v="2025-12-22T00:00:00"/>
    <x v="0"/>
    <x v="0"/>
    <x v="4"/>
    <s v="Q4"/>
    <n v="2025"/>
  </r>
  <r>
    <s v="CAN0887"/>
    <s v="Charles"/>
    <s v="Henry"/>
    <s v="Male"/>
    <n v="24"/>
    <s v="charles.henry30@gmail.com"/>
    <n v="9339395125"/>
    <s v="Mumbai"/>
    <s v="Maharashtra"/>
    <s v="BBA"/>
    <n v="3.2"/>
    <n v="3.3"/>
    <n v="4.8"/>
    <s v="15 Days"/>
    <x v="2"/>
    <d v="2025-09-01T00:00:00"/>
    <x v="0"/>
    <x v="0"/>
    <x v="2"/>
    <s v="Q3"/>
    <n v="2025"/>
  </r>
  <r>
    <s v="CAN0888"/>
    <s v="Mike"/>
    <s v="Gomez"/>
    <s v="Female"/>
    <n v="29"/>
    <s v="mike.gomez52@gmail.com"/>
    <n v="9605718450"/>
    <s v="Jaipur"/>
    <s v="Rajasthan"/>
    <s v="B.Tech"/>
    <n v="9.6999999999999993"/>
    <n v="16.2"/>
    <n v="20.2"/>
    <s v="30 Days"/>
    <x v="1"/>
    <d v="2025-12-14T00:00:00"/>
    <x v="0"/>
    <x v="1"/>
    <x v="4"/>
    <s v="Q4"/>
    <n v="2025"/>
  </r>
  <r>
    <s v="CAN0889"/>
    <s v="Daniel"/>
    <s v="Jones"/>
    <s v="Female"/>
    <n v="21"/>
    <s v="daniel.jones58@gmail.com"/>
    <n v="9702493158"/>
    <s v="Indore"/>
    <s v="Madhya Pradesh"/>
    <s v="BBA"/>
    <n v="6.6"/>
    <n v="17.5"/>
    <n v="20"/>
    <s v="15 Days"/>
    <x v="3"/>
    <d v="2025-03-07T00:00:00"/>
    <x v="0"/>
    <x v="0"/>
    <x v="6"/>
    <s v="Q1"/>
    <n v="2025"/>
  </r>
  <r>
    <s v="CAN0890"/>
    <s v="Samantha"/>
    <s v="Campbell"/>
    <s v="Male"/>
    <n v="22"/>
    <s v="samantha.campbell87@gmail.com"/>
    <n v="9914162296"/>
    <s v="Noida"/>
    <s v="Uttar Pradesh"/>
    <s v="BBA"/>
    <n v="1.9"/>
    <n v="9.1999999999999993"/>
    <n v="11.7"/>
    <s v="30 Days"/>
    <x v="1"/>
    <d v="2025-08-05T00:00:00"/>
    <x v="0"/>
    <x v="0"/>
    <x v="3"/>
    <s v="Q3"/>
    <n v="2025"/>
  </r>
  <r>
    <s v="CAN0891"/>
    <s v="Mr."/>
    <s v="Koch"/>
    <s v="Male"/>
    <n v="36"/>
    <s v="mr..koch60@gmail.com"/>
    <n v="9409048049"/>
    <s v="Kolkata"/>
    <s v="West Bengal"/>
    <s v="B.Tech"/>
    <n v="1.7"/>
    <n v="6.1"/>
    <n v="8"/>
    <s v="60 Days"/>
    <x v="0"/>
    <d v="2025-07-10T00:00:00"/>
    <x v="0"/>
    <x v="2"/>
    <x v="7"/>
    <s v="Q3"/>
    <n v="2025"/>
  </r>
  <r>
    <s v="CAN0892"/>
    <s v="Jean"/>
    <s v="Nguyen"/>
    <s v="Male"/>
    <n v="33"/>
    <s v="jean.nguyen81@gmail.com"/>
    <n v="9974903335"/>
    <s v="Jaipur"/>
    <s v="Rajasthan"/>
    <s v="B.Sc"/>
    <n v="9.6999999999999993"/>
    <n v="14.1"/>
    <n v="17.899999999999999"/>
    <s v="60 Days"/>
    <x v="6"/>
    <d v="2025-09-15T00:00:00"/>
    <x v="0"/>
    <x v="3"/>
    <x v="2"/>
    <s v="Q3"/>
    <n v="2025"/>
  </r>
  <r>
    <s v="CAN0893"/>
    <s v="William"/>
    <s v="Cline"/>
    <s v="Female"/>
    <n v="29"/>
    <s v="william.cline56@gmail.com"/>
    <n v="9678625827"/>
    <s v="Pune"/>
    <s v="Maharashtra"/>
    <s v="MBA"/>
    <n v="0.2"/>
    <n v="7.9"/>
    <n v="9.1999999999999993"/>
    <s v="15 Days"/>
    <x v="3"/>
    <d v="2025-06-19T00:00:00"/>
    <x v="0"/>
    <x v="1"/>
    <x v="0"/>
    <s v="Q2"/>
    <n v="2025"/>
  </r>
  <r>
    <s v="CAN0894"/>
    <s v="Leslie"/>
    <s v="Gibson"/>
    <s v="Male"/>
    <n v="32"/>
    <s v="leslie.gibson40@gmail.com"/>
    <n v="9226526889"/>
    <s v="Delhi"/>
    <s v="Delhi"/>
    <s v="B.Tech"/>
    <n v="3.8"/>
    <n v="10.6"/>
    <n v="13.5"/>
    <s v="90 Days"/>
    <x v="6"/>
    <d v="2025-08-28T00:00:00"/>
    <x v="0"/>
    <x v="3"/>
    <x v="3"/>
    <s v="Q3"/>
    <n v="2025"/>
  </r>
  <r>
    <s v="CAN0895"/>
    <s v="Aaron"/>
    <s v="Kelly"/>
    <s v="Male"/>
    <n v="38"/>
    <s v="aaron.kelly10@gmail.com"/>
    <n v="9722393471"/>
    <s v="Bengaluru"/>
    <s v="Karnataka"/>
    <s v="M.Tech"/>
    <n v="0.2"/>
    <n v="11.4"/>
    <n v="13.5"/>
    <s v="90 Days"/>
    <x v="6"/>
    <d v="2025-03-06T00:00:00"/>
    <x v="0"/>
    <x v="2"/>
    <x v="6"/>
    <s v="Q1"/>
    <n v="2025"/>
  </r>
  <r>
    <s v="CAN0896"/>
    <s v="James"/>
    <s v="Rivera"/>
    <s v="Male"/>
    <n v="27"/>
    <s v="james.rivera45@gmail.com"/>
    <n v="9544105825"/>
    <s v="Gurugram"/>
    <s v="Haryana"/>
    <s v="CA"/>
    <n v="1.7"/>
    <n v="4.8"/>
    <n v="5.9"/>
    <s v="30 Days"/>
    <x v="1"/>
    <d v="2025-05-15T00:00:00"/>
    <x v="0"/>
    <x v="1"/>
    <x v="10"/>
    <s v="Q2"/>
    <n v="2025"/>
  </r>
  <r>
    <s v="CAN0897"/>
    <s v="Isaac"/>
    <s v="Garcia"/>
    <s v="Male"/>
    <n v="33"/>
    <s v="isaac.garcia1@gmail.com"/>
    <n v="9367979136"/>
    <s v="Gurugram"/>
    <s v="Haryana"/>
    <s v="MBA"/>
    <n v="1.3"/>
    <n v="4.5"/>
    <n v="6.3"/>
    <s v="Immediate"/>
    <x v="5"/>
    <d v="2025-01-08T00:00:00"/>
    <x v="0"/>
    <x v="3"/>
    <x v="5"/>
    <s v="Q1"/>
    <n v="2025"/>
  </r>
  <r>
    <s v="CAN0898"/>
    <s v="Javier"/>
    <s v="Flores"/>
    <s v="Female"/>
    <n v="34"/>
    <s v="javier.flores14@gmail.com"/>
    <n v="9126347673"/>
    <s v="Chandigarh"/>
    <s v="Chandigarh"/>
    <s v="CA"/>
    <n v="5"/>
    <n v="11.3"/>
    <n v="16.3"/>
    <s v="60 Days"/>
    <x v="3"/>
    <d v="2025-07-02T00:00:00"/>
    <x v="0"/>
    <x v="3"/>
    <x v="7"/>
    <s v="Q3"/>
    <n v="2025"/>
  </r>
  <r>
    <s v="CAN0899"/>
    <s v="Deborah"/>
    <s v="Young"/>
    <s v="Other"/>
    <n v="33"/>
    <s v="deborah.young3@gmail.com"/>
    <n v="9781644601"/>
    <s v="Jaipur"/>
    <s v="Rajasthan"/>
    <s v="M.Tech"/>
    <n v="4"/>
    <n v="10.1"/>
    <n v="12.8"/>
    <s v="30 Days"/>
    <x v="0"/>
    <d v="2025-12-11T00:00:00"/>
    <x v="0"/>
    <x v="3"/>
    <x v="4"/>
    <s v="Q4"/>
    <n v="2025"/>
  </r>
  <r>
    <s v="CAN0900"/>
    <s v="Samantha"/>
    <s v="Holmes"/>
    <s v="Female"/>
    <n v="21"/>
    <s v="samantha.holmes60@gmail.com"/>
    <n v="9435787012"/>
    <s v="Ahmedabad"/>
    <s v="Gujarat"/>
    <s v="B.Sc"/>
    <n v="1.6"/>
    <n v="8.9"/>
    <n v="12.7"/>
    <s v="30 Days"/>
    <x v="0"/>
    <d v="2025-06-24T00:00:00"/>
    <x v="0"/>
    <x v="0"/>
    <x v="0"/>
    <s v="Q2"/>
    <n v="2025"/>
  </r>
  <r>
    <s v="CAN0901"/>
    <s v="Lindsay"/>
    <s v="Parker"/>
    <s v="Female"/>
    <n v="29"/>
    <s v="lindsay.parker3@gmail.com"/>
    <n v="9172596370"/>
    <s v="Chandigarh"/>
    <s v="Chandigarh"/>
    <s v="CA"/>
    <n v="13.1"/>
    <n v="26.3"/>
    <n v="37.299999999999997"/>
    <s v="60 Days"/>
    <x v="0"/>
    <d v="2025-08-02T00:00:00"/>
    <x v="0"/>
    <x v="1"/>
    <x v="3"/>
    <s v="Q3"/>
    <n v="2025"/>
  </r>
  <r>
    <s v="CAN0902"/>
    <s v="Elijah"/>
    <s v="Zimmerman"/>
    <s v="Female"/>
    <n v="25"/>
    <s v="elijah.zimmerman93@gmail.com"/>
    <n v="9614928360"/>
    <s v="Chandigarh"/>
    <s v="Chandigarh"/>
    <s v="M.Sc"/>
    <n v="6"/>
    <m/>
    <n v="17.7"/>
    <s v="60 Days"/>
    <x v="0"/>
    <d v="2025-07-19T00:00:00"/>
    <x v="0"/>
    <x v="0"/>
    <x v="7"/>
    <s v="Q3"/>
    <n v="2025"/>
  </r>
  <r>
    <s v="CAN0903"/>
    <s v="Andrew"/>
    <s v="Tran"/>
    <s v="Male"/>
    <n v="28"/>
    <s v="andrew.tran69@gmail.com"/>
    <n v="9990358322"/>
    <s v="Pune"/>
    <s v="Maharashtra"/>
    <s v="BBA"/>
    <n v="1.4"/>
    <n v="6.5"/>
    <n v="7.8"/>
    <s v="60 Days"/>
    <x v="0"/>
    <d v="2025-06-16T00:00:00"/>
    <x v="0"/>
    <x v="1"/>
    <x v="0"/>
    <s v="Q2"/>
    <n v="2025"/>
  </r>
  <r>
    <s v="CAN0904"/>
    <s v="Mary"/>
    <s v="Gonzalez"/>
    <s v="Female"/>
    <n v="21"/>
    <s v="mary.gonzalez89@gmail.com"/>
    <n v="9657317997"/>
    <s v="Noida"/>
    <s v="Uttar Pradesh"/>
    <s v="MBA"/>
    <n v="4.5"/>
    <m/>
    <n v="15.8"/>
    <s v="30 Days"/>
    <x v="0"/>
    <d v="2025-09-29T00:00:00"/>
    <x v="0"/>
    <x v="0"/>
    <x v="2"/>
    <s v="Q3"/>
    <n v="2025"/>
  </r>
  <r>
    <s v="CAN0905"/>
    <s v="Thomas"/>
    <s v="Gross"/>
    <s v="Female"/>
    <n v="33"/>
    <s v="thomas.gross82@gmail.com"/>
    <n v="9108550519"/>
    <s v="Mumbai"/>
    <s v="Maharashtra"/>
    <s v="B.Tech"/>
    <n v="3"/>
    <n v="6.1"/>
    <n v="7.3"/>
    <s v="15 Days"/>
    <x v="4"/>
    <d v="2025-07-20T00:00:00"/>
    <x v="0"/>
    <x v="3"/>
    <x v="7"/>
    <s v="Q3"/>
    <n v="2025"/>
  </r>
  <r>
    <s v="CAN0906"/>
    <s v="Jessica"/>
    <s v="Shelton"/>
    <s v="Other"/>
    <n v="26"/>
    <s v="jessica.shelton8@gmail.com"/>
    <n v="9471293087"/>
    <s v="Noida"/>
    <s v="Uttar Pradesh"/>
    <s v="MBA"/>
    <n v="0.3"/>
    <n v="4.5"/>
    <n v="5.8"/>
    <s v="60 Days"/>
    <x v="0"/>
    <d v="2025-06-05T00:00:00"/>
    <x v="0"/>
    <x v="1"/>
    <x v="0"/>
    <s v="Q2"/>
    <n v="2025"/>
  </r>
  <r>
    <s v="CAN0907"/>
    <s v="Jonathan"/>
    <s v="Gray"/>
    <s v="Male"/>
    <n v="31"/>
    <s v="jonathan.gray99@gmail.com"/>
    <n v="9317431757"/>
    <s v="Gurugram"/>
    <s v="Haryana"/>
    <s v="PhD"/>
    <n v="5.4"/>
    <n v="12.4"/>
    <n v="14.7"/>
    <s v="30 Days"/>
    <x v="6"/>
    <d v="2025-04-29T00:00:00"/>
    <x v="0"/>
    <x v="3"/>
    <x v="11"/>
    <s v="Q2"/>
    <n v="2025"/>
  </r>
  <r>
    <s v="CAN0908"/>
    <s v="Holly"/>
    <s v="Martin"/>
    <s v="Male"/>
    <n v="31"/>
    <s v="holly.martin44@gmail.com"/>
    <n v="9891560438"/>
    <s v="Noida"/>
    <s v="Uttar Pradesh"/>
    <s v="M.Tech"/>
    <n v="2.9"/>
    <n v="12.7"/>
    <n v="15.9"/>
    <s v="30 Days"/>
    <x v="0"/>
    <d v="2025-02-19T00:00:00"/>
    <x v="0"/>
    <x v="3"/>
    <x v="1"/>
    <s v="Q1"/>
    <n v="2025"/>
  </r>
  <r>
    <s v="CAN0909"/>
    <s v="Taylor"/>
    <s v="Hamilton"/>
    <s v="Male"/>
    <n v="36"/>
    <s v="taylor.hamilton70@gmail.com"/>
    <n v="9232412809"/>
    <s v="Delhi"/>
    <s v="Delhi"/>
    <s v="B.Tech"/>
    <n v="2"/>
    <n v="7.5"/>
    <n v="10.199999999999999"/>
    <s v="30 Days"/>
    <x v="1"/>
    <d v="2025-04-16T00:00:00"/>
    <x v="0"/>
    <x v="2"/>
    <x v="11"/>
    <s v="Q2"/>
    <n v="2025"/>
  </r>
  <r>
    <s v="CAN0910"/>
    <s v="Catherine"/>
    <s v="Franco"/>
    <s v="Male"/>
    <n v="32"/>
    <s v="catherine.franco17@gmail.com"/>
    <n v="9986735611"/>
    <s v="Indore"/>
    <s v="Madhya Pradesh"/>
    <s v="M.Tech"/>
    <n v="6.1"/>
    <n v="18.3"/>
    <n v="21.9"/>
    <s v="30 Days"/>
    <x v="2"/>
    <d v="2025-05-18T00:00:00"/>
    <x v="0"/>
    <x v="3"/>
    <x v="10"/>
    <s v="Q2"/>
    <n v="2025"/>
  </r>
  <r>
    <s v="CAN0911"/>
    <s v="Ronald"/>
    <s v="Knight"/>
    <s v="Male"/>
    <n v="35"/>
    <s v="ronald.knight83@gmail.com"/>
    <n v="9464513229"/>
    <s v="Pune"/>
    <s v="Maharashtra"/>
    <s v="BBA"/>
    <n v="3.7"/>
    <n v="7"/>
    <n v="10.1"/>
    <s v="30 Days"/>
    <x v="4"/>
    <d v="2025-08-27T00:00:00"/>
    <x v="0"/>
    <x v="3"/>
    <x v="3"/>
    <s v="Q3"/>
    <n v="2025"/>
  </r>
  <r>
    <s v="CAN0912"/>
    <s v="Carla"/>
    <s v="Rose"/>
    <s v="Male"/>
    <n v="31"/>
    <s v="carla.rose39@gmail.com"/>
    <n v="9334020791"/>
    <s v="Kolkata"/>
    <s v="West Bengal"/>
    <s v="B.Sc"/>
    <n v="3.9"/>
    <n v="15.4"/>
    <n v="18.8"/>
    <m/>
    <x v="5"/>
    <d v="2025-10-24T00:00:00"/>
    <x v="0"/>
    <x v="3"/>
    <x v="8"/>
    <s v="Q4"/>
    <n v="2025"/>
  </r>
  <r>
    <s v="CAN0913"/>
    <s v="Craig"/>
    <s v="Miles"/>
    <s v="Female"/>
    <n v="30"/>
    <s v="craig.miles71@gmail.com"/>
    <n v="9493405170"/>
    <s v="Pune"/>
    <s v="Maharashtra"/>
    <s v="B.Tech"/>
    <n v="20"/>
    <n v="27.8"/>
    <n v="40.1"/>
    <s v="60 Days"/>
    <x v="0"/>
    <d v="2025-02-27T00:00:00"/>
    <x v="0"/>
    <x v="1"/>
    <x v="1"/>
    <s v="Q1"/>
    <n v="2025"/>
  </r>
  <r>
    <s v="CAN0914"/>
    <s v="Samantha"/>
    <s v="Mckee"/>
    <s v="Other"/>
    <n v="30"/>
    <s v="samantha.mckee95@gmail.com"/>
    <n v="9806560056"/>
    <s v="Pune"/>
    <s v="Maharashtra"/>
    <s v="B.Tech"/>
    <n v="3"/>
    <n v="13.2"/>
    <n v="14.9"/>
    <s v="30 Days"/>
    <x v="0"/>
    <d v="2025-05-13T00:00:00"/>
    <x v="0"/>
    <x v="1"/>
    <x v="10"/>
    <s v="Q2"/>
    <n v="2025"/>
  </r>
  <r>
    <s v="CAN0915"/>
    <s v="Michele"/>
    <s v="Wilcox"/>
    <s v="Male"/>
    <n v="33"/>
    <s v="michele.wilcox27@gmail.com"/>
    <n v="9619343445"/>
    <s v="Bengaluru"/>
    <s v="Karnataka"/>
    <s v="M.Sc"/>
    <n v="3.7"/>
    <n v="10.8"/>
    <n v="14.5"/>
    <s v="60 Days"/>
    <x v="0"/>
    <d v="2025-05-15T00:00:00"/>
    <x v="0"/>
    <x v="3"/>
    <x v="10"/>
    <s v="Q2"/>
    <n v="2025"/>
  </r>
  <r>
    <s v="CAN0916"/>
    <s v="Alexander"/>
    <s v="Torres"/>
    <s v="Male"/>
    <n v="36"/>
    <s v="alexander.torres42@gmail.com"/>
    <n v="9257770089"/>
    <s v="Bengaluru"/>
    <s v="Karnataka"/>
    <s v="BBA"/>
    <n v="1.4"/>
    <n v="5.4"/>
    <n v="6.6"/>
    <m/>
    <x v="5"/>
    <d v="2025-11-29T00:00:00"/>
    <x v="0"/>
    <x v="2"/>
    <x v="9"/>
    <s v="Q4"/>
    <n v="2025"/>
  </r>
  <r>
    <s v="CAN0917"/>
    <s v="Natasha"/>
    <s v="Marshall"/>
    <s v="Male"/>
    <n v="26"/>
    <s v="natasha.marshall61@gmail.com"/>
    <n v="9590945094"/>
    <s v="Pune"/>
    <s v="Maharashtra"/>
    <s v="B.Tech"/>
    <n v="8.9"/>
    <n v="9.6"/>
    <n v="13.3"/>
    <s v="60 Days"/>
    <x v="0"/>
    <d v="2025-09-14T00:00:00"/>
    <x v="0"/>
    <x v="1"/>
    <x v="2"/>
    <s v="Q3"/>
    <n v="2025"/>
  </r>
  <r>
    <s v="CAN0918"/>
    <s v="Brandon"/>
    <s v="Drake"/>
    <s v="Male"/>
    <n v="29"/>
    <s v="brandon.drake16@gmail.com"/>
    <n v="9105590612"/>
    <s v="Gurugram"/>
    <s v="Haryana"/>
    <s v="B.Tech"/>
    <n v="1"/>
    <n v="11"/>
    <n v="14.3"/>
    <s v="15 Days"/>
    <x v="1"/>
    <d v="2025-07-13T00:00:00"/>
    <x v="0"/>
    <x v="1"/>
    <x v="7"/>
    <s v="Q3"/>
    <n v="2025"/>
  </r>
  <r>
    <s v="CAN0919"/>
    <s v="Greg"/>
    <s v="Dyer"/>
    <s v="Male"/>
    <n v="31"/>
    <s v="greg.dyer85@gmail.com"/>
    <n v="9117335908"/>
    <s v="Hyderabad"/>
    <s v="Telangana"/>
    <s v="M.Sc"/>
    <n v="1.3"/>
    <n v="16.899999999999999"/>
    <n v="23.8"/>
    <s v="60 Days"/>
    <x v="0"/>
    <d v="2025-03-01T00:00:00"/>
    <x v="0"/>
    <x v="3"/>
    <x v="6"/>
    <s v="Q1"/>
    <n v="2025"/>
  </r>
  <r>
    <s v="CAN0920"/>
    <s v="Christian"/>
    <s v="King"/>
    <s v="Male"/>
    <n v="28"/>
    <s v="christian.king45@gmail.com"/>
    <n v="9224649226"/>
    <s v="Hyderabad"/>
    <s v="Telangana"/>
    <s v="M.Tech"/>
    <n v="2.6"/>
    <m/>
    <n v="11.2"/>
    <s v="90 Days"/>
    <x v="4"/>
    <d v="2025-05-23T00:00:00"/>
    <x v="0"/>
    <x v="1"/>
    <x v="10"/>
    <s v="Q2"/>
    <n v="2025"/>
  </r>
  <r>
    <s v="CAN0921"/>
    <s v="Courtney"/>
    <s v="MD"/>
    <s v="Female"/>
    <n v="32"/>
    <s v="courtney.md34@gmail.com"/>
    <n v="9535025093"/>
    <s v="Ahmedabad"/>
    <s v="Gujarat"/>
    <s v="B.Tech"/>
    <n v="2"/>
    <n v="11.4"/>
    <n v="14.3"/>
    <s v="15 Days"/>
    <x v="2"/>
    <d v="2025-08-06T00:00:00"/>
    <x v="0"/>
    <x v="3"/>
    <x v="3"/>
    <s v="Q3"/>
    <n v="2025"/>
  </r>
  <r>
    <s v="CAN0922"/>
    <s v="Edward"/>
    <s v="Ramos"/>
    <s v="Female"/>
    <n v="27"/>
    <s v="edward.ramos24@gmail.com"/>
    <n v="9274782453"/>
    <s v="Pune"/>
    <s v="Maharashtra"/>
    <s v="M.Sc"/>
    <n v="3.9"/>
    <n v="5.7"/>
    <n v="6.7"/>
    <s v="30 Days"/>
    <x v="0"/>
    <d v="2025-12-23T00:00:00"/>
    <x v="0"/>
    <x v="1"/>
    <x v="4"/>
    <s v="Q4"/>
    <n v="2025"/>
  </r>
  <r>
    <s v="CAN0923"/>
    <s v="Karen"/>
    <s v="Holland"/>
    <s v="Female"/>
    <n v="21"/>
    <s v="karen.holland27@gmail.com"/>
    <n v="9630009896"/>
    <s v="Kolkata"/>
    <s v="West Bengal"/>
    <s v="CA"/>
    <n v="18"/>
    <n v="36.1"/>
    <n v="42.9"/>
    <s v="15 Days"/>
    <x v="2"/>
    <d v="2025-08-29T00:00:00"/>
    <x v="0"/>
    <x v="0"/>
    <x v="3"/>
    <s v="Q3"/>
    <n v="2025"/>
  </r>
  <r>
    <s v="CAN0924"/>
    <s v="Kyle"/>
    <s v="MD"/>
    <s v="Male"/>
    <n v="21"/>
    <s v="kyle.md41@gmail.com"/>
    <n v="9804522418"/>
    <s v="Pune"/>
    <s v="Maharashtra"/>
    <s v="B.Tech"/>
    <n v="0.4"/>
    <m/>
    <n v="10"/>
    <s v="30 Days"/>
    <x v="1"/>
    <d v="2025-01-14T00:00:00"/>
    <x v="0"/>
    <x v="0"/>
    <x v="5"/>
    <s v="Q1"/>
    <n v="2025"/>
  </r>
  <r>
    <s v="CAN0925"/>
    <s v="Lisa"/>
    <s v="Watson"/>
    <s v="Female"/>
    <n v="43"/>
    <s v="lisa.watson74@gmail.com"/>
    <n v="9707707138"/>
    <s v="Ahmedabad"/>
    <s v="Gujarat"/>
    <s v="MBA"/>
    <n v="10.1"/>
    <n v="16.899999999999999"/>
    <n v="19.5"/>
    <s v="30 Days"/>
    <x v="6"/>
    <d v="2025-08-04T00:00:00"/>
    <x v="0"/>
    <x v="2"/>
    <x v="3"/>
    <s v="Q3"/>
    <n v="2025"/>
  </r>
  <r>
    <s v="CAN0926"/>
    <s v="Dr."/>
    <s v="DVM"/>
    <s v="Male"/>
    <n v="26"/>
    <s v="dr..dvm44@gmail.com"/>
    <n v="9501752318"/>
    <s v="Jaipur"/>
    <s v="Rajasthan"/>
    <m/>
    <n v="1.2"/>
    <n v="9.9"/>
    <n v="12.5"/>
    <s v="30 Days"/>
    <x v="3"/>
    <d v="2025-03-25T00:00:00"/>
    <x v="0"/>
    <x v="1"/>
    <x v="6"/>
    <s v="Q1"/>
    <n v="2025"/>
  </r>
  <r>
    <s v="CAN0927"/>
    <s v="Joseph"/>
    <s v="Schaefer"/>
    <s v="Female"/>
    <n v="33"/>
    <s v="joseph.schaefer69@gmail.com"/>
    <n v="9869714601"/>
    <s v="Chandigarh"/>
    <s v="Chandigarh"/>
    <s v="M.Tech"/>
    <n v="5.4"/>
    <n v="8.6999999999999993"/>
    <n v="12.5"/>
    <s v="90 Days"/>
    <x v="3"/>
    <d v="2025-04-21T00:00:00"/>
    <x v="0"/>
    <x v="3"/>
    <x v="11"/>
    <s v="Q2"/>
    <n v="2025"/>
  </r>
  <r>
    <s v="CAN0928"/>
    <s v="Ronald"/>
    <s v="Martinez"/>
    <s v="Male"/>
    <n v="21"/>
    <s v="ronald.martinez51@gmail.com"/>
    <n v="9571934895"/>
    <s v="Indore"/>
    <s v="Madhya Pradesh"/>
    <s v="B.Sc"/>
    <n v="7.6"/>
    <n v="8.1999999999999993"/>
    <n v="11.3"/>
    <s v="15 Days"/>
    <x v="5"/>
    <d v="2025-09-08T00:00:00"/>
    <x v="0"/>
    <x v="0"/>
    <x v="2"/>
    <s v="Q3"/>
    <n v="2025"/>
  </r>
  <r>
    <s v="CAN0929"/>
    <s v="Michelle"/>
    <s v="Myers"/>
    <s v="Female"/>
    <n v="24"/>
    <s v="michelle.myers53@gmail.com"/>
    <n v="9858786796"/>
    <s v="Chennai"/>
    <s v="Tamil Nadu"/>
    <s v="MBA"/>
    <n v="4.9000000000000004"/>
    <n v="9.6999999999999993"/>
    <n v="14"/>
    <s v="90 Days"/>
    <x v="3"/>
    <d v="2025-05-16T00:00:00"/>
    <x v="0"/>
    <x v="0"/>
    <x v="10"/>
    <s v="Q2"/>
    <n v="2025"/>
  </r>
  <r>
    <s v="CAN0930"/>
    <s v="Richard"/>
    <s v="Johnson"/>
    <s v="Female"/>
    <n v="27"/>
    <s v="richard.johnson64@gmail.com"/>
    <n v="9847407873"/>
    <s v="Bengaluru"/>
    <s v="Karnataka"/>
    <m/>
    <n v="2.5"/>
    <n v="6.3"/>
    <n v="7.8"/>
    <s v="Immediate"/>
    <x v="2"/>
    <d v="2025-09-30T00:00:00"/>
    <x v="0"/>
    <x v="1"/>
    <x v="2"/>
    <s v="Q3"/>
    <n v="2025"/>
  </r>
  <r>
    <s v="CAN0931"/>
    <s v="Thomas"/>
    <s v="Gomez"/>
    <s v="Female"/>
    <n v="25"/>
    <s v="thomas.gomez39@gmail.com"/>
    <n v="9212993095"/>
    <s v="Delhi"/>
    <s v="Delhi"/>
    <s v="BBA"/>
    <n v="0.5"/>
    <n v="2.5"/>
    <n v="2.9"/>
    <s v="15 Days"/>
    <x v="2"/>
    <d v="2025-06-28T00:00:00"/>
    <x v="0"/>
    <x v="0"/>
    <x v="0"/>
    <s v="Q2"/>
    <n v="2025"/>
  </r>
  <r>
    <s v="CAN0932"/>
    <s v="Thomas"/>
    <s v="Shaw"/>
    <s v="Male"/>
    <n v="28"/>
    <s v="thomas.shaw36@gmail.com"/>
    <n v="9669204683"/>
    <s v="Gurugram"/>
    <s v="Haryana"/>
    <s v="B.Com"/>
    <n v="5"/>
    <n v="10.199999999999999"/>
    <n v="11.9"/>
    <s v="Immediate"/>
    <x v="1"/>
    <d v="2025-07-07T00:00:00"/>
    <x v="0"/>
    <x v="1"/>
    <x v="7"/>
    <s v="Q3"/>
    <n v="2025"/>
  </r>
  <r>
    <s v="CAN0933"/>
    <s v="Nathan"/>
    <s v="Garrett"/>
    <s v="Male"/>
    <n v="26"/>
    <s v="nathan.garrett46@gmail.com"/>
    <n v="9936441709"/>
    <s v="Gurugram"/>
    <s v="Haryana"/>
    <s v="B.Com"/>
    <n v="4.5999999999999996"/>
    <n v="12.2"/>
    <n v="15.3"/>
    <s v="30 Days"/>
    <x v="3"/>
    <d v="2025-03-18T00:00:00"/>
    <x v="0"/>
    <x v="1"/>
    <x v="6"/>
    <s v="Q1"/>
    <n v="2025"/>
  </r>
  <r>
    <s v="CAN0934"/>
    <s v="Rhonda"/>
    <s v="Wilkerson"/>
    <s v="Male"/>
    <n v="32"/>
    <s v="rhonda.wilkerson27@gmail.com"/>
    <n v="9496095422"/>
    <s v="Hyderabad"/>
    <s v="Telangana"/>
    <m/>
    <n v="8.3000000000000007"/>
    <n v="10.7"/>
    <n v="13.3"/>
    <s v="90 Days"/>
    <x v="2"/>
    <d v="2025-10-22T00:00:00"/>
    <x v="0"/>
    <x v="3"/>
    <x v="8"/>
    <s v="Q4"/>
    <n v="2025"/>
  </r>
  <r>
    <s v="CAN0935"/>
    <s v="Brittany"/>
    <s v="Frazier"/>
    <s v="Male"/>
    <n v="25"/>
    <s v="brittany.frazier6@gmail.com"/>
    <n v="9789240501"/>
    <s v="Ahmedabad"/>
    <s v="Gujarat"/>
    <s v="M.Tech"/>
    <n v="18.899999999999999"/>
    <n v="27"/>
    <n v="37.6"/>
    <s v="15 Days"/>
    <x v="0"/>
    <d v="2025-03-15T00:00:00"/>
    <x v="0"/>
    <x v="0"/>
    <x v="6"/>
    <s v="Q1"/>
    <n v="2025"/>
  </r>
  <r>
    <s v="CAN0936"/>
    <s v="Aaron"/>
    <s v="Vasquez"/>
    <s v="Male"/>
    <n v="21"/>
    <s v="aaron.vasquez75@gmail.com"/>
    <n v="9706218277"/>
    <s v="Mumbai"/>
    <s v="Maharashtra"/>
    <s v="MCA"/>
    <n v="1.3"/>
    <n v="3.6"/>
    <n v="4.4000000000000004"/>
    <s v="30 Days"/>
    <x v="2"/>
    <d v="2025-07-12T00:00:00"/>
    <x v="0"/>
    <x v="0"/>
    <x v="7"/>
    <s v="Q3"/>
    <n v="2025"/>
  </r>
  <r>
    <s v="CAN0937"/>
    <s v="Pamela"/>
    <s v="Williams"/>
    <s v="Female"/>
    <n v="35"/>
    <s v="pamela.williams48@gmail.com"/>
    <n v="9316826222"/>
    <s v="Chennai"/>
    <s v="Tamil Nadu"/>
    <s v="BBA"/>
    <n v="8.4"/>
    <n v="19.100000000000001"/>
    <n v="22.9"/>
    <s v="30 Days"/>
    <x v="0"/>
    <d v="2025-10-08T00:00:00"/>
    <x v="0"/>
    <x v="3"/>
    <x v="8"/>
    <s v="Q4"/>
    <n v="2025"/>
  </r>
  <r>
    <s v="CAN0938"/>
    <s v="Garrett"/>
    <s v="Lopez"/>
    <s v="Male"/>
    <n v="35"/>
    <s v="garrett.lopez27@gmail.com"/>
    <n v="9603725511"/>
    <s v="Chandigarh"/>
    <s v="Chandigarh"/>
    <s v="M.Sc"/>
    <n v="2.2000000000000002"/>
    <n v="10.5"/>
    <n v="15.2"/>
    <s v="30 Days"/>
    <x v="5"/>
    <d v="2025-05-11T00:00:00"/>
    <x v="0"/>
    <x v="3"/>
    <x v="10"/>
    <s v="Q2"/>
    <n v="2025"/>
  </r>
  <r>
    <s v="CAN0939"/>
    <s v="Krista"/>
    <s v="Klein"/>
    <s v="Female"/>
    <n v="26"/>
    <s v="krista.klein16@gmail.com"/>
    <n v="9922579547"/>
    <s v="Indore"/>
    <s v="Madhya Pradesh"/>
    <s v="B.Tech"/>
    <n v="0.3"/>
    <n v="2.9"/>
    <n v="3.7"/>
    <s v="15 Days"/>
    <x v="0"/>
    <d v="2025-09-02T00:00:00"/>
    <x v="0"/>
    <x v="1"/>
    <x v="2"/>
    <s v="Q3"/>
    <n v="2025"/>
  </r>
  <r>
    <s v="CAN0940"/>
    <s v="Wendy"/>
    <s v="Evans"/>
    <s v="Male"/>
    <n v="28"/>
    <s v="wendy.evans20@gmail.com"/>
    <n v="9633077772"/>
    <s v="Pune"/>
    <s v="Maharashtra"/>
    <s v="B.Tech"/>
    <n v="0.4"/>
    <n v="4.5999999999999996"/>
    <n v="5.4"/>
    <s v="60 Days"/>
    <x v="1"/>
    <d v="2025-11-05T00:00:00"/>
    <x v="0"/>
    <x v="1"/>
    <x v="9"/>
    <s v="Q4"/>
    <n v="2025"/>
  </r>
  <r>
    <s v="CAN0941"/>
    <s v="Dawn"/>
    <s v="Harris"/>
    <s v="Male"/>
    <n v="22"/>
    <s v="dawn.harris62@gmail.com"/>
    <n v="9385773360"/>
    <s v="Delhi"/>
    <s v="Delhi"/>
    <s v="B.Tech"/>
    <n v="4.3"/>
    <n v="10.199999999999999"/>
    <n v="12.8"/>
    <s v="30 Days"/>
    <x v="5"/>
    <d v="2025-05-01T00:00:00"/>
    <x v="0"/>
    <x v="0"/>
    <x v="10"/>
    <s v="Q2"/>
    <n v="2025"/>
  </r>
  <r>
    <s v="CAN0942"/>
    <s v="Michael"/>
    <s v="Erickson"/>
    <s v="Male"/>
    <n v="27"/>
    <s v="michael.erickson79@gmail.com"/>
    <n v="9405242885"/>
    <s v="Kochi"/>
    <s v="Kerala"/>
    <s v="B.Tech"/>
    <n v="1.6"/>
    <n v="7.2"/>
    <n v="8.8000000000000007"/>
    <m/>
    <x v="0"/>
    <d v="2025-11-22T00:00:00"/>
    <x v="0"/>
    <x v="1"/>
    <x v="9"/>
    <s v="Q4"/>
    <n v="2025"/>
  </r>
  <r>
    <s v="CAN0943"/>
    <s v="Mr."/>
    <s v="Sanchez"/>
    <s v="Male"/>
    <n v="28"/>
    <s v="mr..sanchez31@gmail.com"/>
    <n v="9791983302"/>
    <s v="Pune"/>
    <s v="Maharashtra"/>
    <m/>
    <n v="7.9"/>
    <n v="18.3"/>
    <n v="26"/>
    <s v="90 Days"/>
    <x v="0"/>
    <d v="2025-01-05T00:00:00"/>
    <x v="0"/>
    <x v="1"/>
    <x v="5"/>
    <s v="Q1"/>
    <n v="2025"/>
  </r>
  <r>
    <s v="CAN0944"/>
    <s v="Crystal"/>
    <s v="Riley"/>
    <s v="Male"/>
    <n v="23"/>
    <s v="crystal.riley92@gmail.com"/>
    <n v="9945110789"/>
    <s v="Kolkata"/>
    <s v="West Bengal"/>
    <s v="B.Com"/>
    <n v="6"/>
    <n v="15"/>
    <n v="18.2"/>
    <s v="90 Days"/>
    <x v="0"/>
    <d v="2025-06-12T00:00:00"/>
    <x v="0"/>
    <x v="0"/>
    <x v="0"/>
    <s v="Q2"/>
    <n v="2025"/>
  </r>
  <r>
    <s v="CAN0945"/>
    <s v="Jennifer"/>
    <s v="Williams"/>
    <s v="Other"/>
    <n v="36"/>
    <s v="jennifer.williams9@gmail.com"/>
    <n v="9347346605"/>
    <s v="Noida"/>
    <s v="Uttar Pradesh"/>
    <s v="B.Sc"/>
    <n v="4.9000000000000004"/>
    <n v="6.4"/>
    <n v="7.5"/>
    <s v="60 Days"/>
    <x v="6"/>
    <d v="2025-02-28T00:00:00"/>
    <x v="0"/>
    <x v="2"/>
    <x v="1"/>
    <s v="Q1"/>
    <n v="2025"/>
  </r>
  <r>
    <s v="CAN0946"/>
    <s v="Matthew"/>
    <s v="Browning"/>
    <s v="Male"/>
    <n v="30"/>
    <s v="matthew.browning65@gmail.com"/>
    <n v="9332549396"/>
    <s v="Indore"/>
    <s v="Madhya Pradesh"/>
    <s v="M.Sc"/>
    <n v="1"/>
    <n v="5.9"/>
    <n v="6.9"/>
    <s v="15 Days"/>
    <x v="2"/>
    <d v="2025-07-13T00:00:00"/>
    <x v="0"/>
    <x v="1"/>
    <x v="7"/>
    <s v="Q3"/>
    <n v="2025"/>
  </r>
  <r>
    <s v="CAN0947"/>
    <s v="Charles"/>
    <s v="King"/>
    <s v="Female"/>
    <n v="30"/>
    <s v="charles.king24@gmail.com"/>
    <n v="9264523829"/>
    <s v="Chennai"/>
    <s v="Tamil Nadu"/>
    <s v="CA"/>
    <n v="9.9"/>
    <n v="19.7"/>
    <n v="24.7"/>
    <s v="60 Days"/>
    <x v="2"/>
    <d v="2025-02-03T00:00:00"/>
    <x v="0"/>
    <x v="1"/>
    <x v="1"/>
    <s v="Q1"/>
    <n v="2025"/>
  </r>
  <r>
    <s v="CAN0948"/>
    <s v="Brandon"/>
    <s v="Moore"/>
    <s v="Female"/>
    <n v="27"/>
    <s v="brandon.moore55@gmail.com"/>
    <n v="9272084130"/>
    <s v="Hyderabad"/>
    <s v="Telangana"/>
    <s v="MBA"/>
    <n v="4.7"/>
    <n v="13.5"/>
    <n v="15.6"/>
    <s v="15 Days"/>
    <x v="2"/>
    <d v="2025-12-01T00:00:00"/>
    <x v="0"/>
    <x v="1"/>
    <x v="4"/>
    <s v="Q4"/>
    <n v="2025"/>
  </r>
  <r>
    <s v="CAN0949"/>
    <s v="Mariah"/>
    <s v="Johns"/>
    <s v="Male"/>
    <n v="41"/>
    <s v="mariah.johns50@gmail.com"/>
    <n v="9659296493"/>
    <s v="Gurugram"/>
    <s v="Haryana"/>
    <s v="B.Tech"/>
    <n v="0.2"/>
    <n v="10"/>
    <n v="13.5"/>
    <s v="60 Days"/>
    <x v="0"/>
    <d v="2025-09-18T00:00:00"/>
    <x v="0"/>
    <x v="2"/>
    <x v="2"/>
    <s v="Q3"/>
    <n v="2025"/>
  </r>
  <r>
    <s v="CAN0950"/>
    <s v="Amy"/>
    <s v="Young"/>
    <s v="Male"/>
    <n v="30"/>
    <s v="amy.young75@gmail.com"/>
    <n v="9901355373"/>
    <s v="Delhi"/>
    <s v="Delhi"/>
    <s v="M.Sc"/>
    <n v="7.7"/>
    <n v="13.5"/>
    <n v="15.5"/>
    <s v="15 Days"/>
    <x v="0"/>
    <d v="2025-07-24T00:00:00"/>
    <x v="0"/>
    <x v="1"/>
    <x v="7"/>
    <s v="Q3"/>
    <n v="2025"/>
  </r>
  <r>
    <s v="CAN0951"/>
    <s v="Jessica"/>
    <s v="Brown"/>
    <s v="Male"/>
    <n v="30"/>
    <s v="jessica.brown7@gmail.com"/>
    <n v="9352718592"/>
    <s v="Chennai"/>
    <s v="Tamil Nadu"/>
    <s v="M.Tech"/>
    <n v="1.3"/>
    <n v="4.4000000000000004"/>
    <n v="5.7"/>
    <s v="Immediate"/>
    <x v="2"/>
    <d v="2025-06-30T00:00:00"/>
    <x v="0"/>
    <x v="1"/>
    <x v="0"/>
    <s v="Q2"/>
    <n v="2025"/>
  </r>
  <r>
    <s v="CAN0952"/>
    <s v="Christopher"/>
    <s v="Short"/>
    <s v="Male"/>
    <n v="28"/>
    <s v="christopher.short98@gmail.com"/>
    <n v="9984232438"/>
    <s v="Delhi"/>
    <s v="Delhi"/>
    <s v="CA"/>
    <n v="0.6"/>
    <n v="6"/>
    <n v="7.2"/>
    <s v="30 Days"/>
    <x v="0"/>
    <d v="2025-12-21T00:00:00"/>
    <x v="0"/>
    <x v="1"/>
    <x v="4"/>
    <s v="Q4"/>
    <n v="2025"/>
  </r>
  <r>
    <s v="CAN0953"/>
    <s v="Margaret"/>
    <s v="Campbell"/>
    <s v="Male"/>
    <n v="27"/>
    <s v="margaret.campbell79@gmail.com"/>
    <n v="9244010665"/>
    <s v="Ahmedabad"/>
    <s v="Gujarat"/>
    <s v="MBA"/>
    <n v="0.4"/>
    <n v="8.8000000000000007"/>
    <n v="11.9"/>
    <s v="90 Days"/>
    <x v="0"/>
    <d v="2025-03-31T00:00:00"/>
    <x v="0"/>
    <x v="1"/>
    <x v="6"/>
    <s v="Q1"/>
    <n v="2025"/>
  </r>
  <r>
    <s v="CAN0954"/>
    <s v="Alejandro"/>
    <s v="Ewing"/>
    <s v="Male"/>
    <n v="27"/>
    <s v="alejandro.ewing34@gmail.com"/>
    <n v="9324862839"/>
    <s v="Kochi"/>
    <s v="Kerala"/>
    <s v="MCA"/>
    <n v="4.3"/>
    <n v="11.2"/>
    <n v="12.9"/>
    <s v="15 Days"/>
    <x v="0"/>
    <d v="2025-11-08T00:00:00"/>
    <x v="0"/>
    <x v="1"/>
    <x v="9"/>
    <s v="Q4"/>
    <n v="2025"/>
  </r>
  <r>
    <s v="CAN0955"/>
    <s v="Anna"/>
    <s v="Arnold"/>
    <s v="Female"/>
    <n v="23"/>
    <s v="anna.arnold24@gmail.com"/>
    <n v="9751354974"/>
    <s v="Hyderabad"/>
    <s v="Telangana"/>
    <s v="M.Tech"/>
    <n v="0.7"/>
    <n v="10.4"/>
    <n v="14.3"/>
    <s v="30 Days"/>
    <x v="0"/>
    <d v="2025-04-24T00:00:00"/>
    <x v="0"/>
    <x v="0"/>
    <x v="11"/>
    <s v="Q2"/>
    <n v="2025"/>
  </r>
  <r>
    <s v="CAN0956"/>
    <s v="Timothy"/>
    <s v="Elliott"/>
    <s v="Male"/>
    <n v="30"/>
    <s v="timothy.elliott7@gmail.com"/>
    <n v="9185368754"/>
    <s v="Jaipur"/>
    <s v="Rajasthan"/>
    <s v="B.Tech"/>
    <n v="6.9"/>
    <n v="14.2"/>
    <n v="17.100000000000001"/>
    <s v="60 Days"/>
    <x v="1"/>
    <d v="2025-07-02T00:00:00"/>
    <x v="0"/>
    <x v="1"/>
    <x v="7"/>
    <s v="Q3"/>
    <n v="2025"/>
  </r>
  <r>
    <s v="CAN0957"/>
    <s v="Stephen"/>
    <s v="Howell"/>
    <s v="Male"/>
    <n v="32"/>
    <s v="stephen.howell5@gmail.com"/>
    <n v="9723842182"/>
    <s v="Indore"/>
    <s v="Madhya Pradesh"/>
    <s v="B.Sc"/>
    <n v="1.7"/>
    <n v="8"/>
    <n v="10.5"/>
    <s v="60 Days"/>
    <x v="2"/>
    <d v="2025-08-11T00:00:00"/>
    <x v="0"/>
    <x v="3"/>
    <x v="3"/>
    <s v="Q3"/>
    <n v="2025"/>
  </r>
  <r>
    <s v="CAN0958"/>
    <s v="Michael"/>
    <s v="Shaffer"/>
    <s v="Male"/>
    <n v="32"/>
    <s v="michael.shaffer49@gmail.com"/>
    <n v="9746917828"/>
    <s v="Pune"/>
    <s v="Maharashtra"/>
    <s v="BBA"/>
    <n v="1.1000000000000001"/>
    <n v="8.1999999999999993"/>
    <n v="9.3000000000000007"/>
    <m/>
    <x v="1"/>
    <d v="2025-01-07T00:00:00"/>
    <x v="0"/>
    <x v="3"/>
    <x v="5"/>
    <s v="Q1"/>
    <n v="2025"/>
  </r>
  <r>
    <s v="CAN0959"/>
    <s v="Ryan"/>
    <s v="Calderon"/>
    <s v="Female"/>
    <n v="26"/>
    <s v="ryan.calderon3@gmail.com"/>
    <n v="9645036068"/>
    <s v="Chennai"/>
    <s v="Tamil Nadu"/>
    <m/>
    <n v="1.7"/>
    <n v="9.6999999999999993"/>
    <n v="12.8"/>
    <m/>
    <x v="2"/>
    <d v="2025-11-19T00:00:00"/>
    <x v="0"/>
    <x v="1"/>
    <x v="9"/>
    <s v="Q4"/>
    <n v="2025"/>
  </r>
  <r>
    <s v="CAN0960"/>
    <s v="Colleen"/>
    <s v="Solis"/>
    <s v="Male"/>
    <n v="31"/>
    <s v="colleen.solis15@gmail.com"/>
    <n v="9374863181"/>
    <s v="Pune"/>
    <s v="Maharashtra"/>
    <s v="BBA"/>
    <n v="3.2"/>
    <n v="5"/>
    <n v="6.5"/>
    <s v="15 Days"/>
    <x v="3"/>
    <d v="2025-09-13T00:00:00"/>
    <x v="0"/>
    <x v="3"/>
    <x v="2"/>
    <s v="Q3"/>
    <n v="2025"/>
  </r>
  <r>
    <s v="CAN0961"/>
    <s v="Alison"/>
    <s v="Johnson"/>
    <s v="Male"/>
    <n v="21"/>
    <s v="alison.johnson43@gmail.com"/>
    <n v="9372344322"/>
    <s v="Pune"/>
    <s v="Maharashtra"/>
    <s v="M.Sc"/>
    <n v="0.4"/>
    <n v="6.7"/>
    <n v="9.5"/>
    <s v="90 Days"/>
    <x v="0"/>
    <d v="2025-02-06T00:00:00"/>
    <x v="0"/>
    <x v="0"/>
    <x v="1"/>
    <s v="Q1"/>
    <n v="2025"/>
  </r>
  <r>
    <s v="CAN0962"/>
    <s v="Sheri"/>
    <s v="Peterson"/>
    <s v="Female"/>
    <n v="36"/>
    <s v="sheri.peterson80@gmail.com"/>
    <n v="9126573838"/>
    <s v="Bengaluru"/>
    <s v="Karnataka"/>
    <s v="M.Sc"/>
    <n v="2.2999999999999998"/>
    <m/>
    <n v="8.6"/>
    <s v="15 Days"/>
    <x v="2"/>
    <d v="2025-12-16T00:00:00"/>
    <x v="0"/>
    <x v="2"/>
    <x v="4"/>
    <s v="Q4"/>
    <n v="2025"/>
  </r>
  <r>
    <s v="CAN0963"/>
    <s v="Diana"/>
    <s v="Sanchez"/>
    <s v="Male"/>
    <n v="26"/>
    <s v="diana.sanchez49@gmail.com"/>
    <n v="9491908721"/>
    <s v="Hyderabad"/>
    <s v="Telangana"/>
    <s v="MBA"/>
    <n v="4.3"/>
    <n v="8.8000000000000007"/>
    <n v="11.8"/>
    <s v="30 Days"/>
    <x v="0"/>
    <d v="2025-04-22T00:00:00"/>
    <x v="0"/>
    <x v="1"/>
    <x v="11"/>
    <s v="Q2"/>
    <n v="2025"/>
  </r>
  <r>
    <s v="CAN0964"/>
    <s v="Justin"/>
    <s v="Ortega"/>
    <s v="Male"/>
    <n v="32"/>
    <s v="justin.ortega5@gmail.com"/>
    <n v="9424880620"/>
    <s v="Pune"/>
    <s v="Maharashtra"/>
    <s v="M.Tech"/>
    <n v="0.5"/>
    <n v="9.3000000000000007"/>
    <n v="11.9"/>
    <s v="30 Days"/>
    <x v="5"/>
    <d v="2025-08-04T00:00:00"/>
    <x v="0"/>
    <x v="3"/>
    <x v="3"/>
    <s v="Q3"/>
    <n v="2025"/>
  </r>
  <r>
    <s v="CAN0965"/>
    <s v="Eugene"/>
    <s v="Larsen"/>
    <s v="Male"/>
    <n v="21"/>
    <s v="eugene.larsen67@gmail.com"/>
    <n v="9477748937"/>
    <s v="Chennai"/>
    <s v="Tamil Nadu"/>
    <s v="B.Tech"/>
    <n v="3.9"/>
    <n v="16.2"/>
    <n v="18.399999999999999"/>
    <s v="90 Days"/>
    <x v="2"/>
    <d v="2025-06-14T00:00:00"/>
    <x v="0"/>
    <x v="0"/>
    <x v="0"/>
    <s v="Q2"/>
    <n v="2025"/>
  </r>
  <r>
    <s v="CAN0966"/>
    <s v="Paula"/>
    <s v="Giles"/>
    <s v="Male"/>
    <n v="40"/>
    <s v="paula.giles26@gmail.com"/>
    <n v="9192743233"/>
    <s v="Ahmedabad"/>
    <s v="Gujarat"/>
    <s v="B.Tech"/>
    <n v="2"/>
    <n v="7.2"/>
    <n v="9.4"/>
    <s v="30 Days"/>
    <x v="0"/>
    <d v="2025-03-24T00:00:00"/>
    <x v="0"/>
    <x v="2"/>
    <x v="6"/>
    <s v="Q1"/>
    <n v="2025"/>
  </r>
  <r>
    <s v="CAN0967"/>
    <s v="Nicole"/>
    <s v="Miller"/>
    <s v="Male"/>
    <n v="35"/>
    <s v="nicole.miller4@gmail.com"/>
    <n v="9500999818"/>
    <s v="Jaipur"/>
    <s v="Rajasthan"/>
    <s v="B.Com"/>
    <n v="0.2"/>
    <n v="2.5"/>
    <n v="2.9"/>
    <s v="30 Days"/>
    <x v="0"/>
    <d v="2025-07-16T00:00:00"/>
    <x v="0"/>
    <x v="3"/>
    <x v="7"/>
    <s v="Q3"/>
    <n v="2025"/>
  </r>
  <r>
    <s v="CAN0968"/>
    <s v="Donna"/>
    <s v="Bailey"/>
    <s v="Male"/>
    <n v="29"/>
    <s v="donna.bailey3@gmail.com"/>
    <n v="9746285266"/>
    <s v="Pune"/>
    <s v="Maharashtra"/>
    <s v="B.Tech"/>
    <n v="0.2"/>
    <n v="5"/>
    <n v="5.8"/>
    <s v="60 Days"/>
    <x v="1"/>
    <d v="2025-03-26T00:00:00"/>
    <x v="0"/>
    <x v="1"/>
    <x v="6"/>
    <s v="Q1"/>
    <n v="2025"/>
  </r>
  <r>
    <s v="CAN0969"/>
    <s v="Jennifer"/>
    <s v="Brown"/>
    <s v="Male"/>
    <n v="24"/>
    <s v="jennifer.brown83@gmail.com"/>
    <n v="9966728895"/>
    <s v="Mumbai"/>
    <s v="Maharashtra"/>
    <s v="B.Sc"/>
    <n v="10.4"/>
    <n v="21.6"/>
    <n v="31"/>
    <s v="30 Days"/>
    <x v="5"/>
    <d v="2025-04-04T00:00:00"/>
    <x v="0"/>
    <x v="0"/>
    <x v="11"/>
    <s v="Q2"/>
    <n v="2025"/>
  </r>
  <r>
    <s v="CAN0970"/>
    <s v="Kyle"/>
    <s v="Bird"/>
    <s v="Female"/>
    <n v="30"/>
    <s v="kyle.bird91@gmail.com"/>
    <n v="9485587365"/>
    <s v="Bengaluru"/>
    <s v="Karnataka"/>
    <s v="B.Tech"/>
    <n v="5.9"/>
    <n v="10.8"/>
    <n v="15.4"/>
    <s v="60 Days"/>
    <x v="3"/>
    <d v="2025-08-14T00:00:00"/>
    <x v="0"/>
    <x v="1"/>
    <x v="3"/>
    <s v="Q3"/>
    <n v="2025"/>
  </r>
  <r>
    <s v="CAN0971"/>
    <s v="Anthony"/>
    <s v="Preston"/>
    <s v="Female"/>
    <n v="21"/>
    <s v="anthony.preston14@gmail.com"/>
    <n v="9753140584"/>
    <s v="Ahmedabad"/>
    <s v="Gujarat"/>
    <s v="B.Com"/>
    <n v="4.3"/>
    <n v="10.199999999999999"/>
    <n v="14"/>
    <s v="60 Days"/>
    <x v="6"/>
    <d v="2025-12-30T00:00:00"/>
    <x v="0"/>
    <x v="0"/>
    <x v="4"/>
    <s v="Q4"/>
    <n v="2025"/>
  </r>
  <r>
    <s v="CAN0972"/>
    <s v="Joseph"/>
    <s v="Hamilton"/>
    <s v="Male"/>
    <n v="23"/>
    <s v="joseph.hamilton85@gmail.com"/>
    <n v="9794060129"/>
    <s v="Hyderabad"/>
    <s v="Telangana"/>
    <s v="MCA"/>
    <n v="3"/>
    <n v="7.3"/>
    <n v="10"/>
    <s v="Immediate"/>
    <x v="6"/>
    <d v="2025-10-05T00:00:00"/>
    <x v="0"/>
    <x v="0"/>
    <x v="8"/>
    <s v="Q4"/>
    <n v="2025"/>
  </r>
  <r>
    <s v="CAN0973"/>
    <s v="Nathaniel"/>
    <s v="Merritt"/>
    <s v="Male"/>
    <n v="26"/>
    <s v="nathaniel.merritt47@gmail.com"/>
    <n v="9628300659"/>
    <s v="Mumbai"/>
    <s v="Maharashtra"/>
    <s v="B.Com"/>
    <n v="5.7"/>
    <n v="7.3"/>
    <n v="10.4"/>
    <s v="60 Days"/>
    <x v="3"/>
    <d v="2025-03-15T00:00:00"/>
    <x v="0"/>
    <x v="1"/>
    <x v="6"/>
    <s v="Q1"/>
    <n v="2025"/>
  </r>
  <r>
    <s v="CAN0974"/>
    <s v="Matthew"/>
    <s v="Scott"/>
    <s v="Male"/>
    <n v="23"/>
    <s v="matthew.scott42@gmail.com"/>
    <n v="9374429318"/>
    <s v="Pune"/>
    <s v="Maharashtra"/>
    <s v="B.Sc"/>
    <n v="0.4"/>
    <n v="6.3"/>
    <n v="7.5"/>
    <s v="30 Days"/>
    <x v="6"/>
    <d v="2025-06-07T00:00:00"/>
    <x v="0"/>
    <x v="0"/>
    <x v="0"/>
    <s v="Q2"/>
    <n v="2025"/>
  </r>
  <r>
    <s v="CAN0975"/>
    <s v="Virginia"/>
    <s v="Lopez"/>
    <s v="Female"/>
    <n v="21"/>
    <s v="virginia.lopez30@gmail.com"/>
    <n v="9272100569"/>
    <s v="Pune"/>
    <s v="Maharashtra"/>
    <s v="B.Sc"/>
    <n v="11.1"/>
    <n v="22.5"/>
    <n v="27.9"/>
    <s v="30 Days"/>
    <x v="3"/>
    <d v="2025-09-02T00:00:00"/>
    <x v="0"/>
    <x v="0"/>
    <x v="2"/>
    <s v="Q3"/>
    <n v="2025"/>
  </r>
  <r>
    <s v="CAN0976"/>
    <s v="Julie"/>
    <s v="Williams"/>
    <s v="Female"/>
    <n v="32"/>
    <s v="julie.williams35@gmail.com"/>
    <n v="9928796067"/>
    <s v="Pune"/>
    <s v="Maharashtra"/>
    <s v="B.Sc"/>
    <n v="1.8"/>
    <n v="2.5"/>
    <n v="2.9"/>
    <s v="30 Days"/>
    <x v="6"/>
    <d v="2025-06-14T00:00:00"/>
    <x v="0"/>
    <x v="3"/>
    <x v="0"/>
    <s v="Q2"/>
    <n v="2025"/>
  </r>
  <r>
    <s v="CAN0977"/>
    <s v="Christopher"/>
    <s v="Wu"/>
    <s v="Male"/>
    <n v="27"/>
    <s v="christopher.wu91@gmail.com"/>
    <n v="9766676740"/>
    <s v="Noida"/>
    <s v="Uttar Pradesh"/>
    <s v="BBA"/>
    <n v="3.7"/>
    <n v="6.2"/>
    <n v="8.3000000000000007"/>
    <m/>
    <x v="0"/>
    <d v="2025-12-23T00:00:00"/>
    <x v="0"/>
    <x v="1"/>
    <x v="4"/>
    <s v="Q4"/>
    <n v="2025"/>
  </r>
  <r>
    <s v="CAN0978"/>
    <s v="Christina"/>
    <s v="Gross"/>
    <s v="Male"/>
    <n v="28"/>
    <s v="christina.gross85@gmail.com"/>
    <n v="9432729551"/>
    <s v="Chennai"/>
    <s v="Tamil Nadu"/>
    <s v="M.Sc"/>
    <n v="3.1"/>
    <n v="10.1"/>
    <n v="13.2"/>
    <s v="30 Days"/>
    <x v="5"/>
    <d v="2025-09-10T00:00:00"/>
    <x v="0"/>
    <x v="1"/>
    <x v="2"/>
    <s v="Q3"/>
    <n v="2025"/>
  </r>
  <r>
    <s v="CAN0979"/>
    <s v="Robert"/>
    <s v="Hall"/>
    <s v="Male"/>
    <n v="36"/>
    <s v="robert.hall71@gmail.com"/>
    <n v="9804363946"/>
    <s v="Bengaluru"/>
    <s v="Karnataka"/>
    <s v="MBA"/>
    <n v="5.9"/>
    <n v="10.1"/>
    <n v="12.6"/>
    <s v="15 Days"/>
    <x v="1"/>
    <d v="2025-02-06T00:00:00"/>
    <x v="0"/>
    <x v="2"/>
    <x v="1"/>
    <s v="Q1"/>
    <n v="2025"/>
  </r>
  <r>
    <s v="CAN0980"/>
    <s v="Rebecca"/>
    <s v="Vega"/>
    <s v="Female"/>
    <n v="29"/>
    <s v="rebecca.vega21@gmail.com"/>
    <n v="9625030287"/>
    <s v="Kochi"/>
    <s v="Kerala"/>
    <s v="B.Sc"/>
    <n v="1.3"/>
    <n v="7.6"/>
    <n v="9.6"/>
    <s v="Immediate"/>
    <x v="0"/>
    <d v="2025-12-01T00:00:00"/>
    <x v="0"/>
    <x v="1"/>
    <x v="4"/>
    <s v="Q4"/>
    <n v="2025"/>
  </r>
  <r>
    <s v="CAN0981"/>
    <s v="Michael"/>
    <s v="Bowers"/>
    <s v="Male"/>
    <n v="36"/>
    <s v="michael.bowers70@gmail.com"/>
    <n v="9995562894"/>
    <s v="Chandigarh"/>
    <s v="Chandigarh"/>
    <s v="M.Sc"/>
    <n v="3.2"/>
    <n v="12.6"/>
    <n v="15"/>
    <s v="Immediate"/>
    <x v="2"/>
    <d v="2025-10-12T00:00:00"/>
    <x v="0"/>
    <x v="2"/>
    <x v="8"/>
    <s v="Q4"/>
    <n v="2025"/>
  </r>
  <r>
    <s v="CAN0982"/>
    <s v="Trevor"/>
    <s v="Wagner"/>
    <s v="Male"/>
    <n v="21"/>
    <s v="trevor.wagner74@gmail.com"/>
    <n v="9836177272"/>
    <s v="Chennai"/>
    <s v="Tamil Nadu"/>
    <s v="BBA"/>
    <n v="0.1"/>
    <n v="4.7"/>
    <n v="6.1"/>
    <s v="60 Days"/>
    <x v="0"/>
    <d v="2025-07-03T00:00:00"/>
    <x v="0"/>
    <x v="0"/>
    <x v="7"/>
    <s v="Q3"/>
    <n v="2025"/>
  </r>
  <r>
    <s v="CAN0983"/>
    <s v="Michael"/>
    <s v="Martin"/>
    <s v="Male"/>
    <n v="24"/>
    <s v="michael.martin19@gmail.com"/>
    <n v="9674099781"/>
    <s v="Bengaluru"/>
    <s v="Karnataka"/>
    <s v="BBA"/>
    <n v="2.2000000000000002"/>
    <n v="10.6"/>
    <n v="12.8"/>
    <s v="15 Days"/>
    <x v="5"/>
    <d v="2025-06-24T00:00:00"/>
    <x v="0"/>
    <x v="0"/>
    <x v="0"/>
    <s v="Q2"/>
    <n v="2025"/>
  </r>
  <r>
    <s v="CAN0984"/>
    <s v="Doris"/>
    <s v="Stephens"/>
    <s v="Male"/>
    <n v="21"/>
    <s v="doris.stephens80@gmail.com"/>
    <n v="9849785596"/>
    <s v="Gurugram"/>
    <s v="Haryana"/>
    <s v="B.Sc"/>
    <n v="6.3"/>
    <n v="12.5"/>
    <n v="16.100000000000001"/>
    <s v="Immediate"/>
    <x v="2"/>
    <d v="2025-02-08T00:00:00"/>
    <x v="0"/>
    <x v="0"/>
    <x v="1"/>
    <s v="Q1"/>
    <n v="2025"/>
  </r>
  <r>
    <s v="CAN0985"/>
    <s v="Cathy"/>
    <s v="Nelson"/>
    <s v="Female"/>
    <n v="25"/>
    <s v="cathy.nelson16@gmail.com"/>
    <n v="9597842169"/>
    <s v="Chandigarh"/>
    <s v="Chandigarh"/>
    <s v="B.Sc"/>
    <n v="3.7"/>
    <n v="13.7"/>
    <n v="19.7"/>
    <s v="60 Days"/>
    <x v="6"/>
    <d v="2025-11-04T00:00:00"/>
    <x v="0"/>
    <x v="0"/>
    <x v="9"/>
    <s v="Q4"/>
    <n v="2025"/>
  </r>
  <r>
    <s v="CAN0986"/>
    <s v="Carrie"/>
    <s v="Wells"/>
    <s v="Female"/>
    <n v="31"/>
    <s v="carrie.wells9@gmail.com"/>
    <n v="9831861016"/>
    <s v="Jaipur"/>
    <s v="Rajasthan"/>
    <s v="M.Tech"/>
    <n v="3.9"/>
    <n v="7.2"/>
    <n v="9"/>
    <s v="30 Days"/>
    <x v="1"/>
    <d v="2025-09-27T00:00:00"/>
    <x v="0"/>
    <x v="3"/>
    <x v="2"/>
    <s v="Q3"/>
    <n v="2025"/>
  </r>
  <r>
    <s v="CAN0987"/>
    <s v="Brittany"/>
    <s v="Moran"/>
    <s v="Female"/>
    <n v="30"/>
    <s v="brittany.moran47@gmail.com"/>
    <n v="9685482382"/>
    <s v="Gurugram"/>
    <s v="Haryana"/>
    <s v="B.Tech"/>
    <n v="2.1"/>
    <m/>
    <n v="20.6"/>
    <s v="30 Days"/>
    <x v="5"/>
    <d v="2025-10-25T00:00:00"/>
    <x v="0"/>
    <x v="1"/>
    <x v="8"/>
    <s v="Q4"/>
    <n v="2025"/>
  </r>
  <r>
    <s v="CAN0988"/>
    <s v="Amy"/>
    <s v="Barber"/>
    <s v="Male"/>
    <n v="28"/>
    <s v="amy.barber10@gmail.com"/>
    <n v="9302316512"/>
    <s v="Indore"/>
    <s v="Madhya Pradesh"/>
    <s v="MBA"/>
    <n v="3.7"/>
    <n v="12.7"/>
    <n v="16.3"/>
    <s v="90 Days"/>
    <x v="0"/>
    <d v="2025-10-23T00:00:00"/>
    <x v="0"/>
    <x v="1"/>
    <x v="8"/>
    <s v="Q4"/>
    <n v="2025"/>
  </r>
  <r>
    <s v="CAN0989"/>
    <s v="Joseph"/>
    <s v="Young"/>
    <s v="Female"/>
    <n v="29"/>
    <s v="joseph.young8@gmail.com"/>
    <n v="9441964529"/>
    <s v="Kolkata"/>
    <s v="West Bengal"/>
    <s v="BBA"/>
    <n v="4.5"/>
    <n v="9.1999999999999993"/>
    <n v="11.9"/>
    <s v="Immediate"/>
    <x v="6"/>
    <d v="2025-07-09T00:00:00"/>
    <x v="0"/>
    <x v="1"/>
    <x v="7"/>
    <s v="Q3"/>
    <n v="2025"/>
  </r>
  <r>
    <s v="CAN0990"/>
    <s v="Jamie"/>
    <s v="Boyd"/>
    <s v="Female"/>
    <n v="25"/>
    <s v="jamie.boyd18@gmail.com"/>
    <n v="9479839585"/>
    <s v="Jaipur"/>
    <s v="Rajasthan"/>
    <s v="B.Tech"/>
    <n v="3.2"/>
    <n v="7.1"/>
    <n v="9"/>
    <s v="60 Days"/>
    <x v="4"/>
    <d v="2025-12-09T00:00:00"/>
    <x v="0"/>
    <x v="0"/>
    <x v="4"/>
    <s v="Q4"/>
    <n v="2025"/>
  </r>
  <r>
    <s v="CAN0991"/>
    <s v="Jill"/>
    <s v="Smith"/>
    <s v="Female"/>
    <n v="25"/>
    <s v="jill.smith44@gmail.com"/>
    <n v="9174117620"/>
    <s v="Gurugram"/>
    <s v="Haryana"/>
    <s v="BBA"/>
    <n v="10"/>
    <n v="25.9"/>
    <n v="35.4"/>
    <s v="15 Days"/>
    <x v="2"/>
    <d v="2025-10-03T00:00:00"/>
    <x v="0"/>
    <x v="0"/>
    <x v="8"/>
    <s v="Q4"/>
    <n v="2025"/>
  </r>
  <r>
    <s v="CAN0992"/>
    <s v="Tammy"/>
    <s v="Howell"/>
    <s v="Male"/>
    <n v="21"/>
    <s v="tammy.howell8@gmail.com"/>
    <n v="9597101513"/>
    <s v="Gurugram"/>
    <s v="Haryana"/>
    <s v="MBA"/>
    <n v="2.2000000000000002"/>
    <n v="3.6"/>
    <n v="4.7"/>
    <s v="15 Days"/>
    <x v="4"/>
    <d v="2025-07-07T00:00:00"/>
    <x v="0"/>
    <x v="0"/>
    <x v="7"/>
    <s v="Q3"/>
    <n v="2025"/>
  </r>
  <r>
    <s v="CAN0993"/>
    <s v="Christopher"/>
    <s v="Baker"/>
    <s v="Female"/>
    <n v="27"/>
    <s v="christopher.baker69@gmail.com"/>
    <n v="9326156094"/>
    <s v="Pune"/>
    <s v="Maharashtra"/>
    <s v="MCA"/>
    <n v="1.4"/>
    <n v="6.7"/>
    <n v="8.6999999999999993"/>
    <s v="60 Days"/>
    <x v="1"/>
    <d v="2025-12-01T00:00:00"/>
    <x v="0"/>
    <x v="1"/>
    <x v="4"/>
    <s v="Q4"/>
    <n v="2025"/>
  </r>
  <r>
    <s v="CAN0994"/>
    <s v="Julia"/>
    <s v="Miranda"/>
    <s v="Male"/>
    <n v="21"/>
    <s v="julia.miranda62@gmail.com"/>
    <n v="9251517432"/>
    <s v="Hyderabad"/>
    <s v="Telangana"/>
    <s v="B.Tech"/>
    <n v="0.7"/>
    <n v="8.6999999999999993"/>
    <n v="11.2"/>
    <s v="60 Days"/>
    <x v="2"/>
    <d v="2025-01-31T00:00:00"/>
    <x v="0"/>
    <x v="0"/>
    <x v="5"/>
    <s v="Q1"/>
    <n v="2025"/>
  </r>
  <r>
    <s v="CAN0995"/>
    <s v="Frank"/>
    <s v="Gonzales"/>
    <s v="Male"/>
    <n v="35"/>
    <s v="frank.gonzales18@gmail.com"/>
    <n v="9856520484"/>
    <s v="Bengaluru"/>
    <s v="Karnataka"/>
    <s v="CA"/>
    <n v="5.5"/>
    <n v="20.399999999999999"/>
    <n v="26.5"/>
    <s v="60 Days"/>
    <x v="1"/>
    <d v="2025-02-25T00:00:00"/>
    <x v="0"/>
    <x v="3"/>
    <x v="1"/>
    <s v="Q1"/>
    <n v="2025"/>
  </r>
  <r>
    <s v="CAN0996"/>
    <s v="Meagan"/>
    <s v="Young"/>
    <s v="Female"/>
    <n v="36"/>
    <s v="meagan.young56@gmail.com"/>
    <n v="9865112552"/>
    <s v="Noida"/>
    <s v="Uttar Pradesh"/>
    <m/>
    <n v="7.7"/>
    <n v="11.4"/>
    <n v="15.8"/>
    <s v="60 Days"/>
    <x v="0"/>
    <d v="2025-09-20T00:00:00"/>
    <x v="0"/>
    <x v="2"/>
    <x v="2"/>
    <s v="Q3"/>
    <n v="2025"/>
  </r>
  <r>
    <s v="CAN0997"/>
    <s v="Heidi"/>
    <s v="Mayo"/>
    <s v="Male"/>
    <n v="27"/>
    <s v="heidi.mayo17@gmail.com"/>
    <n v="9938671882"/>
    <s v="Kolkata"/>
    <s v="West Bengal"/>
    <s v="MCA"/>
    <n v="2.9"/>
    <n v="10"/>
    <n v="11.8"/>
    <s v="15 Days"/>
    <x v="2"/>
    <d v="2025-07-06T00:00:00"/>
    <x v="0"/>
    <x v="1"/>
    <x v="7"/>
    <s v="Q3"/>
    <n v="2025"/>
  </r>
  <r>
    <s v="CAN0998"/>
    <s v="William"/>
    <s v="Porter"/>
    <s v="Male"/>
    <n v="24"/>
    <s v="william.porter39@gmail.com"/>
    <n v="9564870914"/>
    <s v="Hyderabad"/>
    <s v="Telangana"/>
    <s v="B.Sc"/>
    <n v="5.0999999999999996"/>
    <n v="11.4"/>
    <n v="14.8"/>
    <s v="15 Days"/>
    <x v="5"/>
    <d v="2025-07-30T00:00:00"/>
    <x v="0"/>
    <x v="0"/>
    <x v="7"/>
    <s v="Q3"/>
    <n v="2025"/>
  </r>
  <r>
    <s v="CAN0999"/>
    <s v="Tyler"/>
    <s v="Henson"/>
    <s v="Female"/>
    <n v="29"/>
    <s v="tyler.henson43@gmail.com"/>
    <n v="9413004281"/>
    <s v="Hyderabad"/>
    <s v="Telangana"/>
    <s v="BBA"/>
    <n v="2.6"/>
    <n v="11.6"/>
    <n v="15.1"/>
    <s v="30 Days"/>
    <x v="5"/>
    <d v="2025-08-08T00:00:00"/>
    <x v="0"/>
    <x v="1"/>
    <x v="3"/>
    <s v="Q3"/>
    <n v="2025"/>
  </r>
  <r>
    <s v="CAN1000"/>
    <s v="Richard"/>
    <s v="Walker"/>
    <s v="Male"/>
    <n v="30"/>
    <s v="richard.walker38@gmail.com"/>
    <n v="9220512055"/>
    <s v="Delhi"/>
    <s v="Delhi"/>
    <s v="B.Tech"/>
    <n v="4.5999999999999996"/>
    <n v="9.6"/>
    <n v="11.3"/>
    <s v="15 Days"/>
    <x v="5"/>
    <d v="2025-06-24T00:00:00"/>
    <x v="0"/>
    <x v="1"/>
    <x v="0"/>
    <s v="Q2"/>
    <n v="2025"/>
  </r>
  <r>
    <s v="CAN1001"/>
    <s v="Christopher"/>
    <s v="Andrews"/>
    <s v="Male"/>
    <n v="28"/>
    <s v="christopher.andrews30@gmail.com"/>
    <n v="9958667923"/>
    <s v="Hyderabad"/>
    <s v="Telangana"/>
    <s v="M.Sc"/>
    <n v="1"/>
    <n v="7.6"/>
    <n v="9.6999999999999993"/>
    <s v="30 Days"/>
    <x v="3"/>
    <d v="2025-05-09T00:00:00"/>
    <x v="0"/>
    <x v="1"/>
    <x v="10"/>
    <s v="Q2"/>
    <n v="2025"/>
  </r>
  <r>
    <s v="CAN1002"/>
    <s v="Alexis"/>
    <s v="Peterson"/>
    <s v="Male"/>
    <n v="27"/>
    <s v="alexis.peterson10@gmail.com"/>
    <n v="9825458326"/>
    <s v="Delhi"/>
    <s v="Delhi"/>
    <s v="BBA"/>
    <n v="0"/>
    <n v="10.8"/>
    <n v="14.3"/>
    <m/>
    <x v="2"/>
    <d v="2025-02-16T00:00:00"/>
    <x v="0"/>
    <x v="1"/>
    <x v="1"/>
    <s v="Q1"/>
    <n v="2025"/>
  </r>
  <r>
    <s v="CAN1003"/>
    <s v="Ashley"/>
    <s v="Parker"/>
    <s v="Female"/>
    <n v="23"/>
    <s v="ashley.parker61@gmail.com"/>
    <n v="9500995122"/>
    <s v="Mumbai"/>
    <s v="Maharashtra"/>
    <s v="M.Tech"/>
    <n v="6.1"/>
    <n v="4.7"/>
    <n v="5.4"/>
    <s v="60 Days"/>
    <x v="6"/>
    <d v="2025-07-11T00:00:00"/>
    <x v="0"/>
    <x v="0"/>
    <x v="7"/>
    <s v="Q3"/>
    <n v="2025"/>
  </r>
  <r>
    <s v="CAN1004"/>
    <s v="Beth"/>
    <s v="Gonzalez"/>
    <s v="Male"/>
    <n v="24"/>
    <s v="beth.gonzalez66@gmail.com"/>
    <n v="9370939757"/>
    <s v="Bengaluru"/>
    <s v="Karnataka"/>
    <s v="B.Tech"/>
    <n v="0.1"/>
    <n v="5.5"/>
    <n v="6.4"/>
    <m/>
    <x v="1"/>
    <d v="2025-07-11T00:00:00"/>
    <x v="0"/>
    <x v="0"/>
    <x v="7"/>
    <s v="Q3"/>
    <n v="2025"/>
  </r>
  <r>
    <s v="CAN1005"/>
    <s v="Crystal"/>
    <s v="Jordan"/>
    <s v="Female"/>
    <n v="25"/>
    <s v="crystal.jordan59@gmail.com"/>
    <n v="9278578318"/>
    <s v="Kochi"/>
    <s v="Kerala"/>
    <s v="BBA"/>
    <n v="1.5"/>
    <n v="11"/>
    <n v="15.4"/>
    <s v="15 Days"/>
    <x v="2"/>
    <d v="2025-05-27T00:00:00"/>
    <x v="0"/>
    <x v="0"/>
    <x v="10"/>
    <s v="Q2"/>
    <n v="2025"/>
  </r>
  <r>
    <s v="CAN1006"/>
    <s v="Darren"/>
    <s v="Delgado"/>
    <s v="Female"/>
    <n v="28"/>
    <s v="darren.delgado80@gmail.com"/>
    <n v="9436647857"/>
    <s v="Noida"/>
    <s v="Uttar Pradesh"/>
    <s v="B.Tech"/>
    <n v="0.6"/>
    <n v="7.3"/>
    <n v="9.6"/>
    <s v="30 Days"/>
    <x v="2"/>
    <d v="2025-04-14T00:00:00"/>
    <x v="0"/>
    <x v="1"/>
    <x v="11"/>
    <s v="Q2"/>
    <n v="2025"/>
  </r>
  <r>
    <s v="CAN1007"/>
    <s v="Brittany"/>
    <s v="Rojas"/>
    <s v="Male"/>
    <n v="28"/>
    <s v="brittany.rojas55@gmail.com"/>
    <n v="9717071170"/>
    <s v="Ahmedabad"/>
    <s v="Gujarat"/>
    <s v="M.Sc"/>
    <n v="0.4"/>
    <n v="3.9"/>
    <n v="4.7"/>
    <s v="30 Days"/>
    <x v="0"/>
    <d v="2025-02-08T00:00:00"/>
    <x v="0"/>
    <x v="1"/>
    <x v="1"/>
    <s v="Q1"/>
    <n v="2025"/>
  </r>
  <r>
    <s v="CAN1008"/>
    <s v="Kristy"/>
    <s v="Brown"/>
    <s v="Male"/>
    <n v="26"/>
    <s v="kristy.brown83@gmail.com"/>
    <n v="9267425158"/>
    <s v="Kolkata"/>
    <s v="West Bengal"/>
    <s v="MBA"/>
    <n v="7"/>
    <n v="16"/>
    <n v="18.2"/>
    <s v="15 Days"/>
    <x v="6"/>
    <d v="2025-11-30T00:00:00"/>
    <x v="0"/>
    <x v="1"/>
    <x v="9"/>
    <s v="Q4"/>
    <n v="2025"/>
  </r>
  <r>
    <s v="CAN1009"/>
    <s v="Allen"/>
    <s v="Strickland"/>
    <s v="Male"/>
    <n v="29"/>
    <s v="allen.strickland24@gmail.com"/>
    <n v="9650275279"/>
    <s v="Chennai"/>
    <s v="Tamil Nadu"/>
    <s v="B.Tech"/>
    <n v="0.6"/>
    <n v="3.2"/>
    <n v="3.6"/>
    <s v="15 Days"/>
    <x v="0"/>
    <d v="2025-09-19T00:00:00"/>
    <x v="0"/>
    <x v="1"/>
    <x v="2"/>
    <s v="Q3"/>
    <n v="2025"/>
  </r>
  <r>
    <s v="CAN1010"/>
    <s v="Justin"/>
    <s v="Todd"/>
    <s v="Male"/>
    <n v="24"/>
    <s v="justin.todd91@gmail.com"/>
    <n v="9682740751"/>
    <s v="Delhi"/>
    <s v="Delhi"/>
    <s v="B.Com"/>
    <n v="3"/>
    <n v="11.3"/>
    <n v="14.6"/>
    <s v="15 Days"/>
    <x v="4"/>
    <d v="2025-12-27T00:00:00"/>
    <x v="0"/>
    <x v="0"/>
    <x v="4"/>
    <s v="Q4"/>
    <n v="2025"/>
  </r>
  <r>
    <s v="CAN1011"/>
    <s v="John"/>
    <s v="Yates"/>
    <s v="Female"/>
    <n v="39"/>
    <s v="john.yates54@gmail.com"/>
    <n v="9843081089"/>
    <s v="Kolkata"/>
    <s v="West Bengal"/>
    <s v="M.Tech"/>
    <n v="1.5"/>
    <n v="5.3"/>
    <n v="6.6"/>
    <s v="30 Days"/>
    <x v="6"/>
    <d v="2025-01-23T00:00:00"/>
    <x v="0"/>
    <x v="2"/>
    <x v="5"/>
    <s v="Q1"/>
    <n v="2025"/>
  </r>
  <r>
    <s v="CAN1012"/>
    <s v="Savannah"/>
    <s v="Blair"/>
    <s v="Male"/>
    <n v="26"/>
    <s v="savannah.blair24@gmail.com"/>
    <n v="9929730879"/>
    <s v="Indore"/>
    <s v="Madhya Pradesh"/>
    <s v="M.Tech"/>
    <n v="7.6"/>
    <n v="13.8"/>
    <n v="18.899999999999999"/>
    <s v="90 Days"/>
    <x v="0"/>
    <d v="2025-12-08T00:00:00"/>
    <x v="0"/>
    <x v="1"/>
    <x v="4"/>
    <s v="Q4"/>
    <n v="2025"/>
  </r>
  <r>
    <s v="CAN1013"/>
    <s v="Justin"/>
    <s v="Perez"/>
    <s v="Male"/>
    <n v="28"/>
    <s v="justin.perez5@gmail.com"/>
    <n v="9244112292"/>
    <s v="Jaipur"/>
    <s v="Rajasthan"/>
    <s v="M.Sc"/>
    <n v="0"/>
    <n v="2.5"/>
    <n v="3.6"/>
    <s v="30 Days"/>
    <x v="2"/>
    <d v="2025-03-26T00:00:00"/>
    <x v="0"/>
    <x v="1"/>
    <x v="6"/>
    <s v="Q1"/>
    <n v="2025"/>
  </r>
  <r>
    <s v="CAN1014"/>
    <s v="Adrian"/>
    <s v="Wheeler"/>
    <s v="Male"/>
    <n v="35"/>
    <s v="adrian.wheeler79@gmail.com"/>
    <n v="9220921713"/>
    <s v="Kolkata"/>
    <s v="West Bengal"/>
    <s v="MBA"/>
    <n v="8"/>
    <n v="10.6"/>
    <n v="13.7"/>
    <s v="Immediate"/>
    <x v="4"/>
    <d v="2025-09-08T00:00:00"/>
    <x v="0"/>
    <x v="3"/>
    <x v="2"/>
    <s v="Q3"/>
    <n v="2025"/>
  </r>
  <r>
    <s v="CAN1015"/>
    <s v="Jill"/>
    <s v="Humphrey"/>
    <s v="Female"/>
    <n v="32"/>
    <s v="jill.humphrey6@gmail.com"/>
    <n v="9329745588"/>
    <s v="Kochi"/>
    <s v="Kerala"/>
    <s v="MCA"/>
    <n v="11.1"/>
    <n v="18.8"/>
    <n v="21.6"/>
    <m/>
    <x v="3"/>
    <d v="2025-10-28T00:00:00"/>
    <x v="0"/>
    <x v="3"/>
    <x v="8"/>
    <s v="Q4"/>
    <n v="2025"/>
  </r>
  <r>
    <s v="CAN1016"/>
    <s v="Joanna"/>
    <s v="Adams"/>
    <s v="Female"/>
    <n v="29"/>
    <s v="joanna.adams29@gmail.com"/>
    <n v="9145719868"/>
    <s v="Jaipur"/>
    <s v="Rajasthan"/>
    <s v="BBA"/>
    <n v="5.5"/>
    <n v="11.8"/>
    <n v="14.7"/>
    <s v="30 Days"/>
    <x v="0"/>
    <d v="2025-08-07T00:00:00"/>
    <x v="0"/>
    <x v="1"/>
    <x v="3"/>
    <s v="Q3"/>
    <n v="2025"/>
  </r>
  <r>
    <s v="CAN1017"/>
    <s v="Carrie"/>
    <s v="Parker"/>
    <s v="Female"/>
    <n v="34"/>
    <s v="carrie.parker38@gmail.com"/>
    <n v="9603256433"/>
    <s v="Pune"/>
    <s v="Maharashtra"/>
    <s v="B.Tech"/>
    <n v="13.2"/>
    <n v="23.8"/>
    <n v="29.6"/>
    <s v="30 Days"/>
    <x v="1"/>
    <d v="2025-10-12T00:00:00"/>
    <x v="0"/>
    <x v="3"/>
    <x v="8"/>
    <s v="Q4"/>
    <n v="2025"/>
  </r>
  <r>
    <s v="CAN1018"/>
    <s v="Jacob"/>
    <s v="Thomas"/>
    <s v="Female"/>
    <n v="22"/>
    <s v="jacob.thomas34@gmail.com"/>
    <n v="9629877976"/>
    <s v="Indore"/>
    <s v="Madhya Pradesh"/>
    <s v="B.Tech"/>
    <n v="6.3"/>
    <n v="4.7"/>
    <n v="5.4"/>
    <m/>
    <x v="1"/>
    <d v="2025-01-08T00:00:00"/>
    <x v="0"/>
    <x v="0"/>
    <x v="5"/>
    <s v="Q1"/>
    <n v="2025"/>
  </r>
  <r>
    <s v="CAN1019"/>
    <s v="Paula"/>
    <s v="Price"/>
    <s v="Female"/>
    <n v="27"/>
    <s v="paula.price80@gmail.com"/>
    <n v="9961267036"/>
    <s v="Ahmedabad"/>
    <s v="Gujarat"/>
    <m/>
    <n v="0.6"/>
    <n v="6.3"/>
    <n v="7.9"/>
    <s v="60 Days"/>
    <x v="5"/>
    <d v="2025-10-04T00:00:00"/>
    <x v="0"/>
    <x v="1"/>
    <x v="8"/>
    <s v="Q4"/>
    <n v="2025"/>
  </r>
  <r>
    <s v="CAN1020"/>
    <s v="Zachary"/>
    <s v="Lawrence"/>
    <s v="Female"/>
    <n v="27"/>
    <s v="zachary.lawrence28@gmail.com"/>
    <n v="9134149577"/>
    <s v="Bengaluru"/>
    <s v="Karnataka"/>
    <s v="B.Sc"/>
    <n v="3.1"/>
    <n v="10"/>
    <n v="13.2"/>
    <s v="30 Days"/>
    <x v="0"/>
    <d v="2025-01-19T00:00:00"/>
    <x v="0"/>
    <x v="1"/>
    <x v="5"/>
    <s v="Q1"/>
    <n v="2025"/>
  </r>
  <r>
    <s v="CAN1021"/>
    <s v="Shawn"/>
    <s v="Martinez"/>
    <s v="Female"/>
    <n v="27"/>
    <s v="shawn.martinez29@gmail.com"/>
    <n v="9199183948"/>
    <s v="Pune"/>
    <s v="Maharashtra"/>
    <s v="B.Com"/>
    <n v="5.8"/>
    <n v="13"/>
    <n v="17.8"/>
    <s v="60 Days"/>
    <x v="3"/>
    <d v="2025-01-14T00:00:00"/>
    <x v="0"/>
    <x v="1"/>
    <x v="5"/>
    <s v="Q1"/>
    <n v="2025"/>
  </r>
  <r>
    <s v="CAN1022"/>
    <s v="Daniel"/>
    <s v="Cain"/>
    <s v="Female"/>
    <n v="35"/>
    <s v="daniel.cain94@gmail.com"/>
    <n v="9644988194"/>
    <s v="Mumbai"/>
    <s v="Maharashtra"/>
    <s v="M.Tech"/>
    <n v="1.3"/>
    <n v="6.6"/>
    <n v="8.4"/>
    <s v="30 Days"/>
    <x v="5"/>
    <d v="2025-02-27T00:00:00"/>
    <x v="0"/>
    <x v="3"/>
    <x v="1"/>
    <s v="Q1"/>
    <n v="2025"/>
  </r>
  <r>
    <s v="CAN1023"/>
    <s v="Lisa"/>
    <s v="Byrd"/>
    <s v="Female"/>
    <n v="29"/>
    <s v="lisa.byrd57@gmail.com"/>
    <n v="9773441387"/>
    <s v="Chandigarh"/>
    <s v="Chandigarh"/>
    <s v="B.Tech"/>
    <n v="0.4"/>
    <n v="7.2"/>
    <n v="9.1999999999999993"/>
    <s v="30 Days"/>
    <x v="1"/>
    <d v="2025-09-27T00:00:00"/>
    <x v="0"/>
    <x v="1"/>
    <x v="2"/>
    <s v="Q3"/>
    <n v="2025"/>
  </r>
  <r>
    <s v="CAN1024"/>
    <s v="Steve"/>
    <s v="Miller"/>
    <s v="Male"/>
    <n v="24"/>
    <s v="steve.miller89@gmail.com"/>
    <n v="9745013262"/>
    <s v="Pune"/>
    <s v="Maharashtra"/>
    <s v="B.Com"/>
    <n v="1"/>
    <n v="5.9"/>
    <n v="7.5"/>
    <s v="15 Days"/>
    <x v="0"/>
    <d v="2025-08-29T00:00:00"/>
    <x v="0"/>
    <x v="0"/>
    <x v="3"/>
    <s v="Q3"/>
    <n v="2025"/>
  </r>
  <r>
    <s v="CAN1025"/>
    <s v="Heather"/>
    <s v="Evans"/>
    <s v="Male"/>
    <n v="21"/>
    <s v="heather.evans43@gmail.com"/>
    <n v="9755729749"/>
    <s v="Kolkata"/>
    <s v="West Bengal"/>
    <s v="CA"/>
    <n v="0.5"/>
    <n v="8.6"/>
    <n v="10.3"/>
    <s v="30 Days"/>
    <x v="3"/>
    <d v="2025-09-12T00:00:00"/>
    <x v="0"/>
    <x v="0"/>
    <x v="2"/>
    <s v="Q3"/>
    <n v="2025"/>
  </r>
  <r>
    <s v="CAN1026"/>
    <s v="Brenda"/>
    <s v="Warren"/>
    <s v="Male"/>
    <n v="29"/>
    <s v="brenda.warren54@gmail.com"/>
    <n v="9528613792"/>
    <s v="Hyderabad"/>
    <s v="Telangana"/>
    <m/>
    <n v="0.3"/>
    <n v="8.9"/>
    <n v="11.2"/>
    <s v="30 Days"/>
    <x v="6"/>
    <d v="2025-09-10T00:00:00"/>
    <x v="0"/>
    <x v="1"/>
    <x v="2"/>
    <s v="Q3"/>
    <n v="2025"/>
  </r>
  <r>
    <s v="CAN1027"/>
    <s v="Colleen"/>
    <s v="Ross"/>
    <s v="Female"/>
    <n v="28"/>
    <s v="colleen.ross28@gmail.com"/>
    <n v="9474154177"/>
    <s v="Chennai"/>
    <s v="Tamil Nadu"/>
    <s v="MBA"/>
    <n v="17.899999999999999"/>
    <n v="24.4"/>
    <n v="29.7"/>
    <s v="15 Days"/>
    <x v="6"/>
    <d v="2025-02-17T00:00:00"/>
    <x v="0"/>
    <x v="1"/>
    <x v="1"/>
    <s v="Q1"/>
    <n v="2025"/>
  </r>
  <r>
    <s v="CAN1028"/>
    <s v="Alexandria"/>
    <s v="Pierce"/>
    <s v="Male"/>
    <n v="37"/>
    <s v="alexandria.pierce20@gmail.com"/>
    <n v="9197043149"/>
    <s v="Kolkata"/>
    <s v="West Bengal"/>
    <s v="B.Tech"/>
    <n v="2"/>
    <n v="11.6"/>
    <n v="15.5"/>
    <s v="60 Days"/>
    <x v="2"/>
    <d v="2025-12-07T00:00:00"/>
    <x v="0"/>
    <x v="2"/>
    <x v="4"/>
    <s v="Q4"/>
    <n v="2025"/>
  </r>
  <r>
    <s v="CAN1029"/>
    <s v="Laura"/>
    <s v="Hobbs"/>
    <s v="Male"/>
    <n v="26"/>
    <s v="laura.hobbs57@gmail.com"/>
    <n v="9699909382"/>
    <s v="Hyderabad"/>
    <s v="Telangana"/>
    <s v="M.Sc"/>
    <n v="1.5"/>
    <n v="3.8"/>
    <n v="4.4000000000000004"/>
    <s v="30 Days"/>
    <x v="0"/>
    <d v="2025-11-03T00:00:00"/>
    <x v="0"/>
    <x v="1"/>
    <x v="9"/>
    <s v="Q4"/>
    <n v="2025"/>
  </r>
  <r>
    <s v="CAN1030"/>
    <s v="Christopher"/>
    <s v="Kennedy"/>
    <s v="Male"/>
    <n v="23"/>
    <s v="christopher.kennedy71@gmail.com"/>
    <n v="9578192721"/>
    <s v="Chennai"/>
    <s v="Tamil Nadu"/>
    <s v="M.Tech"/>
    <n v="1.9"/>
    <n v="8.5"/>
    <n v="12"/>
    <s v="15 Days"/>
    <x v="3"/>
    <d v="2025-09-28T00:00:00"/>
    <x v="0"/>
    <x v="0"/>
    <x v="2"/>
    <s v="Q3"/>
    <n v="2025"/>
  </r>
  <r>
    <s v="CAN1031"/>
    <s v="Kathleen"/>
    <s v="Valenzuela"/>
    <s v="Male"/>
    <n v="32"/>
    <s v="kathleen.valenzuela24@gmail.com"/>
    <n v="9191481696"/>
    <s v="Jaipur"/>
    <s v="Rajasthan"/>
    <s v="MBA"/>
    <n v="1.3"/>
    <n v="6.9"/>
    <n v="8.1"/>
    <s v="30 Days"/>
    <x v="0"/>
    <d v="2025-08-28T00:00:00"/>
    <x v="0"/>
    <x v="3"/>
    <x v="3"/>
    <s v="Q3"/>
    <n v="2025"/>
  </r>
  <r>
    <s v="CAN1032"/>
    <s v="Judy"/>
    <s v="Valentine"/>
    <s v="Female"/>
    <n v="34"/>
    <s v="judy.valentine66@gmail.com"/>
    <n v="9700973204"/>
    <s v="Indore"/>
    <s v="Madhya Pradesh"/>
    <s v="MBA"/>
    <n v="0.3"/>
    <n v="2.5"/>
    <n v="3.4"/>
    <s v="15 Days"/>
    <x v="1"/>
    <d v="2025-07-12T00:00:00"/>
    <x v="0"/>
    <x v="3"/>
    <x v="7"/>
    <s v="Q3"/>
    <n v="2025"/>
  </r>
  <r>
    <s v="CAN1033"/>
    <s v="Karen"/>
    <s v="Crawford"/>
    <s v="Male"/>
    <n v="24"/>
    <s v="karen.crawford10@gmail.com"/>
    <n v="9669623420"/>
    <s v="Jaipur"/>
    <s v="Rajasthan"/>
    <s v="MBA"/>
    <n v="0.7"/>
    <n v="6.2"/>
    <n v="7.3"/>
    <s v="60 Days"/>
    <x v="0"/>
    <d v="2025-06-10T00:00:00"/>
    <x v="0"/>
    <x v="0"/>
    <x v="0"/>
    <s v="Q2"/>
    <n v="2025"/>
  </r>
  <r>
    <s v="CAN1034"/>
    <s v="Jamie"/>
    <s v="Mullen"/>
    <s v="Female"/>
    <n v="36"/>
    <s v="jamie.mullen93@gmail.com"/>
    <n v="9781178943"/>
    <s v="Gurugram"/>
    <s v="Haryana"/>
    <s v="MCA"/>
    <n v="1.7"/>
    <n v="6.5"/>
    <n v="8.5"/>
    <s v="60 Days"/>
    <x v="0"/>
    <d v="2025-02-07T00:00:00"/>
    <x v="0"/>
    <x v="2"/>
    <x v="1"/>
    <s v="Q1"/>
    <n v="2025"/>
  </r>
  <r>
    <s v="CAN1035"/>
    <s v="Paul"/>
    <s v="Vance"/>
    <s v="Male"/>
    <n v="36"/>
    <s v="paul.vance98@gmail.com"/>
    <n v="9160816777"/>
    <s v="Pune"/>
    <s v="Maharashtra"/>
    <s v="B.Tech"/>
    <n v="1.2"/>
    <n v="7.4"/>
    <n v="8.9"/>
    <s v="30 Days"/>
    <x v="0"/>
    <d v="2025-06-10T00:00:00"/>
    <x v="0"/>
    <x v="2"/>
    <x v="0"/>
    <s v="Q2"/>
    <n v="2025"/>
  </r>
  <r>
    <s v="CAN1036"/>
    <s v="Vickie"/>
    <s v="Cooper"/>
    <s v="Male"/>
    <n v="31"/>
    <s v="vickie.cooper61@gmail.com"/>
    <n v="9239446869"/>
    <s v="Gurugram"/>
    <s v="Haryana"/>
    <s v="BBA"/>
    <n v="7.4"/>
    <n v="14.4"/>
    <n v="16.7"/>
    <m/>
    <x v="1"/>
    <d v="2025-02-07T00:00:00"/>
    <x v="0"/>
    <x v="3"/>
    <x v="1"/>
    <s v="Q1"/>
    <n v="2025"/>
  </r>
  <r>
    <s v="CAN1037"/>
    <s v="William"/>
    <s v="Thomas"/>
    <s v="Male"/>
    <n v="21"/>
    <s v="william.thomas9@gmail.com"/>
    <n v="9352225709"/>
    <s v="Ahmedabad"/>
    <s v="Gujarat"/>
    <s v="MBA"/>
    <n v="3.1"/>
    <n v="8.6999999999999993"/>
    <n v="10.199999999999999"/>
    <s v="15 Days"/>
    <x v="0"/>
    <d v="2025-04-11T00:00:00"/>
    <x v="0"/>
    <x v="0"/>
    <x v="11"/>
    <s v="Q2"/>
    <n v="2025"/>
  </r>
  <r>
    <s v="CAN1038"/>
    <s v="Christy"/>
    <s v="Brennan"/>
    <s v="Male"/>
    <n v="29"/>
    <s v="christy.brennan4@gmail.com"/>
    <n v="9448386933"/>
    <s v="Mumbai"/>
    <s v="Maharashtra"/>
    <s v="MBA"/>
    <n v="11.5"/>
    <n v="22.1"/>
    <n v="28.9"/>
    <s v="60 Days"/>
    <x v="0"/>
    <d v="2025-05-27T00:00:00"/>
    <x v="0"/>
    <x v="1"/>
    <x v="10"/>
    <s v="Q2"/>
    <n v="2025"/>
  </r>
  <r>
    <s v="CAN1039"/>
    <s v="Stacy"/>
    <s v="Williams"/>
    <s v="Male"/>
    <n v="32"/>
    <s v="stacy.williams81@gmail.com"/>
    <n v="9356016575"/>
    <s v="Indore"/>
    <s v="Madhya Pradesh"/>
    <s v="MBA"/>
    <n v="5.7"/>
    <n v="18.3"/>
    <n v="22.9"/>
    <s v="30 Days"/>
    <x v="1"/>
    <d v="2025-03-13T00:00:00"/>
    <x v="0"/>
    <x v="3"/>
    <x v="6"/>
    <s v="Q1"/>
    <n v="2025"/>
  </r>
  <r>
    <s v="CAN1040"/>
    <s v="Paul"/>
    <s v="Wright"/>
    <s v="Male"/>
    <n v="23"/>
    <s v="paul.wright97@gmail.com"/>
    <n v="9991016581"/>
    <s v="Bengaluru"/>
    <s v="Karnataka"/>
    <s v="B.Tech"/>
    <n v="3.6"/>
    <n v="11.1"/>
    <n v="15.4"/>
    <s v="15 Days"/>
    <x v="0"/>
    <d v="2025-01-04T00:00:00"/>
    <x v="0"/>
    <x v="0"/>
    <x v="5"/>
    <s v="Q1"/>
    <n v="2025"/>
  </r>
  <r>
    <s v="CAN1041"/>
    <s v="Michael"/>
    <s v="Schmidt"/>
    <s v="Male"/>
    <n v="32"/>
    <s v="michael.schmidt62@gmail.com"/>
    <n v="9699508642"/>
    <s v="Jaipur"/>
    <s v="Rajasthan"/>
    <s v="MBA"/>
    <n v="17.2"/>
    <n v="28.4"/>
    <n v="41.1"/>
    <s v="15 Days"/>
    <x v="6"/>
    <d v="2025-12-25T00:00:00"/>
    <x v="0"/>
    <x v="3"/>
    <x v="4"/>
    <s v="Q4"/>
    <n v="2025"/>
  </r>
  <r>
    <s v="CAN1042"/>
    <s v="Mark"/>
    <s v="Diaz"/>
    <s v="Male"/>
    <n v="22"/>
    <s v="mark.diaz27@gmail.com"/>
    <n v="9273407312"/>
    <s v="Hyderabad"/>
    <s v="Telangana"/>
    <s v="BBA"/>
    <n v="1.9"/>
    <n v="15.8"/>
    <n v="20.9"/>
    <s v="30 Days"/>
    <x v="0"/>
    <d v="2025-05-18T00:00:00"/>
    <x v="0"/>
    <x v="0"/>
    <x v="10"/>
    <s v="Q2"/>
    <n v="2025"/>
  </r>
  <r>
    <s v="CAN1043"/>
    <s v="Dennis"/>
    <s v="Edwards"/>
    <s v="Male"/>
    <n v="27"/>
    <s v="dennis.edwards97@gmail.com"/>
    <n v="9109365873"/>
    <s v="Indore"/>
    <s v="Madhya Pradesh"/>
    <s v="MBA"/>
    <n v="3.6"/>
    <n v="5.6"/>
    <n v="7.8"/>
    <s v="30 Days"/>
    <x v="4"/>
    <d v="2025-08-29T00:00:00"/>
    <x v="0"/>
    <x v="1"/>
    <x v="3"/>
    <s v="Q3"/>
    <n v="2025"/>
  </r>
  <r>
    <s v="CAN1044"/>
    <s v="Bryan"/>
    <s v="English"/>
    <s v="Female"/>
    <n v="24"/>
    <s v="bryan.english38@gmail.com"/>
    <n v="9645621394"/>
    <s v="Indore"/>
    <s v="Madhya Pradesh"/>
    <s v="M.Tech"/>
    <n v="0.1"/>
    <n v="7.7"/>
    <n v="9.8000000000000007"/>
    <s v="15 Days"/>
    <x v="2"/>
    <d v="2025-03-08T00:00:00"/>
    <x v="0"/>
    <x v="0"/>
    <x v="6"/>
    <s v="Q1"/>
    <n v="2025"/>
  </r>
  <r>
    <s v="CAN1045"/>
    <s v="Erica"/>
    <s v="Hill"/>
    <s v="Male"/>
    <n v="30"/>
    <s v="erica.hill92@gmail.com"/>
    <n v="9219309575"/>
    <s v="Kochi"/>
    <s v="Kerala"/>
    <s v="B.Com"/>
    <n v="4.3"/>
    <n v="12.8"/>
    <n v="14.4"/>
    <s v="60 Days"/>
    <x v="0"/>
    <d v="2025-01-17T00:00:00"/>
    <x v="0"/>
    <x v="1"/>
    <x v="5"/>
    <s v="Q1"/>
    <n v="2025"/>
  </r>
  <r>
    <s v="CAN1046"/>
    <s v="Candice"/>
    <s v="Johnson"/>
    <s v="Female"/>
    <n v="27"/>
    <s v="candice.johnson88@gmail.com"/>
    <n v="9309377015"/>
    <s v="Delhi"/>
    <s v="Delhi"/>
    <s v="B.Com"/>
    <n v="2.4"/>
    <n v="10.199999999999999"/>
    <n v="14.6"/>
    <s v="60 Days"/>
    <x v="4"/>
    <d v="2025-06-15T00:00:00"/>
    <x v="0"/>
    <x v="1"/>
    <x v="0"/>
    <s v="Q2"/>
    <n v="2025"/>
  </r>
  <r>
    <s v="CAN1047"/>
    <s v="Ashley"/>
    <s v="Schmidt"/>
    <s v="Female"/>
    <n v="35"/>
    <s v="ashley.schmidt95@gmail.com"/>
    <n v="9665040014"/>
    <s v="Pune"/>
    <s v="Maharashtra"/>
    <s v="CA"/>
    <n v="11"/>
    <n v="20.7"/>
    <n v="27.4"/>
    <s v="30 Days"/>
    <x v="1"/>
    <d v="2025-05-14T00:00:00"/>
    <x v="0"/>
    <x v="3"/>
    <x v="10"/>
    <s v="Q2"/>
    <n v="2025"/>
  </r>
  <r>
    <s v="CAN1048"/>
    <s v="Paul"/>
    <s v="Neal"/>
    <s v="Male"/>
    <n v="29"/>
    <s v="paul.neal21@gmail.com"/>
    <n v="9464781511"/>
    <s v="Jaipur"/>
    <s v="Rajasthan"/>
    <s v="B.Sc"/>
    <n v="1.9"/>
    <n v="5"/>
    <n v="5.7"/>
    <s v="30 Days"/>
    <x v="0"/>
    <d v="2025-09-23T00:00:00"/>
    <x v="0"/>
    <x v="1"/>
    <x v="2"/>
    <s v="Q3"/>
    <n v="2025"/>
  </r>
  <r>
    <s v="CAN1049"/>
    <s v="Frank"/>
    <s v="Mcneil"/>
    <s v="Male"/>
    <n v="31"/>
    <s v="frank.mcneil57@gmail.com"/>
    <n v="9417878090"/>
    <s v="Noida"/>
    <s v="Uttar Pradesh"/>
    <s v="B.Tech"/>
    <n v="11.3"/>
    <n v="17"/>
    <n v="21.7"/>
    <s v="Immediate"/>
    <x v="0"/>
    <d v="2025-03-18T00:00:00"/>
    <x v="0"/>
    <x v="3"/>
    <x v="6"/>
    <s v="Q1"/>
    <n v="2025"/>
  </r>
  <r>
    <s v="CAN1050"/>
    <s v="Brian"/>
    <s v="King"/>
    <s v="Male"/>
    <n v="35"/>
    <s v="brian.king77@gmail.com"/>
    <n v="9956829612"/>
    <s v="Noida"/>
    <s v="Uttar Pradesh"/>
    <s v="M.Sc"/>
    <n v="1.6"/>
    <n v="8"/>
    <n v="9.6"/>
    <m/>
    <x v="2"/>
    <d v="2025-08-19T00:00:00"/>
    <x v="0"/>
    <x v="3"/>
    <x v="3"/>
    <s v="Q3"/>
    <n v="2025"/>
  </r>
  <r>
    <s v="CAN1051"/>
    <s v="Willie"/>
    <s v="Soto"/>
    <s v="Female"/>
    <n v="21"/>
    <s v="willie.soto70@gmail.com"/>
    <n v="9471304884"/>
    <s v="Pune"/>
    <s v="Maharashtra"/>
    <s v="B.Tech"/>
    <n v="0.8"/>
    <n v="7.2"/>
    <n v="8.3000000000000007"/>
    <s v="30 Days"/>
    <x v="2"/>
    <d v="2025-02-09T00:00:00"/>
    <x v="0"/>
    <x v="0"/>
    <x v="1"/>
    <s v="Q1"/>
    <n v="2025"/>
  </r>
  <r>
    <s v="CAN1052"/>
    <s v="Glenda"/>
    <s v="Taylor"/>
    <s v="Female"/>
    <n v="22"/>
    <s v="glenda.taylor32@gmail.com"/>
    <n v="9700636488"/>
    <s v="Pune"/>
    <s v="Maharashtra"/>
    <s v="MBA"/>
    <n v="4.0999999999999996"/>
    <n v="10.4"/>
    <n v="12.3"/>
    <s v="30 Days"/>
    <x v="2"/>
    <d v="2025-09-27T00:00:00"/>
    <x v="0"/>
    <x v="0"/>
    <x v="2"/>
    <s v="Q3"/>
    <n v="2025"/>
  </r>
  <r>
    <s v="CAN1053"/>
    <s v="Megan"/>
    <s v="Fox"/>
    <s v="Female"/>
    <n v="29"/>
    <s v="megan.fox93@gmail.com"/>
    <n v="9994216865"/>
    <s v="Bengaluru"/>
    <s v="Karnataka"/>
    <s v="MBA"/>
    <n v="0.4"/>
    <n v="12.6"/>
    <n v="16.5"/>
    <s v="30 Days"/>
    <x v="2"/>
    <d v="2025-03-07T00:00:00"/>
    <x v="0"/>
    <x v="1"/>
    <x v="6"/>
    <s v="Q1"/>
    <n v="2025"/>
  </r>
  <r>
    <s v="CAN1054"/>
    <s v="Diane"/>
    <s v="Powell"/>
    <s v="Female"/>
    <n v="33"/>
    <s v="diane.powell95@gmail.com"/>
    <n v="9570871261"/>
    <s v="Ahmedabad"/>
    <s v="Gujarat"/>
    <s v="B.Tech"/>
    <n v="1.1000000000000001"/>
    <n v="4"/>
    <n v="4.5999999999999996"/>
    <s v="60 Days"/>
    <x v="0"/>
    <d v="2025-10-13T00:00:00"/>
    <x v="0"/>
    <x v="3"/>
    <x v="8"/>
    <s v="Q4"/>
    <n v="2025"/>
  </r>
  <r>
    <s v="CAN1055"/>
    <s v="Bradley"/>
    <s v="Guerrero"/>
    <s v="Male"/>
    <n v="23"/>
    <s v="bradley.guerrero58@gmail.com"/>
    <n v="9816360030"/>
    <s v="Pune"/>
    <s v="Maharashtra"/>
    <s v="B.Sc"/>
    <n v="0.3"/>
    <n v="7.2"/>
    <n v="9.8000000000000007"/>
    <s v="15 Days"/>
    <x v="3"/>
    <d v="2025-06-11T00:00:00"/>
    <x v="0"/>
    <x v="0"/>
    <x v="0"/>
    <s v="Q2"/>
    <n v="2025"/>
  </r>
  <r>
    <s v="CAN1056"/>
    <s v="Candice"/>
    <s v="Reynolds"/>
    <s v="Female"/>
    <n v="27"/>
    <s v="candice.reynolds74@gmail.com"/>
    <n v="9156082754"/>
    <s v="Ahmedabad"/>
    <s v="Gujarat"/>
    <s v="M.Tech"/>
    <n v="3.7"/>
    <m/>
    <n v="11.5"/>
    <s v="30 Days"/>
    <x v="2"/>
    <d v="2025-06-08T00:00:00"/>
    <x v="0"/>
    <x v="1"/>
    <x v="0"/>
    <s v="Q2"/>
    <n v="2025"/>
  </r>
  <r>
    <s v="CAN1057"/>
    <s v="Jessica"/>
    <s v="Hardy"/>
    <s v="Female"/>
    <n v="21"/>
    <s v="jessica.hardy41@gmail.com"/>
    <n v="9799985309"/>
    <s v="Indore"/>
    <s v="Madhya Pradesh"/>
    <s v="MCA"/>
    <n v="4.0999999999999996"/>
    <n v="8.4"/>
    <n v="11.3"/>
    <s v="15 Days"/>
    <x v="4"/>
    <d v="2025-10-29T00:00:00"/>
    <x v="0"/>
    <x v="0"/>
    <x v="8"/>
    <s v="Q4"/>
    <n v="2025"/>
  </r>
  <r>
    <s v="CAN1058"/>
    <s v="Stephanie"/>
    <s v="Vega"/>
    <s v="Male"/>
    <n v="33"/>
    <s v="stephanie.vega14@gmail.com"/>
    <n v="9409592383"/>
    <s v="Ahmedabad"/>
    <s v="Gujarat"/>
    <s v="B.Com"/>
    <n v="1.4"/>
    <n v="9.6999999999999993"/>
    <n v="13.2"/>
    <s v="30 Days"/>
    <x v="3"/>
    <d v="2025-02-24T00:00:00"/>
    <x v="0"/>
    <x v="3"/>
    <x v="1"/>
    <s v="Q1"/>
    <n v="2025"/>
  </r>
  <r>
    <s v="CAN1059"/>
    <s v="Jaime"/>
    <s v="Barnes"/>
    <s v="Male"/>
    <n v="27"/>
    <s v="jaime.barnes35@gmail.com"/>
    <n v="9714738528"/>
    <s v="Ahmedabad"/>
    <s v="Gujarat"/>
    <s v="CA"/>
    <n v="2.1"/>
    <n v="8.6"/>
    <n v="10.6"/>
    <s v="Immediate"/>
    <x v="3"/>
    <d v="2025-12-17T00:00:00"/>
    <x v="0"/>
    <x v="1"/>
    <x v="4"/>
    <s v="Q4"/>
    <n v="2025"/>
  </r>
  <r>
    <s v="CAN1060"/>
    <s v="Robin"/>
    <s v="Camacho"/>
    <s v="Female"/>
    <n v="40"/>
    <s v="robin.camacho37@gmail.com"/>
    <n v="9403479271"/>
    <s v="Chennai"/>
    <s v="Tamil Nadu"/>
    <s v="MCA"/>
    <n v="0.5"/>
    <n v="2.5"/>
    <n v="3.3"/>
    <s v="30 Days"/>
    <x v="0"/>
    <d v="2025-05-04T00:00:00"/>
    <x v="0"/>
    <x v="2"/>
    <x v="10"/>
    <s v="Q2"/>
    <n v="2025"/>
  </r>
  <r>
    <s v="CAN1061"/>
    <s v="Rachael"/>
    <s v="Barnett"/>
    <s v="Male"/>
    <n v="25"/>
    <s v="rachael.barnett47@gmail.com"/>
    <n v="9117646498"/>
    <s v="Indore"/>
    <s v="Madhya Pradesh"/>
    <s v="M.Sc"/>
    <n v="0.6"/>
    <n v="6.2"/>
    <n v="8"/>
    <s v="15 Days"/>
    <x v="2"/>
    <d v="2025-09-13T00:00:00"/>
    <x v="0"/>
    <x v="0"/>
    <x v="2"/>
    <s v="Q3"/>
    <n v="2025"/>
  </r>
  <r>
    <s v="CAN1062"/>
    <s v="Maria"/>
    <s v="Torres"/>
    <s v="Male"/>
    <n v="28"/>
    <s v="maria.torres32@gmail.com"/>
    <n v="9332917743"/>
    <s v="Kolkata"/>
    <s v="West Bengal"/>
    <s v="PhD"/>
    <n v="1.4"/>
    <m/>
    <n v="10.5"/>
    <s v="60 Days"/>
    <x v="1"/>
    <d v="2025-03-21T00:00:00"/>
    <x v="0"/>
    <x v="1"/>
    <x v="6"/>
    <s v="Q1"/>
    <n v="2025"/>
  </r>
  <r>
    <s v="CAN1063"/>
    <s v="John"/>
    <s v="Silva"/>
    <s v="Female"/>
    <n v="33"/>
    <s v="john.silva66@gmail.com"/>
    <n v="9454622241"/>
    <s v="Indore"/>
    <s v="Madhya Pradesh"/>
    <m/>
    <n v="1.5"/>
    <n v="4.9000000000000004"/>
    <n v="5.7"/>
    <s v="Immediate"/>
    <x v="3"/>
    <d v="2025-11-01T00:00:00"/>
    <x v="0"/>
    <x v="3"/>
    <x v="9"/>
    <s v="Q4"/>
    <n v="2025"/>
  </r>
  <r>
    <s v="CAN1064"/>
    <s v="Darrell"/>
    <s v="Martinez"/>
    <s v="Male"/>
    <n v="23"/>
    <s v="darrell.martinez64@gmail.com"/>
    <n v="9354207463"/>
    <s v="Pune"/>
    <s v="Maharashtra"/>
    <s v="M.Tech"/>
    <n v="0.3"/>
    <n v="5.3"/>
    <n v="6.1"/>
    <s v="30 Days"/>
    <x v="2"/>
    <d v="2025-03-03T00:00:00"/>
    <x v="0"/>
    <x v="0"/>
    <x v="6"/>
    <s v="Q1"/>
    <n v="2025"/>
  </r>
  <r>
    <s v="CAN1065"/>
    <s v="Howard"/>
    <s v="Pratt"/>
    <s v="Female"/>
    <n v="25"/>
    <s v="howard.pratt29@gmail.com"/>
    <n v="9235910823"/>
    <s v="Indore"/>
    <s v="Madhya Pradesh"/>
    <s v="M.Sc"/>
    <n v="4.8"/>
    <n v="13.5"/>
    <n v="18.3"/>
    <s v="30 Days"/>
    <x v="2"/>
    <d v="2025-03-16T00:00:00"/>
    <x v="0"/>
    <x v="0"/>
    <x v="6"/>
    <s v="Q1"/>
    <n v="2025"/>
  </r>
  <r>
    <s v="CAN1066"/>
    <s v="Jeremy"/>
    <s v="Richardson"/>
    <s v="Female"/>
    <n v="31"/>
    <s v="jeremy.richardson38@gmail.com"/>
    <n v="9821999556"/>
    <s v="Delhi"/>
    <s v="Delhi"/>
    <s v="B.Sc"/>
    <n v="6.9"/>
    <n v="12.6"/>
    <n v="16.100000000000001"/>
    <s v="15 Days"/>
    <x v="6"/>
    <d v="2025-11-19T00:00:00"/>
    <x v="0"/>
    <x v="3"/>
    <x v="9"/>
    <s v="Q4"/>
    <n v="2025"/>
  </r>
  <r>
    <s v="CAN1067"/>
    <s v="Robert"/>
    <s v="Valdez"/>
    <s v="Female"/>
    <n v="21"/>
    <s v="robert.valdez80@gmail.com"/>
    <n v="9285030578"/>
    <s v="Bengaluru"/>
    <s v="Karnataka"/>
    <s v="B.Com"/>
    <n v="5.0999999999999996"/>
    <n v="14.5"/>
    <n v="19.2"/>
    <s v="90 Days"/>
    <x v="0"/>
    <d v="2025-11-02T00:00:00"/>
    <x v="0"/>
    <x v="0"/>
    <x v="9"/>
    <s v="Q4"/>
    <n v="2025"/>
  </r>
  <r>
    <s v="CAN1068"/>
    <s v="Jose"/>
    <s v="Davis"/>
    <s v="Male"/>
    <n v="26"/>
    <s v="jose.davis97@gmail.com"/>
    <n v="9692320592"/>
    <s v="Kolkata"/>
    <s v="West Bengal"/>
    <s v="B.Sc"/>
    <n v="7.5"/>
    <n v="16.899999999999999"/>
    <n v="20.100000000000001"/>
    <s v="60 Days"/>
    <x v="2"/>
    <d v="2025-07-20T00:00:00"/>
    <x v="0"/>
    <x v="1"/>
    <x v="7"/>
    <s v="Q3"/>
    <n v="2025"/>
  </r>
  <r>
    <s v="CAN1069"/>
    <s v="Amy"/>
    <s v="Jacobson"/>
    <s v="Male"/>
    <n v="26"/>
    <s v="amy.jacobson93@gmail.com"/>
    <n v="9261474025"/>
    <s v="Hyderabad"/>
    <s v="Telangana"/>
    <s v="M.Tech"/>
    <n v="6.5"/>
    <n v="9.8000000000000007"/>
    <n v="13.3"/>
    <s v="30 Days"/>
    <x v="0"/>
    <d v="2025-09-18T00:00:00"/>
    <x v="0"/>
    <x v="1"/>
    <x v="2"/>
    <s v="Q3"/>
    <n v="2025"/>
  </r>
  <r>
    <s v="CAN1070"/>
    <s v="Donald"/>
    <s v="Porter"/>
    <s v="Female"/>
    <n v="36"/>
    <s v="donald.porter59@gmail.com"/>
    <n v="9107446854"/>
    <s v="Kolkata"/>
    <s v="West Bengal"/>
    <s v="B.Tech"/>
    <n v="4.8"/>
    <n v="15.5"/>
    <n v="17.600000000000001"/>
    <s v="30 Days"/>
    <x v="3"/>
    <d v="2025-07-30T00:00:00"/>
    <x v="0"/>
    <x v="2"/>
    <x v="7"/>
    <s v="Q3"/>
    <n v="2025"/>
  </r>
  <r>
    <s v="CAN1071"/>
    <s v="Christopher"/>
    <s v="Haynes"/>
    <s v="Male"/>
    <n v="31"/>
    <s v="christopher.haynes46@gmail.com"/>
    <n v="9330965868"/>
    <s v="Delhi"/>
    <s v="Delhi"/>
    <s v="CA"/>
    <n v="4.5"/>
    <n v="11.1"/>
    <n v="14.1"/>
    <s v="15 Days"/>
    <x v="2"/>
    <d v="2025-10-02T00:00:00"/>
    <x v="0"/>
    <x v="3"/>
    <x v="8"/>
    <s v="Q4"/>
    <n v="2025"/>
  </r>
  <r>
    <s v="CAN1072"/>
    <s v="Mark"/>
    <s v="White"/>
    <s v="Female"/>
    <n v="36"/>
    <s v="mark.white41@gmail.com"/>
    <n v="9271387060"/>
    <s v="Chandigarh"/>
    <s v="Chandigarh"/>
    <s v="M.Tech"/>
    <n v="3.1"/>
    <n v="7.3"/>
    <n v="10.5"/>
    <s v="30 Days"/>
    <x v="6"/>
    <d v="2025-06-13T00:00:00"/>
    <x v="0"/>
    <x v="2"/>
    <x v="0"/>
    <s v="Q2"/>
    <n v="2025"/>
  </r>
  <r>
    <s v="CAN1073"/>
    <s v="Brandon"/>
    <s v="Thompson"/>
    <s v="Female"/>
    <n v="25"/>
    <s v="brandon.thompson61@gmail.com"/>
    <n v="9965878395"/>
    <s v="Ahmedabad"/>
    <s v="Gujarat"/>
    <s v="B.Com"/>
    <n v="0.8"/>
    <n v="10.8"/>
    <n v="13.3"/>
    <s v="30 Days"/>
    <x v="5"/>
    <d v="2025-07-20T00:00:00"/>
    <x v="0"/>
    <x v="0"/>
    <x v="7"/>
    <s v="Q3"/>
    <n v="2025"/>
  </r>
  <r>
    <s v="CAN1074"/>
    <s v="Samantha"/>
    <s v="Clark"/>
    <s v="Female"/>
    <n v="25"/>
    <s v="samantha.clark99@gmail.com"/>
    <n v="9486611759"/>
    <s v="Pune"/>
    <s v="Maharashtra"/>
    <s v="MCA"/>
    <n v="1.4"/>
    <n v="7.5"/>
    <n v="8.6999999999999993"/>
    <s v="Immediate"/>
    <x v="2"/>
    <d v="2025-04-01T00:00:00"/>
    <x v="0"/>
    <x v="0"/>
    <x v="11"/>
    <s v="Q2"/>
    <n v="2025"/>
  </r>
  <r>
    <s v="CAN1075"/>
    <s v="Jeffrey"/>
    <s v="Hill"/>
    <s v="Female"/>
    <n v="28"/>
    <s v="jeffrey.hill64@gmail.com"/>
    <n v="9241536545"/>
    <s v="Jaipur"/>
    <s v="Rajasthan"/>
    <s v="M.Tech"/>
    <n v="1.7"/>
    <n v="6.2"/>
    <n v="7.8"/>
    <s v="15 Days"/>
    <x v="5"/>
    <d v="2025-06-17T00:00:00"/>
    <x v="0"/>
    <x v="1"/>
    <x v="0"/>
    <s v="Q2"/>
    <n v="2025"/>
  </r>
  <r>
    <s v="CAN1076"/>
    <s v="Briana"/>
    <s v="Shaw"/>
    <s v="Male"/>
    <n v="21"/>
    <s v="briana.shaw27@gmail.com"/>
    <n v="9909700412"/>
    <s v="Jaipur"/>
    <s v="Rajasthan"/>
    <s v="M.Sc"/>
    <n v="2.7"/>
    <n v="8.6999999999999993"/>
    <n v="10.6"/>
    <s v="15 Days"/>
    <x v="5"/>
    <d v="2025-03-16T00:00:00"/>
    <x v="0"/>
    <x v="0"/>
    <x v="6"/>
    <s v="Q1"/>
    <n v="2025"/>
  </r>
  <r>
    <s v="CAN1077"/>
    <s v="Jeffrey"/>
    <s v="Fowler"/>
    <s v="Male"/>
    <n v="25"/>
    <s v="jeffrey.fowler84@gmail.com"/>
    <n v="9121711001"/>
    <s v="Kolkata"/>
    <s v="West Bengal"/>
    <s v="B.Sc"/>
    <n v="0.3"/>
    <n v="8.8000000000000007"/>
    <n v="10.1"/>
    <s v="60 Days"/>
    <x v="1"/>
    <d v="2025-03-16T00:00:00"/>
    <x v="0"/>
    <x v="0"/>
    <x v="6"/>
    <s v="Q1"/>
    <n v="2025"/>
  </r>
  <r>
    <s v="CAN1078"/>
    <s v="David"/>
    <s v="Schwartz"/>
    <s v="Female"/>
    <n v="29"/>
    <s v="david.schwartz83@gmail.com"/>
    <n v="9183542806"/>
    <s v="Chandigarh"/>
    <s v="Chandigarh"/>
    <s v="CA"/>
    <n v="3.4"/>
    <n v="12.3"/>
    <n v="16.8"/>
    <s v="60 Days"/>
    <x v="3"/>
    <d v="2025-04-03T00:00:00"/>
    <x v="0"/>
    <x v="1"/>
    <x v="11"/>
    <s v="Q2"/>
    <n v="2025"/>
  </r>
  <r>
    <s v="CAN1079"/>
    <s v="James"/>
    <s v="Holmes"/>
    <s v="Male"/>
    <n v="22"/>
    <s v="james.holmes10@gmail.com"/>
    <n v="9142181121"/>
    <s v="Kochi"/>
    <s v="Kerala"/>
    <s v="M.Tech"/>
    <n v="6.3"/>
    <n v="9.5"/>
    <n v="10.9"/>
    <s v="15 Days"/>
    <x v="0"/>
    <d v="2025-02-14T00:00:00"/>
    <x v="0"/>
    <x v="0"/>
    <x v="1"/>
    <s v="Q1"/>
    <n v="2025"/>
  </r>
  <r>
    <s v="CAN1080"/>
    <s v="Wesley"/>
    <s v="Joseph"/>
    <s v="Male"/>
    <n v="36"/>
    <s v="wesley.joseph9@gmail.com"/>
    <n v="9271196989"/>
    <s v="Pune"/>
    <s v="Maharashtra"/>
    <s v="B.Tech"/>
    <n v="3.4"/>
    <n v="11.5"/>
    <n v="14.3"/>
    <s v="60 Days"/>
    <x v="0"/>
    <d v="2025-01-01T00:00:00"/>
    <x v="0"/>
    <x v="2"/>
    <x v="5"/>
    <s v="Q1"/>
    <n v="2025"/>
  </r>
  <r>
    <s v="CAN1081"/>
    <s v="Justin"/>
    <s v="Davidson"/>
    <s v="Female"/>
    <n v="24"/>
    <s v="justin.davidson44@gmail.com"/>
    <n v="9904044550"/>
    <s v="Bengaluru"/>
    <s v="Karnataka"/>
    <s v="B.Tech"/>
    <n v="12"/>
    <n v="15.7"/>
    <n v="20.399999999999999"/>
    <s v="Immediate"/>
    <x v="3"/>
    <d v="2025-04-12T00:00:00"/>
    <x v="0"/>
    <x v="0"/>
    <x v="11"/>
    <s v="Q2"/>
    <n v="2025"/>
  </r>
  <r>
    <s v="CAN1082"/>
    <s v="Keith"/>
    <s v="Fuller"/>
    <s v="Male"/>
    <n v="32"/>
    <s v="keith.fuller89@gmail.com"/>
    <n v="9327131248"/>
    <s v="Chandigarh"/>
    <s v="Chandigarh"/>
    <s v="M.Sc"/>
    <n v="4.7"/>
    <n v="8.1999999999999993"/>
    <n v="11.1"/>
    <s v="15 Days"/>
    <x v="5"/>
    <d v="2025-01-20T00:00:00"/>
    <x v="0"/>
    <x v="3"/>
    <x v="5"/>
    <s v="Q1"/>
    <n v="2025"/>
  </r>
  <r>
    <s v="CAN1083"/>
    <s v="Michael"/>
    <s v="Butler"/>
    <s v="Female"/>
    <n v="31"/>
    <s v="michael.butler94@gmail.com"/>
    <n v="9376123709"/>
    <s v="Pune"/>
    <s v="Maharashtra"/>
    <s v="MBA"/>
    <n v="0.6"/>
    <n v="4.5"/>
    <n v="6.1"/>
    <m/>
    <x v="0"/>
    <d v="2025-01-22T00:00:00"/>
    <x v="0"/>
    <x v="3"/>
    <x v="5"/>
    <s v="Q1"/>
    <n v="2025"/>
  </r>
  <r>
    <s v="CAN1084"/>
    <s v="Jon"/>
    <s v="Herrera"/>
    <s v="Male"/>
    <n v="29"/>
    <s v="jon.herrera47@gmail.com"/>
    <n v="9845807185"/>
    <s v="Delhi"/>
    <s v="Delhi"/>
    <s v="B.Tech"/>
    <n v="7.2"/>
    <m/>
    <n v="21.5"/>
    <s v="60 Days"/>
    <x v="2"/>
    <d v="2025-09-23T00:00:00"/>
    <x v="0"/>
    <x v="1"/>
    <x v="2"/>
    <s v="Q3"/>
    <n v="2025"/>
  </r>
  <r>
    <s v="CAN1085"/>
    <s v="Lisa"/>
    <s v="Sims"/>
    <s v="Male"/>
    <n v="22"/>
    <s v="lisa.sims54@gmail.com"/>
    <n v="9797526993"/>
    <s v="Jaipur"/>
    <s v="Rajasthan"/>
    <s v="BBA"/>
    <n v="0.7"/>
    <n v="7.7"/>
    <n v="10.6"/>
    <s v="30 Days"/>
    <x v="0"/>
    <d v="2025-10-08T00:00:00"/>
    <x v="0"/>
    <x v="0"/>
    <x v="8"/>
    <s v="Q4"/>
    <n v="2025"/>
  </r>
  <r>
    <s v="CAN1086"/>
    <s v="Aaron"/>
    <s v="Sutton"/>
    <s v="Male"/>
    <n v="21"/>
    <s v="aaron.sutton27@gmail.com"/>
    <n v="9459868969"/>
    <s v="Chandigarh"/>
    <s v="Chandigarh"/>
    <s v="B.Com"/>
    <n v="3.8"/>
    <n v="11"/>
    <n v="13.1"/>
    <s v="15 Days"/>
    <x v="3"/>
    <d v="2025-12-14T00:00:00"/>
    <x v="0"/>
    <x v="0"/>
    <x v="4"/>
    <s v="Q4"/>
    <n v="2025"/>
  </r>
  <r>
    <s v="CAN1087"/>
    <s v="Eric"/>
    <s v="Wilkinson"/>
    <s v="Male"/>
    <n v="31"/>
    <s v="eric.wilkinson66@gmail.com"/>
    <n v="9234748182"/>
    <s v="Mumbai"/>
    <s v="Maharashtra"/>
    <s v="BBA"/>
    <n v="3.5"/>
    <m/>
    <n v="10"/>
    <s v="60 Days"/>
    <x v="2"/>
    <d v="2025-03-27T00:00:00"/>
    <x v="0"/>
    <x v="3"/>
    <x v="6"/>
    <s v="Q1"/>
    <n v="2025"/>
  </r>
  <r>
    <s v="CAN1088"/>
    <s v="Kristen"/>
    <s v="Sandoval"/>
    <s v="Female"/>
    <n v="26"/>
    <s v="kristen.sandoval91@gmail.com"/>
    <n v="9754209794"/>
    <s v="Delhi"/>
    <s v="Delhi"/>
    <s v="M.Tech"/>
    <n v="4.7"/>
    <n v="4.2"/>
    <n v="5.2"/>
    <s v="Immediate"/>
    <x v="1"/>
    <d v="2025-07-27T00:00:00"/>
    <x v="0"/>
    <x v="1"/>
    <x v="7"/>
    <s v="Q3"/>
    <n v="2025"/>
  </r>
  <r>
    <s v="CAN1089"/>
    <s v="Andrew"/>
    <s v="Beck"/>
    <s v="Female"/>
    <n v="23"/>
    <s v="andrew.beck39@gmail.com"/>
    <n v="9812145052"/>
    <s v="Pune"/>
    <s v="Maharashtra"/>
    <m/>
    <n v="0.6"/>
    <n v="9"/>
    <n v="11.8"/>
    <m/>
    <x v="0"/>
    <d v="2025-03-16T00:00:00"/>
    <x v="0"/>
    <x v="0"/>
    <x v="6"/>
    <s v="Q1"/>
    <n v="2025"/>
  </r>
  <r>
    <s v="CAN1090"/>
    <s v="Mark"/>
    <s v="Daniels"/>
    <s v="Female"/>
    <n v="25"/>
    <s v="mark.daniels77@gmail.com"/>
    <n v="9242397378"/>
    <s v="Hyderabad"/>
    <s v="Telangana"/>
    <s v="MCA"/>
    <n v="2.2999999999999998"/>
    <m/>
    <n v="9.8000000000000007"/>
    <s v="60 Days"/>
    <x v="3"/>
    <d v="2025-11-03T00:00:00"/>
    <x v="0"/>
    <x v="0"/>
    <x v="9"/>
    <s v="Q4"/>
    <n v="2025"/>
  </r>
  <r>
    <s v="CAN1091"/>
    <s v="Lisa"/>
    <s v="English"/>
    <s v="Male"/>
    <n v="36"/>
    <s v="lisa.english63@gmail.com"/>
    <n v="9924717965"/>
    <s v="Chennai"/>
    <s v="Tamil Nadu"/>
    <s v="M.Tech"/>
    <n v="0.4"/>
    <n v="2.5"/>
    <n v="3.6"/>
    <s v="Immediate"/>
    <x v="3"/>
    <d v="2025-01-07T00:00:00"/>
    <x v="0"/>
    <x v="2"/>
    <x v="5"/>
    <s v="Q1"/>
    <n v="2025"/>
  </r>
  <r>
    <s v="CAN1092"/>
    <s v="Mr."/>
    <s v="MD"/>
    <s v="Female"/>
    <n v="40"/>
    <s v="mr..md41@gmail.com"/>
    <n v="9673566350"/>
    <s v="Indore"/>
    <s v="Madhya Pradesh"/>
    <s v="B.Tech"/>
    <n v="0.9"/>
    <n v="4.9000000000000004"/>
    <n v="6.2"/>
    <s v="30 Days"/>
    <x v="6"/>
    <d v="2025-02-09T00:00:00"/>
    <x v="0"/>
    <x v="2"/>
    <x v="1"/>
    <s v="Q1"/>
    <n v="2025"/>
  </r>
  <r>
    <s v="CAN1093"/>
    <s v="Kayla"/>
    <s v="Adams"/>
    <s v="Female"/>
    <n v="25"/>
    <s v="kayla.adams76@gmail.com"/>
    <n v="9953938868"/>
    <s v="Indore"/>
    <s v="Madhya Pradesh"/>
    <s v="B.Tech"/>
    <n v="0"/>
    <n v="5.7"/>
    <n v="8.1"/>
    <s v="90 Days"/>
    <x v="2"/>
    <d v="2025-04-17T00:00:00"/>
    <x v="0"/>
    <x v="0"/>
    <x v="11"/>
    <s v="Q2"/>
    <n v="2025"/>
  </r>
  <r>
    <s v="CAN1094"/>
    <s v="Colin"/>
    <s v="Gregory"/>
    <s v="Female"/>
    <n v="32"/>
    <s v="colin.gregory23@gmail.com"/>
    <n v="9335760346"/>
    <s v="Kochi"/>
    <s v="Kerala"/>
    <s v="B.Com"/>
    <n v="1.4"/>
    <n v="7.9"/>
    <n v="10.7"/>
    <s v="90 Days"/>
    <x v="1"/>
    <d v="2025-07-15T00:00:00"/>
    <x v="0"/>
    <x v="3"/>
    <x v="7"/>
    <s v="Q3"/>
    <n v="2025"/>
  </r>
  <r>
    <s v="CAN1095"/>
    <s v="Valerie"/>
    <s v="Foster"/>
    <s v="Male"/>
    <n v="27"/>
    <s v="valerie.foster85@gmail.com"/>
    <n v="9942050482"/>
    <s v="Bengaluru"/>
    <s v="Karnataka"/>
    <s v="B.Tech"/>
    <n v="9.6"/>
    <n v="15.4"/>
    <n v="17.600000000000001"/>
    <s v="Immediate"/>
    <x v="6"/>
    <d v="2025-04-06T00:00:00"/>
    <x v="0"/>
    <x v="1"/>
    <x v="11"/>
    <s v="Q2"/>
    <n v="2025"/>
  </r>
  <r>
    <s v="CAN1096"/>
    <s v="Stephen"/>
    <s v="Bennett"/>
    <s v="Male"/>
    <n v="28"/>
    <s v="stephen.bennett39@gmail.com"/>
    <n v="9716608606"/>
    <s v="Kolkata"/>
    <s v="West Bengal"/>
    <s v="B.Com"/>
    <n v="0.6"/>
    <m/>
    <n v="8"/>
    <s v="30 Days"/>
    <x v="0"/>
    <d v="2025-04-10T00:00:00"/>
    <x v="0"/>
    <x v="1"/>
    <x v="11"/>
    <s v="Q2"/>
    <n v="2025"/>
  </r>
  <r>
    <s v="CAN1097"/>
    <s v="Michael"/>
    <s v="Long"/>
    <s v="Male"/>
    <n v="29"/>
    <s v="michael.long12@gmail.com"/>
    <n v="9721869858"/>
    <s v="Delhi"/>
    <s v="Delhi"/>
    <s v="MBA"/>
    <n v="1.9"/>
    <n v="8.6"/>
    <n v="11.9"/>
    <s v="60 Days"/>
    <x v="1"/>
    <d v="2025-02-10T00:00:00"/>
    <x v="0"/>
    <x v="1"/>
    <x v="1"/>
    <s v="Q1"/>
    <n v="2025"/>
  </r>
  <r>
    <s v="CAN1098"/>
    <s v="Mrs."/>
    <s v="Anderson"/>
    <s v="Male"/>
    <n v="22"/>
    <s v="mrs..anderson71@gmail.com"/>
    <n v="9692389310"/>
    <s v="Bengaluru"/>
    <s v="Karnataka"/>
    <s v="MBA"/>
    <n v="0.1"/>
    <n v="8.5"/>
    <n v="9.8000000000000007"/>
    <s v="30 Days"/>
    <x v="2"/>
    <d v="2025-05-10T00:00:00"/>
    <x v="0"/>
    <x v="0"/>
    <x v="10"/>
    <s v="Q2"/>
    <n v="2025"/>
  </r>
  <r>
    <s v="CAN1099"/>
    <s v="Travis"/>
    <s v="MD"/>
    <s v="Female"/>
    <n v="30"/>
    <s v="travis.md78@gmail.com"/>
    <n v="9602790241"/>
    <s v="Chennai"/>
    <s v="Tamil Nadu"/>
    <s v="MBA"/>
    <n v="0.3"/>
    <n v="6.2"/>
    <n v="7.6"/>
    <s v="30 Days"/>
    <x v="0"/>
    <d v="2025-07-21T00:00:00"/>
    <x v="0"/>
    <x v="1"/>
    <x v="7"/>
    <s v="Q3"/>
    <n v="2025"/>
  </r>
  <r>
    <s v="CAN1100"/>
    <s v="Wesley"/>
    <s v="Santos"/>
    <s v="Male"/>
    <n v="29"/>
    <s v="wesley.santos54@gmail.com"/>
    <n v="9240771587"/>
    <s v="Mumbai"/>
    <s v="Maharashtra"/>
    <s v="B.Com"/>
    <n v="2.7"/>
    <n v="12.2"/>
    <n v="15.7"/>
    <s v="60 Days"/>
    <x v="3"/>
    <d v="2025-01-06T00:00:00"/>
    <x v="0"/>
    <x v="1"/>
    <x v="5"/>
    <s v="Q1"/>
    <n v="2025"/>
  </r>
  <r>
    <s v="CAN1101"/>
    <s v="George"/>
    <s v="Gonzales"/>
    <s v="Male"/>
    <n v="21"/>
    <s v="george.gonzales92@gmail.com"/>
    <n v="9884594499"/>
    <s v="Hyderabad"/>
    <s v="Telangana"/>
    <s v="B.Sc"/>
    <n v="3.8"/>
    <n v="14"/>
    <n v="16.7"/>
    <s v="30 Days"/>
    <x v="4"/>
    <d v="2025-06-08T00:00:00"/>
    <x v="0"/>
    <x v="0"/>
    <x v="0"/>
    <s v="Q2"/>
    <n v="2025"/>
  </r>
  <r>
    <s v="CAN1102"/>
    <s v="Curtis"/>
    <s v="White"/>
    <s v="Male"/>
    <n v="32"/>
    <s v="curtis.white95@gmail.com"/>
    <n v="9227564948"/>
    <s v="Bengaluru"/>
    <s v="Karnataka"/>
    <s v="M.Sc"/>
    <n v="2.7"/>
    <n v="7.7"/>
    <n v="11.1"/>
    <m/>
    <x v="2"/>
    <d v="2025-11-11T00:00:00"/>
    <x v="0"/>
    <x v="3"/>
    <x v="9"/>
    <s v="Q4"/>
    <n v="2025"/>
  </r>
  <r>
    <s v="CAN1103"/>
    <s v="Sean"/>
    <s v="Forbes"/>
    <s v="Female"/>
    <n v="29"/>
    <s v="sean.forbes9@gmail.com"/>
    <n v="9749784293"/>
    <s v="Delhi"/>
    <s v="Delhi"/>
    <s v="M.Sc"/>
    <n v="5.2"/>
    <n v="11.5"/>
    <n v="13"/>
    <s v="15 Days"/>
    <x v="5"/>
    <d v="2025-06-17T00:00:00"/>
    <x v="0"/>
    <x v="1"/>
    <x v="0"/>
    <s v="Q2"/>
    <n v="2025"/>
  </r>
  <r>
    <s v="CAN1104"/>
    <s v="Dalton"/>
    <s v="Pope"/>
    <s v="Female"/>
    <n v="31"/>
    <s v="dalton.pope20@gmail.com"/>
    <n v="9110631708"/>
    <s v="Mumbai"/>
    <s v="Maharashtra"/>
    <s v="B.Tech"/>
    <n v="0.1"/>
    <n v="8.3000000000000007"/>
    <n v="10.4"/>
    <s v="30 Days"/>
    <x v="2"/>
    <d v="2025-10-18T00:00:00"/>
    <x v="0"/>
    <x v="3"/>
    <x v="8"/>
    <s v="Q4"/>
    <n v="2025"/>
  </r>
  <r>
    <s v="CAN1105"/>
    <s v="Janet"/>
    <s v="Garcia"/>
    <s v="Male"/>
    <n v="29"/>
    <s v="janet.garcia28@gmail.com"/>
    <n v="9371714594"/>
    <s v="Pune"/>
    <s v="Maharashtra"/>
    <s v="M.Sc"/>
    <n v="13.7"/>
    <m/>
    <n v="33.799999999999997"/>
    <s v="30 Days"/>
    <x v="2"/>
    <d v="2025-08-03T00:00:00"/>
    <x v="0"/>
    <x v="1"/>
    <x v="3"/>
    <s v="Q3"/>
    <n v="2025"/>
  </r>
  <r>
    <s v="CAN1106"/>
    <s v="Edward"/>
    <s v="Allen"/>
    <s v="Female"/>
    <n v="31"/>
    <s v="edward.allen80@gmail.com"/>
    <n v="9233923075"/>
    <s v="Hyderabad"/>
    <s v="Telangana"/>
    <s v="B.Tech"/>
    <n v="2.1"/>
    <m/>
    <n v="3"/>
    <s v="15 Days"/>
    <x v="6"/>
    <d v="2025-07-05T00:00:00"/>
    <x v="0"/>
    <x v="3"/>
    <x v="7"/>
    <s v="Q3"/>
    <n v="2025"/>
  </r>
  <r>
    <s v="CAN1107"/>
    <s v="Mary"/>
    <s v="Werner"/>
    <s v="Female"/>
    <n v="22"/>
    <s v="mary.werner62@gmail.com"/>
    <n v="9704591593"/>
    <s v="Jaipur"/>
    <s v="Rajasthan"/>
    <s v="MCA"/>
    <n v="13.5"/>
    <n v="21.9"/>
    <n v="31"/>
    <s v="30 Days"/>
    <x v="2"/>
    <d v="2025-05-05T00:00:00"/>
    <x v="0"/>
    <x v="0"/>
    <x v="10"/>
    <s v="Q2"/>
    <n v="2025"/>
  </r>
  <r>
    <s v="CAN1108"/>
    <s v="Sophia"/>
    <s v="Oconnor"/>
    <s v="Male"/>
    <n v="35"/>
    <s v="sophia.oconnor40@gmail.com"/>
    <n v="9320590561"/>
    <s v="Kochi"/>
    <s v="Kerala"/>
    <s v="M.Sc"/>
    <n v="0.2"/>
    <n v="5.6"/>
    <n v="7"/>
    <s v="90 Days"/>
    <x v="0"/>
    <d v="2025-10-05T00:00:00"/>
    <x v="0"/>
    <x v="3"/>
    <x v="8"/>
    <s v="Q4"/>
    <n v="2025"/>
  </r>
  <r>
    <s v="CAN1109"/>
    <s v="Ryan"/>
    <s v="Lin"/>
    <s v="Male"/>
    <n v="36"/>
    <s v="ryan.lin68@gmail.com"/>
    <n v="9483560788"/>
    <s v="Noida"/>
    <s v="Uttar Pradesh"/>
    <s v="CA"/>
    <n v="3.5"/>
    <n v="10.199999999999999"/>
    <n v="14.6"/>
    <s v="30 Days"/>
    <x v="1"/>
    <d v="2025-04-12T00:00:00"/>
    <x v="0"/>
    <x v="2"/>
    <x v="11"/>
    <s v="Q2"/>
    <n v="2025"/>
  </r>
  <r>
    <s v="CAN1110"/>
    <s v="Denise"/>
    <s v="Rosales"/>
    <s v="Female"/>
    <n v="25"/>
    <s v="denise.rosales63@gmail.com"/>
    <n v="9459228189"/>
    <s v="Chandigarh"/>
    <s v="Chandigarh"/>
    <s v="MBA"/>
    <n v="14"/>
    <n v="22.3"/>
    <n v="28"/>
    <s v="15 Days"/>
    <x v="0"/>
    <d v="2025-04-19T00:00:00"/>
    <x v="0"/>
    <x v="0"/>
    <x v="11"/>
    <s v="Q2"/>
    <n v="2025"/>
  </r>
  <r>
    <s v="CAN1111"/>
    <s v="Gina"/>
    <s v="Gonzalez"/>
    <s v="Male"/>
    <n v="29"/>
    <s v="gina.gonzalez59@gmail.com"/>
    <n v="9814249392"/>
    <s v="Bengaluru"/>
    <s v="Karnataka"/>
    <m/>
    <n v="5.0999999999999996"/>
    <n v="9.1999999999999993"/>
    <n v="13.1"/>
    <s v="90 Days"/>
    <x v="5"/>
    <d v="2025-08-11T00:00:00"/>
    <x v="0"/>
    <x v="1"/>
    <x v="3"/>
    <s v="Q3"/>
    <n v="2025"/>
  </r>
  <r>
    <s v="CAN1112"/>
    <s v="Miranda"/>
    <s v="Ball"/>
    <s v="Male"/>
    <n v="27"/>
    <s v="miranda.ball78@gmail.com"/>
    <n v="9376361053"/>
    <s v="Hyderabad"/>
    <s v="Telangana"/>
    <s v="M.Tech"/>
    <n v="1.9"/>
    <n v="8.3000000000000007"/>
    <n v="9.9"/>
    <s v="15 Days"/>
    <x v="3"/>
    <d v="2025-10-07T00:00:00"/>
    <x v="0"/>
    <x v="1"/>
    <x v="8"/>
    <s v="Q4"/>
    <n v="2025"/>
  </r>
  <r>
    <s v="CAN1113"/>
    <s v="Christopher"/>
    <s v="Kelly"/>
    <s v="Female"/>
    <n v="25"/>
    <s v="christopher.kelly75@gmail.com"/>
    <n v="9212577299"/>
    <s v="Delhi"/>
    <s v="Delhi"/>
    <s v="MBA"/>
    <n v="6.8"/>
    <n v="15.2"/>
    <n v="18.7"/>
    <s v="30 Days"/>
    <x v="2"/>
    <d v="2025-09-08T00:00:00"/>
    <x v="0"/>
    <x v="0"/>
    <x v="2"/>
    <s v="Q3"/>
    <n v="2025"/>
  </r>
  <r>
    <s v="CAN1114"/>
    <s v="Franklin"/>
    <s v="Stevens"/>
    <s v="Male"/>
    <n v="28"/>
    <s v="franklin.stevens44@gmail.com"/>
    <n v="9842819075"/>
    <s v="Kochi"/>
    <s v="Kerala"/>
    <s v="B.Tech"/>
    <n v="1.1000000000000001"/>
    <n v="6.4"/>
    <n v="7.7"/>
    <s v="15 Days"/>
    <x v="2"/>
    <d v="2025-03-02T00:00:00"/>
    <x v="0"/>
    <x v="1"/>
    <x v="6"/>
    <s v="Q1"/>
    <n v="2025"/>
  </r>
  <r>
    <s v="CAN1115"/>
    <s v="David"/>
    <s v="Hernandez"/>
    <s v="Male"/>
    <n v="26"/>
    <s v="david.hernandez2@gmail.com"/>
    <n v="9829899807"/>
    <s v="Delhi"/>
    <s v="Delhi"/>
    <s v="B.Tech"/>
    <n v="1.4"/>
    <n v="11.8"/>
    <n v="15.7"/>
    <s v="30 Days"/>
    <x v="3"/>
    <d v="2025-10-12T00:00:00"/>
    <x v="0"/>
    <x v="1"/>
    <x v="8"/>
    <s v="Q4"/>
    <n v="2025"/>
  </r>
  <r>
    <s v="CAN1116"/>
    <s v="Deanna"/>
    <s v="Hernandez"/>
    <s v="Male"/>
    <n v="30"/>
    <s v="deanna.hernandez14@gmail.com"/>
    <n v="9848181743"/>
    <s v="Chandigarh"/>
    <s v="Chandigarh"/>
    <s v="B.Com"/>
    <n v="4.0999999999999996"/>
    <n v="11.5"/>
    <n v="15.2"/>
    <s v="30 Days"/>
    <x v="6"/>
    <d v="2025-08-12T00:00:00"/>
    <x v="0"/>
    <x v="1"/>
    <x v="3"/>
    <s v="Q3"/>
    <n v="2025"/>
  </r>
  <r>
    <s v="CAN1117"/>
    <s v="Steven"/>
    <s v="Tucker"/>
    <s v="Male"/>
    <n v="30"/>
    <s v="steven.tucker62@gmail.com"/>
    <n v="9494245245"/>
    <s v="Pune"/>
    <s v="Maharashtra"/>
    <s v="B.Tech"/>
    <n v="12.2"/>
    <n v="22.2"/>
    <n v="26.8"/>
    <s v="60 Days"/>
    <x v="2"/>
    <d v="2025-06-18T00:00:00"/>
    <x v="0"/>
    <x v="1"/>
    <x v="0"/>
    <s v="Q2"/>
    <n v="2025"/>
  </r>
  <r>
    <s v="CAN1118"/>
    <s v="Thomas"/>
    <s v="Aguilar"/>
    <s v="Male"/>
    <n v="27"/>
    <s v="thomas.aguilar31@gmail.com"/>
    <n v="9194395177"/>
    <s v="Chennai"/>
    <s v="Tamil Nadu"/>
    <s v="MBA"/>
    <n v="0.8"/>
    <n v="4.2"/>
    <n v="5.2"/>
    <s v="15 Days"/>
    <x v="1"/>
    <d v="2025-05-07T00:00:00"/>
    <x v="0"/>
    <x v="1"/>
    <x v="10"/>
    <s v="Q2"/>
    <n v="2025"/>
  </r>
  <r>
    <s v="CAN1119"/>
    <s v="Adam"/>
    <s v="Greer"/>
    <s v="Female"/>
    <n v="27"/>
    <s v="adam.greer7@gmail.com"/>
    <n v="9917024068"/>
    <s v="Delhi"/>
    <s v="Delhi"/>
    <s v="BBA"/>
    <n v="3.9"/>
    <n v="9.5"/>
    <n v="11.2"/>
    <s v="30 Days"/>
    <x v="2"/>
    <d v="2025-10-22T00:00:00"/>
    <x v="0"/>
    <x v="1"/>
    <x v="8"/>
    <s v="Q4"/>
    <n v="2025"/>
  </r>
  <r>
    <s v="CAN1120"/>
    <s v="Danny"/>
    <s v="Chung"/>
    <s v="Female"/>
    <n v="26"/>
    <s v="danny.chung13@gmail.com"/>
    <n v="9406711094"/>
    <s v="Pune"/>
    <s v="Maharashtra"/>
    <s v="B.Tech"/>
    <n v="1.4"/>
    <n v="7.7"/>
    <n v="11"/>
    <s v="60 Days"/>
    <x v="2"/>
    <d v="2025-03-19T00:00:00"/>
    <x v="0"/>
    <x v="1"/>
    <x v="6"/>
    <s v="Q1"/>
    <n v="2025"/>
  </r>
  <r>
    <s v="CAN1121"/>
    <s v="Deborah"/>
    <s v="Jenkins"/>
    <s v="Female"/>
    <n v="35"/>
    <s v="deborah.jenkins27@gmail.com"/>
    <n v="9847146456"/>
    <s v="Chennai"/>
    <s v="Tamil Nadu"/>
    <s v="CA"/>
    <n v="3.8"/>
    <n v="17"/>
    <n v="20.7"/>
    <s v="30 Days"/>
    <x v="6"/>
    <d v="2025-04-12T00:00:00"/>
    <x v="0"/>
    <x v="3"/>
    <x v="11"/>
    <s v="Q2"/>
    <n v="2025"/>
  </r>
  <r>
    <s v="CAN1122"/>
    <s v="Amber"/>
    <s v="Hartman"/>
    <s v="Male"/>
    <n v="31"/>
    <s v="amber.hartman41@gmail.com"/>
    <n v="9817890982"/>
    <s v="Bengaluru"/>
    <s v="Karnataka"/>
    <s v="B.Tech"/>
    <n v="0.6"/>
    <n v="5.9"/>
    <n v="7.6"/>
    <s v="Immediate"/>
    <x v="3"/>
    <d v="2025-08-09T00:00:00"/>
    <x v="0"/>
    <x v="3"/>
    <x v="3"/>
    <s v="Q3"/>
    <n v="2025"/>
  </r>
  <r>
    <s v="CAN1123"/>
    <s v="Ebony"/>
    <s v="Brown"/>
    <s v="Male"/>
    <n v="30"/>
    <s v="ebony.brown8@gmail.com"/>
    <n v="9818966481"/>
    <s v="Chennai"/>
    <s v="Tamil Nadu"/>
    <s v="CA"/>
    <n v="1.8"/>
    <n v="8.6999999999999993"/>
    <n v="11.4"/>
    <s v="30 Days"/>
    <x v="4"/>
    <d v="2025-06-23T00:00:00"/>
    <x v="0"/>
    <x v="1"/>
    <x v="0"/>
    <s v="Q2"/>
    <n v="2025"/>
  </r>
  <r>
    <s v="CAN1124"/>
    <s v="Michelle"/>
    <s v="Smith"/>
    <s v="Male"/>
    <n v="36"/>
    <s v="michelle.smith36@gmail.com"/>
    <n v="9466595082"/>
    <s v="Mumbai"/>
    <s v="Maharashtra"/>
    <s v="M.Tech"/>
    <n v="2"/>
    <n v="12.8"/>
    <n v="17.3"/>
    <s v="Immediate"/>
    <x v="5"/>
    <d v="2025-09-20T00:00:00"/>
    <x v="0"/>
    <x v="2"/>
    <x v="2"/>
    <s v="Q3"/>
    <n v="2025"/>
  </r>
  <r>
    <s v="CAN1125"/>
    <s v="Anthony"/>
    <s v="Perry"/>
    <s v="Female"/>
    <n v="32"/>
    <s v="anthony.perry96@gmail.com"/>
    <n v="9164853681"/>
    <s v="Ahmedabad"/>
    <s v="Gujarat"/>
    <s v="B.Com"/>
    <n v="1.6"/>
    <n v="10.7"/>
    <n v="12.5"/>
    <s v="30 Days"/>
    <x v="2"/>
    <d v="2025-08-29T00:00:00"/>
    <x v="0"/>
    <x v="3"/>
    <x v="3"/>
    <s v="Q3"/>
    <n v="2025"/>
  </r>
  <r>
    <s v="CAN1126"/>
    <s v="Oscar"/>
    <s v="Dorsey"/>
    <s v="Male"/>
    <n v="30"/>
    <s v="oscar.dorsey72@gmail.com"/>
    <n v="9220724975"/>
    <s v="Chennai"/>
    <s v="Tamil Nadu"/>
    <s v="BBA"/>
    <n v="20"/>
    <n v="25.9"/>
    <n v="31.9"/>
    <s v="30 Days"/>
    <x v="5"/>
    <d v="2025-10-09T00:00:00"/>
    <x v="0"/>
    <x v="1"/>
    <x v="8"/>
    <s v="Q4"/>
    <n v="2025"/>
  </r>
  <r>
    <s v="CAN1127"/>
    <s v="Donald"/>
    <s v="Smith"/>
    <s v="Male"/>
    <n v="28"/>
    <s v="donald.smith58@gmail.com"/>
    <n v="9862890280"/>
    <s v="Noida"/>
    <s v="Uttar Pradesh"/>
    <s v="B.Sc"/>
    <n v="0.1"/>
    <n v="4.5"/>
    <n v="5.5"/>
    <s v="Immediate"/>
    <x v="2"/>
    <d v="2025-12-31T00:00:00"/>
    <x v="0"/>
    <x v="1"/>
    <x v="4"/>
    <s v="Q4"/>
    <n v="2025"/>
  </r>
  <r>
    <s v="CAN1128"/>
    <s v="Stephanie"/>
    <s v="Kennedy"/>
    <s v="Female"/>
    <n v="24"/>
    <s v="stephanie.kennedy26@gmail.com"/>
    <n v="9108454944"/>
    <s v="Pune"/>
    <s v="Maharashtra"/>
    <s v="MBA"/>
    <n v="1.1000000000000001"/>
    <n v="11.2"/>
    <n v="15.4"/>
    <s v="15 Days"/>
    <x v="4"/>
    <d v="2025-12-29T00:00:00"/>
    <x v="0"/>
    <x v="0"/>
    <x v="4"/>
    <s v="Q4"/>
    <n v="2025"/>
  </r>
  <r>
    <s v="CAN1129"/>
    <s v="Susan"/>
    <s v="Jordan"/>
    <s v="Male"/>
    <n v="29"/>
    <s v="susan.jordan98@gmail.com"/>
    <n v="9875030686"/>
    <s v="Kochi"/>
    <s v="Kerala"/>
    <s v="CA"/>
    <n v="0.5"/>
    <m/>
    <n v="11.4"/>
    <s v="Immediate"/>
    <x v="4"/>
    <d v="2025-11-30T00:00:00"/>
    <x v="0"/>
    <x v="1"/>
    <x v="9"/>
    <s v="Q4"/>
    <n v="2025"/>
  </r>
  <r>
    <s v="CAN1130"/>
    <s v="Kelly"/>
    <s v="Foster"/>
    <s v="Male"/>
    <n v="24"/>
    <s v="kelly.foster68@gmail.com"/>
    <n v="9262267734"/>
    <s v="Kolkata"/>
    <s v="West Bengal"/>
    <s v="BBA"/>
    <n v="2.1"/>
    <n v="4.5999999999999996"/>
    <n v="5.3"/>
    <s v="60 Days"/>
    <x v="1"/>
    <d v="2025-12-22T00:00:00"/>
    <x v="0"/>
    <x v="0"/>
    <x v="4"/>
    <s v="Q4"/>
    <n v="2025"/>
  </r>
  <r>
    <s v="CAN1131"/>
    <s v="Jeremy"/>
    <s v="Massey"/>
    <s v="Male"/>
    <n v="29"/>
    <s v="jeremy.massey58@gmail.com"/>
    <n v="9118578080"/>
    <s v="Pune"/>
    <s v="Maharashtra"/>
    <s v="B.Tech"/>
    <n v="1"/>
    <n v="2.5"/>
    <n v="2.8"/>
    <s v="30 Days"/>
    <x v="1"/>
    <d v="2025-04-27T00:00:00"/>
    <x v="0"/>
    <x v="1"/>
    <x v="11"/>
    <s v="Q2"/>
    <n v="2025"/>
  </r>
  <r>
    <s v="CAN1132"/>
    <s v="David"/>
    <s v="Baker"/>
    <s v="Female"/>
    <n v="29"/>
    <s v="david.baker61@gmail.com"/>
    <n v="9103853083"/>
    <s v="Delhi"/>
    <s v="Delhi"/>
    <s v="B.Tech"/>
    <n v="2.7"/>
    <n v="10"/>
    <n v="14.4"/>
    <s v="60 Days"/>
    <x v="0"/>
    <d v="2025-12-02T00:00:00"/>
    <x v="0"/>
    <x v="1"/>
    <x v="4"/>
    <s v="Q4"/>
    <n v="2025"/>
  </r>
  <r>
    <s v="CAN1133"/>
    <s v="Frank"/>
    <s v="Maynard"/>
    <s v="Female"/>
    <n v="25"/>
    <s v="frank.maynard43@gmail.com"/>
    <n v="9678121793"/>
    <s v="Hyderabad"/>
    <s v="Telangana"/>
    <s v="M.Sc"/>
    <n v="2.9"/>
    <n v="7.6"/>
    <n v="10.1"/>
    <s v="90 Days"/>
    <x v="5"/>
    <d v="2025-08-10T00:00:00"/>
    <x v="0"/>
    <x v="0"/>
    <x v="3"/>
    <s v="Q3"/>
    <n v="2025"/>
  </r>
  <r>
    <s v="CAN1134"/>
    <s v="Bryan"/>
    <s v="Chung"/>
    <s v="Male"/>
    <n v="34"/>
    <s v="bryan.chung16@gmail.com"/>
    <n v="9443139716"/>
    <s v="Chennai"/>
    <s v="Tamil Nadu"/>
    <s v="MCA"/>
    <n v="5.6"/>
    <n v="13.1"/>
    <n v="18.100000000000001"/>
    <s v="90 Days"/>
    <x v="3"/>
    <d v="2025-07-20T00:00:00"/>
    <x v="0"/>
    <x v="3"/>
    <x v="7"/>
    <s v="Q3"/>
    <n v="2025"/>
  </r>
  <r>
    <s v="CAN1135"/>
    <s v="Patricia"/>
    <s v="Carrillo"/>
    <s v="Male"/>
    <n v="24"/>
    <s v="patricia.carrillo29@gmail.com"/>
    <n v="9940277815"/>
    <s v="Pune"/>
    <s v="Maharashtra"/>
    <s v="B.Tech"/>
    <n v="7.7"/>
    <n v="16.3"/>
    <n v="21.2"/>
    <s v="30 Days"/>
    <x v="5"/>
    <d v="2025-06-25T00:00:00"/>
    <x v="0"/>
    <x v="0"/>
    <x v="0"/>
    <s v="Q2"/>
    <n v="2025"/>
  </r>
  <r>
    <s v="CAN1136"/>
    <s v="Matthew"/>
    <s v="Griffin"/>
    <s v="Female"/>
    <n v="39"/>
    <s v="matthew.griffin91@gmail.com"/>
    <n v="9890317613"/>
    <s v="Gurugram"/>
    <s v="Haryana"/>
    <s v="B.Com"/>
    <n v="6.1"/>
    <n v="14.4"/>
    <n v="19.399999999999999"/>
    <s v="60 Days"/>
    <x v="2"/>
    <d v="2025-09-27T00:00:00"/>
    <x v="0"/>
    <x v="2"/>
    <x v="2"/>
    <s v="Q3"/>
    <n v="2025"/>
  </r>
  <r>
    <s v="CAN1137"/>
    <s v="Hailey"/>
    <s v="Mcbride"/>
    <s v="Female"/>
    <n v="29"/>
    <s v="hailey.mcbride49@gmail.com"/>
    <n v="9927280837"/>
    <s v="Chennai"/>
    <s v="Tamil Nadu"/>
    <s v="MBA"/>
    <n v="1.3"/>
    <n v="5.7"/>
    <n v="7.1"/>
    <s v="30 Days"/>
    <x v="2"/>
    <d v="2025-06-25T00:00:00"/>
    <x v="0"/>
    <x v="1"/>
    <x v="0"/>
    <s v="Q2"/>
    <n v="2025"/>
  </r>
  <r>
    <s v="CAN1138"/>
    <s v="Whitney"/>
    <s v="Ayers"/>
    <s v="Female"/>
    <n v="34"/>
    <s v="whitney.ayers65@gmail.com"/>
    <n v="9201086046"/>
    <s v="Jaipur"/>
    <s v="Rajasthan"/>
    <s v="B.Tech"/>
    <n v="0.8"/>
    <n v="8"/>
    <n v="11.4"/>
    <s v="15 Days"/>
    <x v="1"/>
    <d v="2025-02-16T00:00:00"/>
    <x v="0"/>
    <x v="3"/>
    <x v="1"/>
    <s v="Q1"/>
    <n v="2025"/>
  </r>
  <r>
    <s v="CAN1139"/>
    <s v="Michael"/>
    <s v="Padilla"/>
    <s v="Male"/>
    <n v="30"/>
    <s v="michael.padilla27@gmail.com"/>
    <n v="9730363611"/>
    <s v="Indore"/>
    <s v="Madhya Pradesh"/>
    <s v="BBA"/>
    <n v="4.9000000000000004"/>
    <n v="8"/>
    <n v="9"/>
    <s v="15 Days"/>
    <x v="2"/>
    <d v="2025-11-29T00:00:00"/>
    <x v="0"/>
    <x v="1"/>
    <x v="9"/>
    <s v="Q4"/>
    <n v="2025"/>
  </r>
  <r>
    <s v="CAN1140"/>
    <s v="Drew"/>
    <s v="Parker"/>
    <s v="Male"/>
    <n v="27"/>
    <s v="drew.parker30@gmail.com"/>
    <n v="9620830588"/>
    <s v="Pune"/>
    <s v="Maharashtra"/>
    <s v="B.Sc"/>
    <n v="1.4"/>
    <n v="10"/>
    <n v="13.1"/>
    <s v="30 Days"/>
    <x v="1"/>
    <d v="2025-05-22T00:00:00"/>
    <x v="0"/>
    <x v="1"/>
    <x v="10"/>
    <s v="Q2"/>
    <n v="2025"/>
  </r>
  <r>
    <s v="CAN1141"/>
    <s v="Paul"/>
    <s v="Castaneda"/>
    <s v="Female"/>
    <n v="28"/>
    <s v="paul.castaneda11@gmail.com"/>
    <n v="9548162060"/>
    <s v="Pune"/>
    <s v="Maharashtra"/>
    <s v="MBA"/>
    <n v="7.8"/>
    <n v="15.3"/>
    <n v="19.899999999999999"/>
    <s v="15 Days"/>
    <x v="2"/>
    <d v="2025-11-26T00:00:00"/>
    <x v="0"/>
    <x v="1"/>
    <x v="9"/>
    <s v="Q4"/>
    <n v="2025"/>
  </r>
  <r>
    <s v="CAN1142"/>
    <s v="David"/>
    <s v="Martinez"/>
    <s v="Female"/>
    <n v="25"/>
    <s v="david.martinez30@gmail.com"/>
    <n v="9627523081"/>
    <s v="Pune"/>
    <s v="Maharashtra"/>
    <s v="M.Tech"/>
    <n v="6.6"/>
    <n v="18.899999999999999"/>
    <n v="24.3"/>
    <s v="15 Days"/>
    <x v="1"/>
    <d v="2025-09-12T00:00:00"/>
    <x v="0"/>
    <x v="0"/>
    <x v="2"/>
    <s v="Q3"/>
    <n v="2025"/>
  </r>
  <r>
    <s v="CAN1143"/>
    <s v="Natalie"/>
    <s v="Peterson"/>
    <s v="Other"/>
    <n v="28"/>
    <s v="natalie.peterson15@gmail.com"/>
    <n v="9346964424"/>
    <s v="Delhi"/>
    <s v="Delhi"/>
    <s v="MBA"/>
    <n v="1.5"/>
    <n v="4.7"/>
    <n v="6.2"/>
    <s v="Immediate"/>
    <x v="0"/>
    <d v="2025-11-14T00:00:00"/>
    <x v="0"/>
    <x v="1"/>
    <x v="9"/>
    <s v="Q4"/>
    <n v="2025"/>
  </r>
  <r>
    <s v="CAN1144"/>
    <s v="William"/>
    <s v="Kelly"/>
    <s v="Male"/>
    <n v="25"/>
    <s v="william.kelly38@gmail.com"/>
    <n v="9175708113"/>
    <s v="Ahmedabad"/>
    <s v="Gujarat"/>
    <s v="B.Tech"/>
    <n v="2.8"/>
    <n v="4.5999999999999996"/>
    <n v="6"/>
    <s v="15 Days"/>
    <x v="2"/>
    <d v="2025-07-07T00:00:00"/>
    <x v="0"/>
    <x v="0"/>
    <x v="7"/>
    <s v="Q3"/>
    <n v="2025"/>
  </r>
  <r>
    <s v="CAN1145"/>
    <s v="Christopher"/>
    <s v="Dominguez"/>
    <s v="Male"/>
    <n v="31"/>
    <s v="christopher.dominguez22@gmail.com"/>
    <n v="9640259298"/>
    <s v="Delhi"/>
    <s v="Delhi"/>
    <s v="M.Sc"/>
    <n v="0.3"/>
    <n v="5.4"/>
    <n v="7.1"/>
    <s v="30 Days"/>
    <x v="4"/>
    <d v="2025-12-14T00:00:00"/>
    <x v="0"/>
    <x v="3"/>
    <x v="4"/>
    <s v="Q4"/>
    <n v="2025"/>
  </r>
  <r>
    <s v="CAN1146"/>
    <s v="Devin"/>
    <s v="Orozco"/>
    <s v="Male"/>
    <n v="28"/>
    <s v="devin.orozco15@gmail.com"/>
    <n v="9568120425"/>
    <s v="Chennai"/>
    <s v="Tamil Nadu"/>
    <s v="BBA"/>
    <n v="2.1"/>
    <n v="4.3"/>
    <n v="5"/>
    <s v="15 Days"/>
    <x v="2"/>
    <d v="2025-12-29T00:00:00"/>
    <x v="0"/>
    <x v="1"/>
    <x v="4"/>
    <s v="Q4"/>
    <n v="2025"/>
  </r>
  <r>
    <s v="CAN1147"/>
    <s v="Kimberly"/>
    <s v="Hopkins"/>
    <s v="Female"/>
    <n v="21"/>
    <s v="kimberly.hopkins10@gmail.com"/>
    <n v="9551540627"/>
    <s v="Jaipur"/>
    <s v="Rajasthan"/>
    <s v="M.Tech"/>
    <n v="2.6"/>
    <n v="7.5"/>
    <n v="8.6999999999999993"/>
    <s v="30 Days"/>
    <x v="6"/>
    <d v="2025-05-25T00:00:00"/>
    <x v="0"/>
    <x v="0"/>
    <x v="10"/>
    <s v="Q2"/>
    <n v="2025"/>
  </r>
  <r>
    <s v="CAN1148"/>
    <s v="Martin"/>
    <s v="Peck"/>
    <s v="Male"/>
    <n v="26"/>
    <s v="martin.peck22@gmail.com"/>
    <n v="9262788847"/>
    <s v="Indore"/>
    <s v="Madhya Pradesh"/>
    <s v="PhD"/>
    <n v="3.3"/>
    <n v="11"/>
    <n v="12.5"/>
    <s v="60 Days"/>
    <x v="3"/>
    <d v="2025-06-01T00:00:00"/>
    <x v="0"/>
    <x v="1"/>
    <x v="0"/>
    <s v="Q2"/>
    <n v="2025"/>
  </r>
  <r>
    <s v="CAN1149"/>
    <s v="Kaitlin"/>
    <s v="Ewing"/>
    <s v="Male"/>
    <n v="32"/>
    <s v="kaitlin.ewing95@gmail.com"/>
    <n v="9422319777"/>
    <s v="Chandigarh"/>
    <s v="Chandigarh"/>
    <s v="CA"/>
    <n v="0.6"/>
    <n v="5.3"/>
    <n v="6.5"/>
    <s v="15 Days"/>
    <x v="0"/>
    <d v="2025-12-25T00:00:00"/>
    <x v="0"/>
    <x v="3"/>
    <x v="4"/>
    <s v="Q4"/>
    <n v="2025"/>
  </r>
  <r>
    <s v="CAN1150"/>
    <s v="Victor"/>
    <s v="Adams"/>
    <s v="Female"/>
    <n v="32"/>
    <s v="victor.adams47@gmail.com"/>
    <n v="9730657750"/>
    <s v="Gurugram"/>
    <s v="Haryana"/>
    <s v="B.Sc"/>
    <n v="5.5"/>
    <n v="13.7"/>
    <n v="19"/>
    <s v="30 Days"/>
    <x v="3"/>
    <d v="2025-04-12T00:00:00"/>
    <x v="0"/>
    <x v="3"/>
    <x v="11"/>
    <s v="Q2"/>
    <n v="2025"/>
  </r>
  <r>
    <s v="CAN1151"/>
    <s v="Sydney"/>
    <s v="Walters"/>
    <s v="Other"/>
    <n v="21"/>
    <s v="sydney.walters55@gmail.com"/>
    <n v="9735620973"/>
    <s v="Delhi"/>
    <s v="Delhi"/>
    <s v="BBA"/>
    <n v="5.4"/>
    <n v="9.9"/>
    <n v="13.7"/>
    <s v="15 Days"/>
    <x v="3"/>
    <d v="2025-04-24T00:00:00"/>
    <x v="0"/>
    <x v="0"/>
    <x v="11"/>
    <s v="Q2"/>
    <n v="2025"/>
  </r>
  <r>
    <s v="CAN1152"/>
    <s v="Bradley"/>
    <s v="Spencer"/>
    <s v="Female"/>
    <n v="28"/>
    <s v="bradley.spencer52@gmail.com"/>
    <n v="9382551553"/>
    <s v="Noida"/>
    <s v="Uttar Pradesh"/>
    <s v="MBA"/>
    <n v="2.6"/>
    <n v="5.0999999999999996"/>
    <n v="7.1"/>
    <s v="30 Days"/>
    <x v="2"/>
    <d v="2025-03-14T00:00:00"/>
    <x v="0"/>
    <x v="1"/>
    <x v="6"/>
    <s v="Q1"/>
    <n v="2025"/>
  </r>
  <r>
    <s v="CAN1153"/>
    <s v="Timothy"/>
    <s v="Delacruz"/>
    <s v="Female"/>
    <n v="31"/>
    <s v="timothy.delacruz94@gmail.com"/>
    <n v="9670800715"/>
    <s v="Noida"/>
    <s v="Uttar Pradesh"/>
    <s v="B.Tech"/>
    <n v="5.2"/>
    <n v="14.9"/>
    <n v="18.399999999999999"/>
    <s v="15 Days"/>
    <x v="3"/>
    <d v="2025-03-21T00:00:00"/>
    <x v="0"/>
    <x v="3"/>
    <x v="6"/>
    <s v="Q1"/>
    <n v="2025"/>
  </r>
  <r>
    <s v="CAN1154"/>
    <s v="Taylor"/>
    <s v="Crawford"/>
    <s v="Other"/>
    <n v="30"/>
    <s v="taylor.crawford40@gmail.com"/>
    <n v="9590843067"/>
    <s v="Indore"/>
    <s v="Madhya Pradesh"/>
    <s v="B.Sc"/>
    <n v="1.1000000000000001"/>
    <n v="11.8"/>
    <n v="16"/>
    <s v="60 Days"/>
    <x v="0"/>
    <d v="2025-12-11T00:00:00"/>
    <x v="0"/>
    <x v="1"/>
    <x v="4"/>
    <s v="Q4"/>
    <n v="2025"/>
  </r>
  <r>
    <s v="CAN1155"/>
    <s v="Tyler"/>
    <s v="Finley"/>
    <s v="Male"/>
    <n v="40"/>
    <s v="tyler.finley12@gmail.com"/>
    <n v="9266963747"/>
    <s v="Kochi"/>
    <s v="Kerala"/>
    <s v="M.Tech"/>
    <n v="1.9"/>
    <n v="9"/>
    <n v="12.1"/>
    <s v="60 Days"/>
    <x v="0"/>
    <d v="2025-08-06T00:00:00"/>
    <x v="0"/>
    <x v="2"/>
    <x v="3"/>
    <s v="Q3"/>
    <n v="2025"/>
  </r>
  <r>
    <s v="CAN1156"/>
    <s v="John"/>
    <s v="Zamora"/>
    <s v="Male"/>
    <n v="27"/>
    <s v="john.zamora61@gmail.com"/>
    <n v="9711741037"/>
    <s v="Delhi"/>
    <s v="Delhi"/>
    <s v="MBA"/>
    <n v="1.2"/>
    <n v="6.2"/>
    <n v="8.8000000000000007"/>
    <s v="30 Days"/>
    <x v="1"/>
    <d v="2025-04-18T00:00:00"/>
    <x v="0"/>
    <x v="1"/>
    <x v="11"/>
    <s v="Q2"/>
    <n v="2025"/>
  </r>
  <r>
    <s v="CAN1157"/>
    <s v="Gary"/>
    <s v="Carroll"/>
    <s v="Male"/>
    <n v="31"/>
    <s v="gary.carroll87@gmail.com"/>
    <n v="9986545795"/>
    <s v="Noida"/>
    <s v="Uttar Pradesh"/>
    <s v="B.Tech"/>
    <n v="0.5"/>
    <m/>
    <n v="4.5999999999999996"/>
    <s v="30 Days"/>
    <x v="0"/>
    <d v="2025-06-29T00:00:00"/>
    <x v="0"/>
    <x v="3"/>
    <x v="0"/>
    <s v="Q2"/>
    <n v="2025"/>
  </r>
  <r>
    <s v="CAN1158"/>
    <s v="Kurt"/>
    <s v="Bell"/>
    <s v="Female"/>
    <n v="30"/>
    <s v="kurt.bell78@gmail.com"/>
    <n v="9712611662"/>
    <s v="Bengaluru"/>
    <s v="Karnataka"/>
    <m/>
    <n v="12.1"/>
    <n v="24"/>
    <n v="29.1"/>
    <s v="30 Days"/>
    <x v="6"/>
    <d v="2025-10-20T00:00:00"/>
    <x v="0"/>
    <x v="1"/>
    <x v="8"/>
    <s v="Q4"/>
    <n v="2025"/>
  </r>
  <r>
    <s v="CAN1159"/>
    <s v="Patricia"/>
    <s v="Ryan"/>
    <s v="Male"/>
    <n v="27"/>
    <s v="patricia.ryan47@gmail.com"/>
    <n v="9876252386"/>
    <s v="Noida"/>
    <s v="Uttar Pradesh"/>
    <s v="MBA"/>
    <n v="1"/>
    <n v="6.1"/>
    <n v="8.3000000000000007"/>
    <s v="30 Days"/>
    <x v="0"/>
    <d v="2025-10-06T00:00:00"/>
    <x v="0"/>
    <x v="1"/>
    <x v="8"/>
    <s v="Q4"/>
    <n v="2025"/>
  </r>
  <r>
    <s v="CAN1160"/>
    <s v="Oscar"/>
    <s v="Jackson"/>
    <s v="Female"/>
    <n v="31"/>
    <s v="oscar.jackson93@gmail.com"/>
    <n v="9333645901"/>
    <s v="Ahmedabad"/>
    <s v="Gujarat"/>
    <s v="BBA"/>
    <n v="14.5"/>
    <n v="22"/>
    <n v="28.4"/>
    <s v="30 Days"/>
    <x v="2"/>
    <d v="2025-08-23T00:00:00"/>
    <x v="0"/>
    <x v="3"/>
    <x v="3"/>
    <s v="Q3"/>
    <n v="2025"/>
  </r>
  <r>
    <s v="CAN1161"/>
    <s v="Olivia"/>
    <s v="Gaines"/>
    <s v="Male"/>
    <n v="25"/>
    <s v="olivia.gaines63@gmail.com"/>
    <n v="9773149831"/>
    <s v="Hyderabad"/>
    <s v="Telangana"/>
    <s v="CA"/>
    <n v="0.2"/>
    <n v="2.5"/>
    <n v="3.5"/>
    <s v="15 Days"/>
    <x v="3"/>
    <d v="2025-07-15T00:00:00"/>
    <x v="0"/>
    <x v="0"/>
    <x v="7"/>
    <s v="Q3"/>
    <n v="2025"/>
  </r>
  <r>
    <s v="CAN1162"/>
    <s v="Vernon"/>
    <s v="Kaufman"/>
    <s v="Female"/>
    <n v="27"/>
    <s v="vernon.kaufman98@gmail.com"/>
    <n v="9704579407"/>
    <s v="Pune"/>
    <s v="Maharashtra"/>
    <s v="MBA"/>
    <n v="1.9"/>
    <n v="8.3000000000000007"/>
    <n v="10.1"/>
    <s v="30 Days"/>
    <x v="2"/>
    <d v="2025-09-10T00:00:00"/>
    <x v="0"/>
    <x v="1"/>
    <x v="2"/>
    <s v="Q3"/>
    <n v="2025"/>
  </r>
  <r>
    <s v="CAN1163"/>
    <s v="Yolanda"/>
    <s v="Montoya"/>
    <s v="Female"/>
    <n v="35"/>
    <s v="yolanda.montoya96@gmail.com"/>
    <n v="9212719421"/>
    <s v="Chennai"/>
    <s v="Tamil Nadu"/>
    <s v="B.Sc"/>
    <n v="4.5"/>
    <n v="9.9"/>
    <n v="12.1"/>
    <s v="Immediate"/>
    <x v="0"/>
    <d v="2025-04-25T00:00:00"/>
    <x v="0"/>
    <x v="3"/>
    <x v="11"/>
    <s v="Q2"/>
    <n v="2025"/>
  </r>
  <r>
    <s v="CAN1164"/>
    <s v="Matthew"/>
    <s v="Huff"/>
    <s v="Female"/>
    <n v="38"/>
    <s v="matthew.huff85@gmail.com"/>
    <n v="9514401240"/>
    <s v="Delhi"/>
    <s v="Delhi"/>
    <s v="PhD"/>
    <n v="5.6"/>
    <n v="12"/>
    <n v="15"/>
    <s v="30 Days"/>
    <x v="3"/>
    <d v="2025-07-05T00:00:00"/>
    <x v="0"/>
    <x v="2"/>
    <x v="7"/>
    <s v="Q3"/>
    <n v="2025"/>
  </r>
  <r>
    <s v="CAN1165"/>
    <s v="Melanie"/>
    <s v="Burns"/>
    <s v="Female"/>
    <n v="34"/>
    <s v="melanie.burns37@gmail.com"/>
    <n v="9493532560"/>
    <s v="Indore"/>
    <s v="Madhya Pradesh"/>
    <s v="B.Com"/>
    <n v="3.1"/>
    <n v="8.5"/>
    <n v="10.7"/>
    <s v="60 Days"/>
    <x v="0"/>
    <d v="2025-02-10T00:00:00"/>
    <x v="0"/>
    <x v="3"/>
    <x v="1"/>
    <s v="Q1"/>
    <n v="2025"/>
  </r>
  <r>
    <s v="CAN1166"/>
    <s v="Zachary"/>
    <s v="Neal"/>
    <s v="Female"/>
    <n v="29"/>
    <s v="zachary.neal72@gmail.com"/>
    <n v="9645718651"/>
    <s v="Pune"/>
    <s v="Maharashtra"/>
    <s v="M.Tech"/>
    <n v="2.4"/>
    <n v="6.7"/>
    <n v="9.6"/>
    <s v="Immediate"/>
    <x v="3"/>
    <d v="2025-09-13T00:00:00"/>
    <x v="0"/>
    <x v="1"/>
    <x v="2"/>
    <s v="Q3"/>
    <n v="2025"/>
  </r>
  <r>
    <s v="CAN1167"/>
    <s v="Timothy"/>
    <s v="Hughes"/>
    <s v="Female"/>
    <n v="32"/>
    <s v="timothy.hughes98@gmail.com"/>
    <n v="9369183044"/>
    <s v="Mumbai"/>
    <s v="Maharashtra"/>
    <s v="M.Sc"/>
    <n v="4.5999999999999996"/>
    <n v="15.5"/>
    <n v="20.6"/>
    <s v="30 Days"/>
    <x v="1"/>
    <d v="2025-04-05T00:00:00"/>
    <x v="0"/>
    <x v="3"/>
    <x v="11"/>
    <s v="Q2"/>
    <n v="2025"/>
  </r>
  <r>
    <s v="CAN1168"/>
    <s v="Rose"/>
    <s v="Mcdonald"/>
    <s v="Female"/>
    <n v="29"/>
    <s v="rose.mcdonald97@gmail.com"/>
    <n v="9483568804"/>
    <s v="Jaipur"/>
    <s v="Rajasthan"/>
    <s v="M.Tech"/>
    <n v="0.2"/>
    <n v="5.7"/>
    <n v="6.7"/>
    <s v="30 Days"/>
    <x v="2"/>
    <d v="2025-05-15T00:00:00"/>
    <x v="0"/>
    <x v="1"/>
    <x v="10"/>
    <s v="Q2"/>
    <n v="2025"/>
  </r>
  <r>
    <s v="CAN1169"/>
    <s v="Antonio"/>
    <s v="Ramirez"/>
    <s v="Female"/>
    <n v="27"/>
    <s v="antonio.ramirez47@gmail.com"/>
    <n v="9897061108"/>
    <s v="Hyderabad"/>
    <s v="Telangana"/>
    <s v="MBA"/>
    <n v="1.2"/>
    <n v="6.5"/>
    <n v="8.1"/>
    <s v="Immediate"/>
    <x v="3"/>
    <d v="2025-10-10T00:00:00"/>
    <x v="0"/>
    <x v="1"/>
    <x v="8"/>
    <s v="Q4"/>
    <n v="2025"/>
  </r>
  <r>
    <s v="CAN1170"/>
    <s v="Brian"/>
    <s v="Moore"/>
    <s v="Female"/>
    <n v="21"/>
    <s v="brian.moore54@gmail.com"/>
    <n v="9836018234"/>
    <s v="Chandigarh"/>
    <s v="Chandigarh"/>
    <s v="M.Tech"/>
    <n v="10.1"/>
    <n v="15.5"/>
    <n v="22"/>
    <s v="Immediate"/>
    <x v="4"/>
    <d v="2025-11-12T00:00:00"/>
    <x v="0"/>
    <x v="0"/>
    <x v="9"/>
    <s v="Q4"/>
    <n v="2025"/>
  </r>
  <r>
    <s v="CAN1171"/>
    <s v="Wesley"/>
    <s v="Roberts"/>
    <s v="Female"/>
    <n v="25"/>
    <s v="wesley.roberts46@gmail.com"/>
    <n v="9354355722"/>
    <s v="Indore"/>
    <s v="Madhya Pradesh"/>
    <s v="B.Com"/>
    <n v="2.2000000000000002"/>
    <n v="3.5"/>
    <n v="4.0999999999999996"/>
    <s v="60 Days"/>
    <x v="0"/>
    <d v="2025-10-21T00:00:00"/>
    <x v="0"/>
    <x v="0"/>
    <x v="8"/>
    <s v="Q4"/>
    <n v="2025"/>
  </r>
  <r>
    <s v="CAN1172"/>
    <s v="Charles"/>
    <s v="Lambert"/>
    <s v="Female"/>
    <n v="29"/>
    <s v="charles.lambert17@gmail.com"/>
    <n v="9615647320"/>
    <s v="Kochi"/>
    <s v="Kerala"/>
    <s v="B.Tech"/>
    <n v="2.2999999999999998"/>
    <n v="10.1"/>
    <n v="12"/>
    <s v="Immediate"/>
    <x v="3"/>
    <d v="2025-06-05T00:00:00"/>
    <x v="0"/>
    <x v="1"/>
    <x v="0"/>
    <s v="Q2"/>
    <n v="2025"/>
  </r>
  <r>
    <s v="CAN1173"/>
    <s v="Heather"/>
    <s v="Salas"/>
    <s v="Male"/>
    <n v="21"/>
    <s v="heather.salas68@gmail.com"/>
    <n v="9837983378"/>
    <s v="Pune"/>
    <s v="Maharashtra"/>
    <s v="BBA"/>
    <n v="0.4"/>
    <n v="10.4"/>
    <n v="11.9"/>
    <s v="Immediate"/>
    <x v="2"/>
    <d v="2025-12-09T00:00:00"/>
    <x v="0"/>
    <x v="0"/>
    <x v="4"/>
    <s v="Q4"/>
    <n v="2025"/>
  </r>
  <r>
    <s v="CAN1174"/>
    <s v="Kenneth"/>
    <s v="Buckley"/>
    <s v="Male"/>
    <n v="30"/>
    <s v="kenneth.buckley38@gmail.com"/>
    <n v="9147028967"/>
    <s v="Noida"/>
    <s v="Uttar Pradesh"/>
    <s v="M.Tech"/>
    <n v="2.2000000000000002"/>
    <n v="6.9"/>
    <n v="9.4"/>
    <s v="Immediate"/>
    <x v="0"/>
    <d v="2025-12-09T00:00:00"/>
    <x v="0"/>
    <x v="1"/>
    <x v="4"/>
    <s v="Q4"/>
    <n v="2025"/>
  </r>
  <r>
    <s v="CAN1175"/>
    <s v="Chad"/>
    <s v="Benton"/>
    <s v="Male"/>
    <n v="36"/>
    <s v="chad.benton36@gmail.com"/>
    <n v="9267359922"/>
    <s v="Jaipur"/>
    <s v="Rajasthan"/>
    <s v="B.Tech"/>
    <n v="0.8"/>
    <n v="5.4"/>
    <n v="6.8"/>
    <s v="30 Days"/>
    <x v="6"/>
    <d v="2025-06-30T00:00:00"/>
    <x v="0"/>
    <x v="2"/>
    <x v="0"/>
    <s v="Q2"/>
    <n v="2025"/>
  </r>
  <r>
    <s v="CAN1176"/>
    <s v="Spencer"/>
    <s v="Murphy"/>
    <s v="Female"/>
    <n v="30"/>
    <s v="spencer.murphy5@gmail.com"/>
    <n v="9908734973"/>
    <s v="Pune"/>
    <s v="Maharashtra"/>
    <s v="BBA"/>
    <n v="0.4"/>
    <n v="2.5"/>
    <n v="3.1"/>
    <s v="30 Days"/>
    <x v="6"/>
    <d v="2025-07-23T00:00:00"/>
    <x v="0"/>
    <x v="1"/>
    <x v="7"/>
    <s v="Q3"/>
    <n v="2025"/>
  </r>
  <r>
    <s v="CAN1177"/>
    <s v="Gary"/>
    <s v="Robinson"/>
    <s v="Female"/>
    <n v="28"/>
    <s v="gary.robinson39@gmail.com"/>
    <n v="9535690497"/>
    <s v="Ahmedabad"/>
    <s v="Gujarat"/>
    <m/>
    <n v="0.4"/>
    <n v="6.8"/>
    <n v="9.8000000000000007"/>
    <m/>
    <x v="2"/>
    <d v="2025-07-25T00:00:00"/>
    <x v="0"/>
    <x v="1"/>
    <x v="7"/>
    <s v="Q3"/>
    <n v="2025"/>
  </r>
  <r>
    <s v="CAN1178"/>
    <s v="Amy"/>
    <s v="Cochran"/>
    <s v="Female"/>
    <n v="32"/>
    <s v="amy.cochran11@gmail.com"/>
    <n v="9480946361"/>
    <s v="Indore"/>
    <s v="Madhya Pradesh"/>
    <s v="MBA"/>
    <n v="0.7"/>
    <n v="10.7"/>
    <n v="12.6"/>
    <s v="30 Days"/>
    <x v="2"/>
    <d v="2025-10-24T00:00:00"/>
    <x v="0"/>
    <x v="3"/>
    <x v="8"/>
    <s v="Q4"/>
    <n v="2025"/>
  </r>
  <r>
    <s v="CAN1179"/>
    <s v="Megan"/>
    <s v="Reese"/>
    <s v="Female"/>
    <n v="29"/>
    <s v="megan.reese32@gmail.com"/>
    <n v="9224068475"/>
    <s v="Ahmedabad"/>
    <s v="Gujarat"/>
    <s v="BBA"/>
    <n v="1.4"/>
    <n v="8.1"/>
    <n v="9.6"/>
    <s v="30 Days"/>
    <x v="5"/>
    <d v="2025-04-24T00:00:00"/>
    <x v="0"/>
    <x v="1"/>
    <x v="11"/>
    <s v="Q2"/>
    <n v="2025"/>
  </r>
  <r>
    <s v="CAN1180"/>
    <s v="Brian"/>
    <s v="Tran"/>
    <s v="Male"/>
    <n v="21"/>
    <s v="brian.tran72@gmail.com"/>
    <n v="9425437715"/>
    <s v="Indore"/>
    <s v="Madhya Pradesh"/>
    <s v="B.Com"/>
    <n v="0.7"/>
    <n v="9.6999999999999993"/>
    <n v="13.7"/>
    <s v="60 Days"/>
    <x v="3"/>
    <d v="2025-07-21T00:00:00"/>
    <x v="0"/>
    <x v="0"/>
    <x v="7"/>
    <s v="Q3"/>
    <n v="2025"/>
  </r>
  <r>
    <s v="CAN1181"/>
    <s v="Mandy"/>
    <s v="Osborne"/>
    <s v="Female"/>
    <n v="21"/>
    <s v="mandy.osborne93@gmail.com"/>
    <n v="9316061013"/>
    <s v="Jaipur"/>
    <s v="Rajasthan"/>
    <s v="BBA"/>
    <n v="7.1"/>
    <n v="15.3"/>
    <n v="21.9"/>
    <s v="Immediate"/>
    <x v="2"/>
    <d v="2025-04-11T00:00:00"/>
    <x v="0"/>
    <x v="0"/>
    <x v="11"/>
    <s v="Q2"/>
    <n v="2025"/>
  </r>
  <r>
    <s v="CAN1182"/>
    <s v="Craig"/>
    <s v="Harris"/>
    <s v="Female"/>
    <n v="28"/>
    <s v="craig.harris90@gmail.com"/>
    <n v="9423662097"/>
    <s v="Kolkata"/>
    <s v="West Bengal"/>
    <s v="BBA"/>
    <n v="3.8"/>
    <n v="8"/>
    <n v="9.1"/>
    <s v="30 Days"/>
    <x v="1"/>
    <d v="2025-09-13T00:00:00"/>
    <x v="0"/>
    <x v="1"/>
    <x v="2"/>
    <s v="Q3"/>
    <n v="2025"/>
  </r>
  <r>
    <s v="CAN1183"/>
    <s v="Renee"/>
    <s v="Thomas"/>
    <s v="Female"/>
    <n v="35"/>
    <s v="renee.thomas34@gmail.com"/>
    <n v="9632654956"/>
    <s v="Chennai"/>
    <s v="Tamil Nadu"/>
    <s v="B.Sc"/>
    <n v="4.5"/>
    <n v="7.2"/>
    <n v="9.8000000000000007"/>
    <s v="90 Days"/>
    <x v="4"/>
    <d v="2025-05-08T00:00:00"/>
    <x v="0"/>
    <x v="3"/>
    <x v="10"/>
    <s v="Q2"/>
    <n v="2025"/>
  </r>
  <r>
    <s v="CAN1184"/>
    <s v="Devin"/>
    <s v="Franco"/>
    <s v="Male"/>
    <n v="26"/>
    <s v="devin.franco47@gmail.com"/>
    <n v="9183129555"/>
    <s v="Kolkata"/>
    <s v="West Bengal"/>
    <s v="M.Sc"/>
    <n v="0.2"/>
    <n v="3"/>
    <n v="3.4"/>
    <s v="30 Days"/>
    <x v="4"/>
    <d v="2025-08-29T00:00:00"/>
    <x v="0"/>
    <x v="1"/>
    <x v="3"/>
    <s v="Q3"/>
    <n v="2025"/>
  </r>
  <r>
    <s v="CAN1185"/>
    <s v="Tracy"/>
    <s v="Walters"/>
    <s v="Female"/>
    <n v="27"/>
    <s v="tracy.walters59@gmail.com"/>
    <n v="9541816405"/>
    <s v="Mumbai"/>
    <s v="Maharashtra"/>
    <m/>
    <n v="3"/>
    <n v="9.9"/>
    <n v="12.1"/>
    <s v="30 Days"/>
    <x v="1"/>
    <d v="2025-08-19T00:00:00"/>
    <x v="0"/>
    <x v="1"/>
    <x v="3"/>
    <s v="Q3"/>
    <n v="2025"/>
  </r>
  <r>
    <s v="CAN1186"/>
    <s v="Laura"/>
    <s v="Powell"/>
    <s v="Female"/>
    <n v="30"/>
    <s v="laura.powell91@gmail.com"/>
    <n v="9209120649"/>
    <s v="Kochi"/>
    <s v="Kerala"/>
    <m/>
    <n v="9.3000000000000007"/>
    <n v="17.3"/>
    <n v="21.9"/>
    <s v="Immediate"/>
    <x v="5"/>
    <d v="2025-01-09T00:00:00"/>
    <x v="0"/>
    <x v="1"/>
    <x v="5"/>
    <s v="Q1"/>
    <n v="2025"/>
  </r>
  <r>
    <s v="CAN1187"/>
    <s v="Melissa"/>
    <s v="Chavez"/>
    <s v="Male"/>
    <n v="34"/>
    <s v="melissa.chavez25@gmail.com"/>
    <n v="9581092056"/>
    <s v="Kochi"/>
    <s v="Kerala"/>
    <s v="B.Tech"/>
    <n v="7.1"/>
    <n v="12.6"/>
    <n v="17.7"/>
    <s v="30 Days"/>
    <x v="3"/>
    <d v="2025-04-20T00:00:00"/>
    <x v="0"/>
    <x v="3"/>
    <x v="11"/>
    <s v="Q2"/>
    <n v="2025"/>
  </r>
  <r>
    <s v="CAN1188"/>
    <s v="Rebecca"/>
    <s v="Jimenez"/>
    <s v="Female"/>
    <n v="27"/>
    <s v="rebecca.jimenez76@gmail.com"/>
    <n v="9160022534"/>
    <s v="Mumbai"/>
    <s v="Maharashtra"/>
    <s v="B.Com"/>
    <n v="2.8"/>
    <n v="6.1"/>
    <n v="7.2"/>
    <s v="30 Days"/>
    <x v="0"/>
    <d v="2025-01-15T00:00:00"/>
    <x v="0"/>
    <x v="1"/>
    <x v="5"/>
    <s v="Q1"/>
    <n v="2025"/>
  </r>
  <r>
    <s v="CAN1189"/>
    <s v="Jose"/>
    <s v="Woodard"/>
    <s v="Male"/>
    <n v="29"/>
    <s v="jose.woodard23@gmail.com"/>
    <n v="9680080238"/>
    <s v="Gurugram"/>
    <s v="Haryana"/>
    <s v="BBA"/>
    <n v="2.6"/>
    <n v="8.9"/>
    <n v="11.3"/>
    <s v="Immediate"/>
    <x v="1"/>
    <d v="2025-05-10T00:00:00"/>
    <x v="0"/>
    <x v="1"/>
    <x v="10"/>
    <s v="Q2"/>
    <n v="2025"/>
  </r>
  <r>
    <s v="CAN1190"/>
    <s v="Ronald"/>
    <s v="Giles"/>
    <s v="Male"/>
    <n v="35"/>
    <s v="ronald.giles8@gmail.com"/>
    <n v="9105033287"/>
    <s v="Pune"/>
    <s v="Maharashtra"/>
    <s v="M.Sc"/>
    <n v="6.2"/>
    <n v="12.9"/>
    <n v="18.5"/>
    <s v="90 Days"/>
    <x v="3"/>
    <d v="2025-03-01T00:00:00"/>
    <x v="0"/>
    <x v="3"/>
    <x v="6"/>
    <s v="Q1"/>
    <n v="2025"/>
  </r>
  <r>
    <s v="CAN1191"/>
    <s v="Misty"/>
    <s v="Richards"/>
    <s v="Female"/>
    <n v="28"/>
    <s v="misty.richards42@gmail.com"/>
    <n v="9768895807"/>
    <s v="Mumbai"/>
    <s v="Maharashtra"/>
    <s v="MCA"/>
    <n v="0.7"/>
    <n v="7.8"/>
    <n v="11.2"/>
    <s v="Immediate"/>
    <x v="3"/>
    <d v="2025-12-13T00:00:00"/>
    <x v="0"/>
    <x v="1"/>
    <x v="4"/>
    <s v="Q4"/>
    <n v="2025"/>
  </r>
  <r>
    <s v="CAN1192"/>
    <s v="Mary"/>
    <s v="Cox"/>
    <s v="Male"/>
    <n v="27"/>
    <s v="mary.cox19@gmail.com"/>
    <n v="9744348278"/>
    <s v="Jaipur"/>
    <s v="Rajasthan"/>
    <s v="M.Tech"/>
    <n v="1.2"/>
    <n v="8.5"/>
    <n v="9.8000000000000007"/>
    <s v="15 Days"/>
    <x v="6"/>
    <d v="2025-01-17T00:00:00"/>
    <x v="0"/>
    <x v="1"/>
    <x v="5"/>
    <s v="Q1"/>
    <n v="2025"/>
  </r>
  <r>
    <s v="CAN1193"/>
    <s v="John"/>
    <s v="Martin"/>
    <s v="Male"/>
    <n v="29"/>
    <s v="john.martin17@gmail.com"/>
    <n v="9507800001"/>
    <s v="Bengaluru"/>
    <s v="Karnataka"/>
    <s v="B.Sc"/>
    <n v="2.2999999999999998"/>
    <n v="7.2"/>
    <n v="8.1"/>
    <m/>
    <x v="0"/>
    <d v="2025-03-28T00:00:00"/>
    <x v="0"/>
    <x v="1"/>
    <x v="6"/>
    <s v="Q1"/>
    <n v="2025"/>
  </r>
  <r>
    <s v="CAN1194"/>
    <s v="Antonio"/>
    <s v="Long"/>
    <s v="Male"/>
    <n v="29"/>
    <s v="antonio.long46@gmail.com"/>
    <n v="9806219345"/>
    <s v="Hyderabad"/>
    <s v="Telangana"/>
    <s v="MBA"/>
    <n v="1.2"/>
    <n v="7.2"/>
    <n v="9.1"/>
    <s v="Immediate"/>
    <x v="2"/>
    <d v="2025-05-29T00:00:00"/>
    <x v="0"/>
    <x v="1"/>
    <x v="10"/>
    <s v="Q2"/>
    <n v="2025"/>
  </r>
  <r>
    <s v="CAN1195"/>
    <s v="Robert"/>
    <s v="Jackson"/>
    <s v="Female"/>
    <n v="22"/>
    <s v="robert.jackson19@gmail.com"/>
    <n v="9551763092"/>
    <s v="Indore"/>
    <s v="Madhya Pradesh"/>
    <s v="CA"/>
    <n v="0.6"/>
    <n v="10.8"/>
    <n v="13.1"/>
    <s v="Immediate"/>
    <x v="6"/>
    <d v="2025-02-08T00:00:00"/>
    <x v="0"/>
    <x v="0"/>
    <x v="1"/>
    <s v="Q1"/>
    <n v="2025"/>
  </r>
  <r>
    <s v="CAN1196"/>
    <s v="James"/>
    <s v="Alvarado"/>
    <s v="Female"/>
    <n v="27"/>
    <s v="james.alvarado18@gmail.com"/>
    <n v="9739274605"/>
    <s v="Bengaluru"/>
    <s v="Karnataka"/>
    <s v="B.Sc"/>
    <n v="3.4"/>
    <n v="14.3"/>
    <n v="20"/>
    <s v="30 Days"/>
    <x v="4"/>
    <d v="2025-10-13T00:00:00"/>
    <x v="0"/>
    <x v="1"/>
    <x v="8"/>
    <s v="Q4"/>
    <n v="2025"/>
  </r>
  <r>
    <s v="CAN1197"/>
    <s v="Stacey"/>
    <s v="Boyd"/>
    <s v="Male"/>
    <n v="28"/>
    <s v="stacey.boyd14@gmail.com"/>
    <n v="9503932706"/>
    <s v="Kolkata"/>
    <s v="West Bengal"/>
    <s v="MBA"/>
    <n v="3.1"/>
    <n v="2.7"/>
    <n v="3.7"/>
    <s v="30 Days"/>
    <x v="0"/>
    <d v="2025-12-19T00:00:00"/>
    <x v="0"/>
    <x v="1"/>
    <x v="4"/>
    <s v="Q4"/>
    <n v="2025"/>
  </r>
  <r>
    <s v="CAN1198"/>
    <s v="Margaret"/>
    <s v="Gibson"/>
    <s v="Male"/>
    <n v="29"/>
    <s v="margaret.gibson23@gmail.com"/>
    <n v="9307936439"/>
    <s v="Chandigarh"/>
    <s v="Chandigarh"/>
    <s v="B.Tech"/>
    <n v="6.2"/>
    <n v="11.8"/>
    <n v="13.5"/>
    <s v="30 Days"/>
    <x v="0"/>
    <d v="2025-07-15T00:00:00"/>
    <x v="0"/>
    <x v="1"/>
    <x v="7"/>
    <s v="Q3"/>
    <n v="2025"/>
  </r>
  <r>
    <s v="CAN1199"/>
    <s v="Christopher"/>
    <s v="Griffin"/>
    <s v="Male"/>
    <n v="36"/>
    <s v="christopher.griffin99@gmail.com"/>
    <n v="9888126076"/>
    <s v="Kochi"/>
    <s v="Kerala"/>
    <s v="BBA"/>
    <n v="0.9"/>
    <n v="7.2"/>
    <n v="8.5"/>
    <s v="30 Days"/>
    <x v="1"/>
    <d v="2025-06-27T00:00:00"/>
    <x v="0"/>
    <x v="2"/>
    <x v="0"/>
    <s v="Q2"/>
    <n v="2025"/>
  </r>
  <r>
    <s v="CAN1200"/>
    <s v="Ellen"/>
    <s v="Barton"/>
    <s v="Female"/>
    <n v="22"/>
    <s v="ellen.barton42@gmail.com"/>
    <n v="9149406015"/>
    <s v="Bengaluru"/>
    <s v="Karnataka"/>
    <s v="CA"/>
    <n v="4.4000000000000004"/>
    <n v="13.7"/>
    <n v="16.7"/>
    <s v="Immediate"/>
    <x v="5"/>
    <d v="2025-03-21T00:00:00"/>
    <x v="0"/>
    <x v="0"/>
    <x v="6"/>
    <s v="Q1"/>
    <n v="20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JOB001"/>
    <x v="0"/>
    <s v="Business Development Executive"/>
    <s v="Sophia Fuentes"/>
    <s v="REC015"/>
    <n v="1"/>
    <s v="Low"/>
    <s v="Chennai, Tamil Nadu"/>
    <d v="2025-08-03T00:00:00"/>
    <s v="Open"/>
    <s v="August"/>
    <s v="Q3"/>
    <n v="2025"/>
  </r>
  <r>
    <s v="JOB002"/>
    <x v="1"/>
    <s v="BI Analyst"/>
    <s v="Amy Lam"/>
    <s v="REC005"/>
    <n v="3"/>
    <s v="Medium"/>
    <s v="Gurugram, Haryana"/>
    <d v="2025-02-19T00:00:00"/>
    <s v="Closed"/>
    <s v="February"/>
    <s v="Q1"/>
    <n v="2025"/>
  </r>
  <r>
    <s v="JOB004"/>
    <x v="0"/>
    <s v="Sales Manager"/>
    <s v="Keith Benton"/>
    <s v="REC015"/>
    <n v="3"/>
    <s v="High"/>
    <s v="Ahmedabad, Gujarat"/>
    <d v="2025-06-03T00:00:00"/>
    <s v="Closed"/>
    <s v="June"/>
    <s v="Q2"/>
    <n v="2025"/>
  </r>
  <r>
    <s v="JOB005"/>
    <x v="2"/>
    <s v="CS Manager"/>
    <s v="John Miller"/>
    <s v="REC009"/>
    <n v="1"/>
    <s v="Medium"/>
    <s v="Chandigarh, Chandigarh"/>
    <d v="2025-06-25T00:00:00"/>
    <s v="Open"/>
    <s v="June"/>
    <s v="Q2"/>
    <n v="2025"/>
  </r>
  <r>
    <s v="JOB006"/>
    <x v="0"/>
    <s v="Sales Executive"/>
    <s v="Shelly Yates"/>
    <s v="REC015"/>
    <n v="2"/>
    <s v="Medium"/>
    <s v="Delhi, Delhi"/>
    <d v="2025-10-24T00:00:00"/>
    <s v="Closed"/>
    <s v="October"/>
    <s v="Q4"/>
    <n v="2025"/>
  </r>
  <r>
    <s v="JOB007"/>
    <x v="1"/>
    <s v="Data Analyst"/>
    <s v="Aaron Barnes"/>
    <s v="REC010"/>
    <n v="3"/>
    <s v="High"/>
    <s v="Jaipur, Rajasthan"/>
    <d v="2025-06-08T00:00:00"/>
    <s v="Closed"/>
    <s v="June"/>
    <s v="Q2"/>
    <n v="2025"/>
  </r>
  <r>
    <s v="JOB008"/>
    <x v="3"/>
    <s v="Legal Counsel"/>
    <s v="John Miller"/>
    <s v="REC008"/>
    <n v="5"/>
    <s v="Medium"/>
    <s v="Delhi, Delhi"/>
    <d v="2025-07-01T00:00:00"/>
    <s v="Open"/>
    <s v="July"/>
    <s v="Q3"/>
    <n v="2025"/>
  </r>
  <r>
    <s v="JOB009"/>
    <x v="1"/>
    <s v="Data Analyst"/>
    <s v="Gregory Diaz"/>
    <s v="REC010"/>
    <n v="1"/>
    <s v="High"/>
    <s v="Noida, Uttar Pradesh"/>
    <d v="2025-09-12T00:00:00"/>
    <s v="Open"/>
    <s v="September"/>
    <s v="Q3"/>
    <n v="2025"/>
  </r>
  <r>
    <s v="JOB010"/>
    <x v="0"/>
    <s v="Inside Sales Rep"/>
    <s v="Aaron Barnes"/>
    <s v="REC015"/>
    <n v="4"/>
    <s v="Low"/>
    <s v="Chennai, Tamil Nadu"/>
    <d v="2025-08-01T00:00:00"/>
    <s v="On Hold"/>
    <s v="August"/>
    <s v="Q3"/>
    <n v="2025"/>
  </r>
  <r>
    <s v="JOB011"/>
    <x v="4"/>
    <s v="QA Engineer"/>
    <s v="Kaylee Williamson"/>
    <s v="REC004"/>
    <n v="1"/>
    <s v="High"/>
    <s v="Pune, Maharashtra"/>
    <d v="2025-04-30T00:00:00"/>
    <s v="Open"/>
    <s v="April"/>
    <s v="Q2"/>
    <n v="2025"/>
  </r>
  <r>
    <s v="JOB012"/>
    <x v="4"/>
    <s v="System Administrator"/>
    <s v="Theresa Wells"/>
    <s v="REC004"/>
    <n v="1"/>
    <s v="Medium"/>
    <s v="Gurugram, Haryana"/>
    <d v="2025-10-17T00:00:00"/>
    <s v="Open"/>
    <s v="October"/>
    <s v="Q4"/>
    <n v="2025"/>
  </r>
  <r>
    <s v="JOB013"/>
    <x v="1"/>
    <s v="Analytics Manager"/>
    <s v="Sophia Fuentes"/>
    <s v="REC010"/>
    <n v="5"/>
    <s v="Low"/>
    <s v="Kochi, Kerala"/>
    <d v="2025-10-14T00:00:00"/>
    <s v="Closed"/>
    <s v="October"/>
    <s v="Q4"/>
    <n v="2025"/>
  </r>
  <r>
    <s v="JOB014"/>
    <x v="5"/>
    <s v="Marketing Executive"/>
    <s v="John Williams"/>
    <s v="REC006"/>
    <n v="1"/>
    <s v="High"/>
    <s v="Hyderabad, Telangana"/>
    <d v="2025-08-14T00:00:00"/>
    <s v="Open"/>
    <s v="August"/>
    <s v="Q3"/>
    <n v="2025"/>
  </r>
  <r>
    <s v="JOB015"/>
    <x v="6"/>
    <s v="Finance Analyst"/>
    <s v="Grant Baker"/>
    <s v="REC001"/>
    <n v="2"/>
    <s v="Medium"/>
    <s v="Gurugram, Haryana"/>
    <d v="2025-01-14T00:00:00"/>
    <s v="Open"/>
    <s v="January"/>
    <s v="Q1"/>
    <n v="2025"/>
  </r>
  <r>
    <s v="JOB016"/>
    <x v="7"/>
    <s v="NLP Engineer"/>
    <s v="Emily Dominguez"/>
    <s v="REC014"/>
    <n v="6"/>
    <s v="Medium"/>
    <s v="Delhi, Delhi"/>
    <d v="2025-03-04T00:00:00"/>
    <s v="Open"/>
    <s v="March"/>
    <s v="Q1"/>
    <n v="2025"/>
  </r>
  <r>
    <s v="JOB017"/>
    <x v="0"/>
    <s v="Business Development Executive"/>
    <s v="John Williams"/>
    <s v="REC015"/>
    <n v="2"/>
    <s v="High"/>
    <s v="Jaipur, Rajasthan"/>
    <d v="2025-06-25T00:00:00"/>
    <s v="Closed"/>
    <s v="June"/>
    <s v="Q2"/>
    <n v="2025"/>
  </r>
  <r>
    <s v="JOB018"/>
    <x v="0"/>
    <s v="Account Executive"/>
    <s v="James Barnett"/>
    <s v="REC015"/>
    <n v="1"/>
    <s v="Low"/>
    <s v="Gurugram, Haryana"/>
    <d v="2025-03-17T00:00:00"/>
    <s v="Closed"/>
    <s v="March"/>
    <s v="Q1"/>
    <n v="2025"/>
  </r>
  <r>
    <s v="JOB019"/>
    <x v="2"/>
    <s v="Chat Support Associate"/>
    <s v="Donna Baird"/>
    <s v="REC009"/>
    <n v="3"/>
    <s v="High"/>
    <s v="Gurugram, Haryana"/>
    <d v="2025-03-27T00:00:00"/>
    <s v="Closed"/>
    <s v="March"/>
    <s v="Q1"/>
    <n v="2025"/>
  </r>
  <r>
    <s v="JOB020"/>
    <x v="7"/>
    <s v="Data Science Lead"/>
    <s v="Joel Jackson"/>
    <s v="REC014"/>
    <n v="3"/>
    <s v="Medium"/>
    <s v="Chandigarh, Chandigarh"/>
    <d v="2025-04-10T00:00:00"/>
    <s v="Closed"/>
    <s v="April"/>
    <s v="Q2"/>
    <n v="2025"/>
  </r>
  <r>
    <s v="JOB022"/>
    <x v="7"/>
    <s v="Data Science Lead"/>
    <s v="Lauren Bryant"/>
    <s v="REC014"/>
    <n v="4"/>
    <s v="Medium"/>
    <s v="Gurugram, Haryana"/>
    <d v="2025-07-06T00:00:00"/>
    <s v="Open"/>
    <s v="July"/>
    <s v="Q3"/>
    <n v="2025"/>
  </r>
  <r>
    <s v="JOB023"/>
    <x v="1"/>
    <s v="Reporting Analyst"/>
    <s v="James Garcia"/>
    <s v="REC010"/>
    <n v="1"/>
    <s v="Medium"/>
    <s v="Indore, Madhya Pradesh"/>
    <d v="2025-01-01T00:00:00"/>
    <s v="Closed"/>
    <s v="January"/>
    <s v="Q1"/>
    <n v="2025"/>
  </r>
  <r>
    <s v="JOB024"/>
    <x v="8"/>
    <s v="Operations Executive"/>
    <s v="Amy Jones"/>
    <s v="REC013"/>
    <n v="4"/>
    <s v="Low"/>
    <s v="Delhi, Delhi"/>
    <d v="2025-04-02T00:00:00"/>
    <s v="Closed"/>
    <s v="April"/>
    <s v="Q2"/>
    <n v="2025"/>
  </r>
  <r>
    <s v="JOB025"/>
    <x v="8"/>
    <s v="Operations Executive"/>
    <s v="Kelly Golden"/>
    <s v="REC013"/>
    <n v="2"/>
    <s v="Low"/>
    <s v="Jaipur, Rajasthan"/>
    <d v="2025-03-23T00:00:00"/>
    <s v="Open"/>
    <s v="March"/>
    <s v="Q1"/>
    <n v="2025"/>
  </r>
  <r>
    <s v="JOB026"/>
    <x v="1"/>
    <s v="Senior Data Analyst"/>
    <s v="Jason Sherman"/>
    <s v="REC005"/>
    <n v="3"/>
    <s v="Medium"/>
    <s v="Delhi, Delhi"/>
    <d v="2025-06-29T00:00:00"/>
    <s v="Open"/>
    <s v="June"/>
    <s v="Q2"/>
    <n v="2025"/>
  </r>
  <r>
    <s v="JOB027"/>
    <x v="0"/>
    <s v="Sales Executive"/>
    <s v="Pamela Berry"/>
    <s v="REC015"/>
    <n v="2"/>
    <s v="Low"/>
    <s v="Noida, Uttar Pradesh"/>
    <d v="2025-04-10T00:00:00"/>
    <s v="Closed"/>
    <s v="April"/>
    <s v="Q2"/>
    <n v="2025"/>
  </r>
  <r>
    <s v="JOB028"/>
    <x v="7"/>
    <s v="Senior Data Scientist"/>
    <s v="Gregory Diaz"/>
    <s v="REC014"/>
    <n v="2"/>
    <s v="Low"/>
    <s v="Gurugram, Haryana"/>
    <d v="2025-05-13T00:00:00"/>
    <s v="Closed"/>
    <s v="May"/>
    <s v="Q2"/>
    <n v="2025"/>
  </r>
  <r>
    <s v="JOB029"/>
    <x v="4"/>
    <s v="Software Engineer"/>
    <s v="Lauren Bryant"/>
    <s v="REC004"/>
    <n v="3"/>
    <s v="Low"/>
    <s v="Kolkata, West Bengal"/>
    <d v="2025-08-04T00:00:00"/>
    <s v="Closed"/>
    <s v="August"/>
    <s v="Q3"/>
    <n v="2025"/>
  </r>
  <r>
    <s v="JOB030"/>
    <x v="2"/>
    <s v="Support Team Lead"/>
    <s v="David Myers"/>
    <s v="REC009"/>
    <n v="2"/>
    <s v="High"/>
    <s v="Delhi, Delhi"/>
    <d v="2025-04-04T00:00:00"/>
    <s v="Closed"/>
    <s v="April"/>
    <s v="Q2"/>
    <n v="2025"/>
  </r>
  <r>
    <s v="JOB031"/>
    <x v="4"/>
    <s v="System Administrator"/>
    <s v="Amy Lam"/>
    <s v="REC004"/>
    <n v="2"/>
    <s v="Medium"/>
    <s v="Kolkata, West Bengal"/>
    <d v="2025-02-01T00:00:00"/>
    <s v="Closed"/>
    <s v="February"/>
    <s v="Q1"/>
    <n v="2025"/>
  </r>
  <r>
    <s v="JOB032"/>
    <x v="0"/>
    <s v="Inside Sales Rep"/>
    <s v="John Williams"/>
    <s v="REC015"/>
    <n v="5"/>
    <s v="High"/>
    <s v="Hyderabad, Telangana"/>
    <d v="2025-05-22T00:00:00"/>
    <s v="Open"/>
    <s v="May"/>
    <s v="Q2"/>
    <n v="2025"/>
  </r>
  <r>
    <s v="JOB033"/>
    <x v="1"/>
    <s v="Reporting Analyst"/>
    <s v="Angela Cole"/>
    <s v="REC005"/>
    <n v="2"/>
    <s v="Medium"/>
    <s v="Kolkata, West Bengal"/>
    <d v="2025-09-20T00:00:00"/>
    <s v="Open"/>
    <s v="September"/>
    <s v="Q3"/>
    <n v="2025"/>
  </r>
  <r>
    <s v="JOB034"/>
    <x v="6"/>
    <s v="Accounts Payable Specialist"/>
    <s v="David Myers"/>
    <s v="REC007"/>
    <n v="2"/>
    <s v="High"/>
    <s v="Kolkata, West Bengal"/>
    <d v="2025-05-13T00:00:00"/>
    <s v="On Hold"/>
    <s v="May"/>
    <s v="Q2"/>
    <n v="2025"/>
  </r>
  <r>
    <s v="JOB035"/>
    <x v="2"/>
    <s v="Support Team Lead"/>
    <s v="Samuel Kaiser"/>
    <s v="REC009"/>
    <n v="2"/>
    <s v="Medium"/>
    <s v="Gurugram, Haryana"/>
    <d v="2025-02-07T00:00:00"/>
    <s v="Closed"/>
    <s v="February"/>
    <s v="Q1"/>
    <n v="2025"/>
  </r>
  <r>
    <s v="JOB036"/>
    <x v="5"/>
    <s v="Digital Marketing Specialist"/>
    <s v="Donna Baird"/>
    <s v="REC003"/>
    <n v="5"/>
    <s v="High"/>
    <s v="Jaipur, Rajasthan"/>
    <d v="2025-07-07T00:00:00"/>
    <s v="Open"/>
    <s v="July"/>
    <s v="Q3"/>
    <n v="2025"/>
  </r>
  <r>
    <s v="JOB037"/>
    <x v="2"/>
    <s v="CS Manager"/>
    <s v="Kaylee Williamson"/>
    <s v="REC009"/>
    <n v="2"/>
    <s v="Medium"/>
    <s v="Pune, Maharashtra"/>
    <d v="2025-04-25T00:00:00"/>
    <s v="Open"/>
    <s v="April"/>
    <s v="Q2"/>
    <n v="2025"/>
  </r>
  <r>
    <s v="JOB038"/>
    <x v="5"/>
    <s v="SEO Specialist"/>
    <s v="Kelly Golden"/>
    <s v="REC006"/>
    <n v="2"/>
    <s v="Medium"/>
    <s v="Mumbai, Maharashtra"/>
    <d v="2025-07-07T00:00:00"/>
    <s v="Open"/>
    <s v="July"/>
    <s v="Q3"/>
    <n v="2025"/>
  </r>
  <r>
    <s v="JOB039"/>
    <x v="0"/>
    <s v="Business Development Executive"/>
    <s v="Angela Cole"/>
    <s v="REC015"/>
    <n v="2"/>
    <s v="Medium"/>
    <s v="Kolkata, West Bengal"/>
    <d v="2025-02-02T00:00:00"/>
    <s v="Open"/>
    <s v="February"/>
    <s v="Q1"/>
    <n v="2025"/>
  </r>
  <r>
    <s v="JOB040"/>
    <x v="2"/>
    <s v="Support Team Lead"/>
    <s v="Grant Baker"/>
    <s v="REC009"/>
    <n v="1"/>
    <s v="High"/>
    <s v="Chandigarh, Chandigarh"/>
    <d v="2025-04-03T00:00:00"/>
    <s v="Open"/>
    <s v="April"/>
    <s v="Q2"/>
    <n v="2025"/>
  </r>
  <r>
    <s v="JOB041"/>
    <x v="1"/>
    <s v="Reporting Analyst"/>
    <s v="Theresa Wells"/>
    <s v="REC010"/>
    <n v="1"/>
    <s v="Low"/>
    <s v="Ahmedabad, Gujarat"/>
    <d v="2025-09-11T00:00:00"/>
    <s v="Closed"/>
    <s v="September"/>
    <s v="Q3"/>
    <n v="2025"/>
  </r>
  <r>
    <s v="JOB042"/>
    <x v="1"/>
    <s v="Data Analyst"/>
    <s v="Amy Lam"/>
    <s v="REC010"/>
    <n v="5"/>
    <s v="High"/>
    <s v="Bengaluru, Karnataka"/>
    <d v="2025-02-15T00:00:00"/>
    <s v="Closed"/>
    <s v="February"/>
    <s v="Q1"/>
    <n v="2025"/>
  </r>
  <r>
    <s v="JOB043"/>
    <x v="1"/>
    <s v="Senior Data Analyst"/>
    <s v="Shelly Yates"/>
    <s v="REC010"/>
    <n v="4"/>
    <s v="Medium"/>
    <s v="Gurugram, Haryana"/>
    <d v="2025-10-11T00:00:00"/>
    <s v="Closed"/>
    <s v="October"/>
    <s v="Q4"/>
    <n v="2025"/>
  </r>
  <r>
    <s v="JOB044"/>
    <x v="2"/>
    <s v="Chat Support Associate"/>
    <s v="Lisa Hernandez"/>
    <s v="REC009"/>
    <n v="2"/>
    <s v="High"/>
    <s v="Mumbai, Maharashtra"/>
    <d v="2025-03-24T00:00:00"/>
    <s v="Open"/>
    <s v="March"/>
    <s v="Q1"/>
    <n v="2025"/>
  </r>
  <r>
    <s v="JOB045"/>
    <x v="7"/>
    <s v="Senior Data Scientist"/>
    <s v="Donna Baird"/>
    <s v="REC002"/>
    <n v="1"/>
    <s v="Medium"/>
    <s v="Pune, Maharashtra"/>
    <d v="2025-05-19T00:00:00"/>
    <s v="Closed"/>
    <s v="May"/>
    <s v="Q2"/>
    <n v="2025"/>
  </r>
  <r>
    <s v="JOB046"/>
    <x v="9"/>
    <s v="Talent Acquisition Specialist"/>
    <s v="Jack Johnson"/>
    <s v="REC011"/>
    <n v="1"/>
    <s v="Medium"/>
    <s v="Hyderabad, Telangana"/>
    <d v="2025-09-21T00:00:00"/>
    <s v="Closed"/>
    <s v="September"/>
    <s v="Q3"/>
    <n v="2025"/>
  </r>
  <r>
    <s v="JOB047"/>
    <x v="2"/>
    <s v="Customer Support Executive"/>
    <s v="Anthony Tate"/>
    <s v="REC009"/>
    <n v="2"/>
    <s v="Low"/>
    <s v="Kolkata, West Bengal"/>
    <d v="2025-06-07T00:00:00"/>
    <s v="Closed"/>
    <s v="June"/>
    <s v="Q2"/>
    <n v="2025"/>
  </r>
  <r>
    <s v="JOB048"/>
    <x v="3"/>
    <s v="Contracts Manager"/>
    <s v="James Garcia"/>
    <s v="REC008"/>
    <n v="2"/>
    <s v="Medium"/>
    <s v="Bengaluru, Karnataka"/>
    <d v="2025-03-08T00:00:00"/>
    <s v="Open"/>
    <s v="March"/>
    <s v="Q1"/>
    <n v="2025"/>
  </r>
  <r>
    <s v="JOB049"/>
    <x v="8"/>
    <s v="Operations Manager"/>
    <s v="Anthony Tate"/>
    <s v="REC013"/>
    <n v="1"/>
    <s v="Medium"/>
    <s v="Noida, Uttar Pradesh"/>
    <d v="2025-09-17T00:00:00"/>
    <s v="Closed"/>
    <s v="September"/>
    <s v="Q3"/>
    <n v="2025"/>
  </r>
  <r>
    <s v="JOB050"/>
    <x v="6"/>
    <s v="Accounts Executive"/>
    <s v="John Miller"/>
    <s v="REC001"/>
    <n v="2"/>
    <s v="High"/>
    <s v="Delhi, Delhi"/>
    <d v="2025-01-02T00:00:00"/>
    <s v="Open"/>
    <s v="January"/>
    <s v="Q1"/>
    <n v="20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REC001"/>
    <x v="0"/>
    <s v="Finance"/>
    <n v="9.1999999999999993"/>
    <n v="36"/>
    <s v="mark.meza@brightpathconsulting.com"/>
    <s v="High Target"/>
  </r>
  <r>
    <s v="REC002"/>
    <x v="1"/>
    <s v="Data Science"/>
    <n v="3.8"/>
    <n v="36"/>
    <s v="melissa.sanchez@brightpathconsulting.com"/>
    <s v="High Target"/>
  </r>
  <r>
    <s v="REC003"/>
    <x v="2"/>
    <s v="Marketing"/>
    <n v="5.0999999999999996"/>
    <n v="20"/>
    <s v="joshua.diaz@brightpathconsulting.com"/>
    <s v="High Target"/>
  </r>
  <r>
    <s v="REC004"/>
    <x v="3"/>
    <s v="IT"/>
    <n v="6"/>
    <n v="24"/>
    <s v="bruce.parker@brightpathconsulting.com"/>
    <s v="High Target"/>
  </r>
  <r>
    <s v="REC005"/>
    <x v="4"/>
    <s v="Data Analytics"/>
    <n v="3"/>
    <n v="20"/>
    <s v="jordan.johnson@brightpathconsulting.com"/>
    <s v="High Target"/>
  </r>
  <r>
    <s v="REC006"/>
    <x v="5"/>
    <s v="Marketing"/>
    <n v="5"/>
    <n v="40"/>
    <s v="jacqueline.kelley@brightpathconsulting.com"/>
    <s v="High Target"/>
  </r>
  <r>
    <s v="REC007"/>
    <x v="6"/>
    <s v="Finance"/>
    <n v="5"/>
    <n v="36"/>
    <s v="anthony.harris@brightpathconsulting.com"/>
    <s v="High Target"/>
  </r>
  <r>
    <s v="REC008"/>
    <x v="7"/>
    <s v="Legal"/>
    <n v="1"/>
    <n v="20"/>
    <s v="jessica.edwards@brightpathconsulting.com"/>
    <s v="High Target"/>
  </r>
  <r>
    <s v="REC009"/>
    <x v="8"/>
    <s v="Customer Support"/>
    <n v="7.5"/>
    <n v="40"/>
    <s v="chris.curtis@brightpathconsulting.com"/>
    <s v="High Target"/>
  </r>
  <r>
    <s v="REC010"/>
    <x v="9"/>
    <s v="Data Analytics"/>
    <n v="6.5"/>
    <n v="20"/>
    <s v="catherine.perkins@brightpathconsulting.com"/>
    <s v="High Target"/>
  </r>
  <r>
    <s v="REC011"/>
    <x v="10"/>
    <s v="HR"/>
    <n v="3.4"/>
    <n v="24"/>
    <s v="jody.evans@brightpathconsulting.com"/>
    <s v="High Target"/>
  </r>
  <r>
    <s v="REC012"/>
    <x v="11"/>
    <s v="HR"/>
    <n v="4.5999999999999996"/>
    <n v="48"/>
    <s v="ronald.martinez@brightpathconsulting.com"/>
    <s v="High Target"/>
  </r>
  <r>
    <s v="REC013"/>
    <x v="12"/>
    <s v="Operations"/>
    <n v="6.3"/>
    <n v="48"/>
    <s v="scott.roberts@brightpathconsulting.com"/>
    <s v="High Target"/>
  </r>
  <r>
    <s v="REC014"/>
    <x v="13"/>
    <s v="Data Science"/>
    <n v="4.3"/>
    <n v="40"/>
    <s v="jennifer.cherry@brightpathconsulting.com"/>
    <s v="High Target"/>
  </r>
  <r>
    <s v="REC015"/>
    <x v="14"/>
    <s v="Sales"/>
    <n v="4.4000000000000004"/>
    <n v="20"/>
    <s v="benjamin.davis@brightpathconsulting.com"/>
    <s v="High Targe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x v="0"/>
    <s v="CAN1194"/>
    <s v="JOB036"/>
    <d v="2025-07-30T00:00:00"/>
    <n v="9.3000000000000007"/>
    <x v="0"/>
    <d v="2025-09-10T00:00:00"/>
    <s v="Offer Accepted"/>
    <s v="July"/>
    <s v="Q3"/>
    <n v="2025"/>
  </r>
  <r>
    <x v="1"/>
    <s v="CAN1149"/>
    <s v="JOB024"/>
    <d v="2025-04-29T00:00:00"/>
    <n v="6.9"/>
    <x v="0"/>
    <d v="2025-06-04T00:00:00"/>
    <s v="Offer Accepted"/>
    <s v="April"/>
    <s v="Q2"/>
    <n v="2025"/>
  </r>
  <r>
    <x v="2"/>
    <s v="CAN0697"/>
    <s v="JOB029"/>
    <d v="2025-08-29T00:00:00"/>
    <n v="5.9"/>
    <x v="0"/>
    <d v="2025-10-06T00:00:00"/>
    <s v="Offer Accepted"/>
    <s v="August"/>
    <s v="Q3"/>
    <n v="2025"/>
  </r>
  <r>
    <x v="3"/>
    <s v="CAN0644"/>
    <s v="JOB003"/>
    <d v="2025-09-22T00:00:00"/>
    <n v="7.2"/>
    <x v="0"/>
    <d v="2025-11-06T00:00:00"/>
    <s v="Offer Accepted"/>
    <s v="September"/>
    <s v="Q3"/>
    <n v="2025"/>
  </r>
  <r>
    <x v="4"/>
    <s v="CAN0165"/>
    <s v="JOB019"/>
    <d v="2025-05-06T00:00:00"/>
    <n v="15.9"/>
    <x v="0"/>
    <d v="2025-06-11T00:00:00"/>
    <s v="Offer Accepted"/>
    <s v="May"/>
    <s v="Q2"/>
    <n v="2025"/>
  </r>
  <r>
    <x v="5"/>
    <s v="CAN0807"/>
    <s v="JOB016"/>
    <d v="2025-04-01T00:00:00"/>
    <n v="5.8"/>
    <x v="0"/>
    <d v="2025-04-21T00:00:00"/>
    <s v="Offer Accepted"/>
    <s v="April"/>
    <s v="Q2"/>
    <n v="2025"/>
  </r>
  <r>
    <x v="6"/>
    <s v="CAN1016"/>
    <s v="JOB004"/>
    <d v="2025-07-13T00:00:00"/>
    <n v="15.7"/>
    <x v="0"/>
    <d v="2025-08-06T00:00:00"/>
    <s v="Offer Accepted"/>
    <s v="July"/>
    <s v="Q3"/>
    <n v="2025"/>
  </r>
  <r>
    <x v="7"/>
    <s v="CAN0950"/>
    <s v="JOB034"/>
    <d v="2025-07-02T00:00:00"/>
    <n v="16.3"/>
    <x v="0"/>
    <d v="2025-08-11T00:00:00"/>
    <s v="Offer Accepted"/>
    <s v="July"/>
    <s v="Q3"/>
    <n v="2025"/>
  </r>
  <r>
    <x v="8"/>
    <s v="CAN0141"/>
    <s v="JOB031"/>
    <d v="2025-03-06T00:00:00"/>
    <n v="16.2"/>
    <x v="0"/>
    <d v="2025-04-07T00:00:00"/>
    <s v="Offer Accepted"/>
    <s v="March"/>
    <s v="Q1"/>
    <n v="2025"/>
  </r>
  <r>
    <x v="9"/>
    <s v="CAN0331"/>
    <s v="JOB041"/>
    <d v="2025-10-20T00:00:00"/>
    <n v="4.9000000000000004"/>
    <x v="0"/>
    <d v="2025-11-30T00:00:00"/>
    <s v="Offer Accepted"/>
    <s v="October"/>
    <s v="Q4"/>
    <n v="2025"/>
  </r>
  <r>
    <x v="10"/>
    <s v="CAN0725"/>
    <s v="JOB008"/>
    <d v="2025-08-02T00:00:00"/>
    <n v="16.100000000000001"/>
    <x v="0"/>
    <d v="2025-09-02T00:00:00"/>
    <s v="Offer Accepted"/>
    <s v="August"/>
    <s v="Q3"/>
    <n v="2025"/>
  </r>
  <r>
    <x v="11"/>
    <s v="CAN0683"/>
    <s v="JOB024"/>
    <d v="2025-05-06T00:00:00"/>
    <n v="16"/>
    <x v="0"/>
    <d v="2025-05-31T00:00:00"/>
    <s v="Offer Accepted"/>
    <s v="May"/>
    <s v="Q2"/>
    <n v="2025"/>
  </r>
  <r>
    <x v="12"/>
    <s v="CAN0477"/>
    <s v="JOB016"/>
    <d v="2025-03-29T00:00:00"/>
    <n v="24.2"/>
    <x v="0"/>
    <d v="2025-05-12T00:00:00"/>
    <s v="Offer Accepted"/>
    <s v="March"/>
    <s v="Q1"/>
    <n v="2025"/>
  </r>
  <r>
    <x v="13"/>
    <s v="CAN0464"/>
    <s v="JOB017"/>
    <d v="2025-07-18T00:00:00"/>
    <n v="7.9"/>
    <x v="0"/>
    <d v="2025-08-07T00:00:00"/>
    <s v="Offer Accepted"/>
    <s v="July"/>
    <s v="Q3"/>
    <n v="2025"/>
  </r>
  <r>
    <x v="14"/>
    <s v="CAN0851"/>
    <s v="JOB042"/>
    <d v="2025-03-08T00:00:00"/>
    <n v="11.1"/>
    <x v="0"/>
    <d v="2025-04-19T00:00:00"/>
    <s v="Offer Accepted"/>
    <s v="March"/>
    <s v="Q1"/>
    <n v="2025"/>
  </r>
  <r>
    <x v="15"/>
    <s v="CAN0642"/>
    <s v="JOB016"/>
    <d v="2025-03-27T00:00:00"/>
    <n v="10.8"/>
    <x v="0"/>
    <d v="2025-04-21T00:00:00"/>
    <s v="Offer Accepted"/>
    <s v="March"/>
    <s v="Q1"/>
    <n v="2025"/>
  </r>
  <r>
    <x v="16"/>
    <s v="CAN0050"/>
    <s v="JOB013"/>
    <d v="2025-11-18T00:00:00"/>
    <n v="13.8"/>
    <x v="0"/>
    <d v="2025-12-31T00:00:00"/>
    <s v="Offer Accepted"/>
    <s v="November"/>
    <s v="Q4"/>
    <n v="2025"/>
  </r>
  <r>
    <x v="17"/>
    <s v="CAN0858"/>
    <s v="JOB036"/>
    <d v="2025-07-21T00:00:00"/>
    <n v="7.2"/>
    <x v="0"/>
    <d v="2025-08-14T00:00:00"/>
    <s v="Offer Accepted"/>
    <s v="July"/>
    <s v="Q3"/>
    <n v="2025"/>
  </r>
  <r>
    <x v="18"/>
    <s v="CAN0118"/>
    <s v="JOB019"/>
    <d v="2025-05-06T00:00:00"/>
    <n v="9.8000000000000007"/>
    <x v="0"/>
    <d v="2025-05-28T00:00:00"/>
    <s v="Offer Accepted"/>
    <s v="May"/>
    <s v="Q2"/>
    <n v="2025"/>
  </r>
  <r>
    <x v="19"/>
    <s v="CAN0027"/>
    <s v="JOB027"/>
    <d v="2025-05-04T00:00:00"/>
    <n v="20.3"/>
    <x v="0"/>
    <d v="2025-06-15T00:00:00"/>
    <s v="Offer Accepted"/>
    <s v="May"/>
    <s v="Q2"/>
    <n v="2025"/>
  </r>
  <r>
    <x v="20"/>
    <s v="CAN0860"/>
    <s v="JOB013"/>
    <d v="2025-11-26T00:00:00"/>
    <n v="13.8"/>
    <x v="0"/>
    <d v="2025-12-14T00:00:00"/>
    <s v="Offer Accepted"/>
    <s v="November"/>
    <s v="Q4"/>
    <n v="2025"/>
  </r>
  <r>
    <x v="21"/>
    <s v="CAN0676"/>
    <s v="JOB016"/>
    <d v="2025-04-02T00:00:00"/>
    <n v="11.4"/>
    <x v="0"/>
    <d v="2025-05-15T00:00:00"/>
    <s v="Offer Accepted"/>
    <s v="April"/>
    <s v="Q2"/>
    <n v="2025"/>
  </r>
  <r>
    <x v="22"/>
    <s v="CAN0456"/>
    <s v="JOB041"/>
    <d v="2025-10-09T00:00:00"/>
    <n v="23"/>
    <x v="0"/>
    <d v="2025-10-24T00:00:00"/>
    <s v="Offer Accepted"/>
    <s v="October"/>
    <s v="Q4"/>
    <n v="2025"/>
  </r>
  <r>
    <x v="23"/>
    <s v="CAN0720"/>
    <s v="JOB028"/>
    <d v="2025-06-04T00:00:00"/>
    <n v="11.4"/>
    <x v="0"/>
    <d v="2025-07-08T00:00:00"/>
    <s v="Offer Accepted"/>
    <s v="June"/>
    <s v="Q2"/>
    <n v="2025"/>
  </r>
  <r>
    <x v="24"/>
    <s v="CAN1123"/>
    <s v="JOB030"/>
    <d v="2025-04-23T00:00:00"/>
    <n v="11.5"/>
    <x v="0"/>
    <d v="2025-05-29T00:00:00"/>
    <s v="Offer Accepted"/>
    <s v="April"/>
    <s v="Q2"/>
    <n v="2025"/>
  </r>
  <r>
    <x v="25"/>
    <s v="CAN0113"/>
    <s v="JOB033"/>
    <d v="2025-11-01T00:00:00"/>
    <n v="16.3"/>
    <x v="0"/>
    <d v="2025-12-11T00:00:00"/>
    <s v="Offer Accepted"/>
    <s v="November"/>
    <s v="Q4"/>
    <n v="2025"/>
  </r>
  <r>
    <x v="26"/>
    <s v="CAN1138"/>
    <s v="JOB026"/>
    <d v="2025-07-21T00:00:00"/>
    <n v="11.1"/>
    <x v="0"/>
    <d v="2025-08-14T00:00:00"/>
    <s v="Offer Accepted"/>
    <s v="July"/>
    <s v="Q3"/>
    <n v="2025"/>
  </r>
  <r>
    <x v="27"/>
    <s v="CAN0742"/>
    <s v="JOB019"/>
    <d v="2025-04-20T00:00:00"/>
    <n v="10.8"/>
    <x v="0"/>
    <d v="2025-06-01T00:00:00"/>
    <s v="Offer Accepted"/>
    <s v="April"/>
    <s v="Q2"/>
    <n v="2025"/>
  </r>
  <r>
    <x v="28"/>
    <s v="CAN1064"/>
    <s v="JOB047"/>
    <d v="2025-07-13T00:00:00"/>
    <n v="6.4"/>
    <x v="0"/>
    <d v="2025-08-10T00:00:00"/>
    <s v="Offer Accepted"/>
    <s v="July"/>
    <s v="Q3"/>
    <n v="2025"/>
  </r>
  <r>
    <x v="29"/>
    <s v="CAN0424"/>
    <s v="JOB037"/>
    <d v="2025-06-04T00:00:00"/>
    <n v="4.5999999999999996"/>
    <x v="0"/>
    <d v="2025-07-04T00:00:00"/>
    <s v="Offer Accepted"/>
    <s v="June"/>
    <s v="Q2"/>
    <n v="2025"/>
  </r>
  <r>
    <x v="30"/>
    <s v="CAN0719"/>
    <s v="JOB042"/>
    <d v="2025-04-10T00:00:00"/>
    <n v="19.899999999999999"/>
    <x v="0"/>
    <d v="2025-05-08T00:00:00"/>
    <s v="Offer Accepted"/>
    <s v="April"/>
    <s v="Q2"/>
    <n v="2025"/>
  </r>
  <r>
    <x v="31"/>
    <s v="CAN0850"/>
    <s v="JOB003"/>
    <d v="2025-09-19T00:00:00"/>
    <n v="19.399999999999999"/>
    <x v="0"/>
    <d v="2025-10-28T00:00:00"/>
    <s v="Offer Accepted"/>
    <s v="September"/>
    <s v="Q3"/>
    <n v="2025"/>
  </r>
  <r>
    <x v="32"/>
    <s v="CAN0115"/>
    <s v="JOB035"/>
    <d v="2025-02-28T00:00:00"/>
    <n v="8.8000000000000007"/>
    <x v="0"/>
    <d v="2025-04-14T00:00:00"/>
    <s v="Offer Accepted"/>
    <s v="February"/>
    <s v="Q1"/>
    <n v="2025"/>
  </r>
  <r>
    <x v="33"/>
    <s v="CAN0013"/>
    <s v="JOB003"/>
    <d v="2025-09-25T00:00:00"/>
    <n v="15"/>
    <x v="0"/>
    <d v="2025-11-01T00:00:00"/>
    <s v="Offer Accepted"/>
    <s v="September"/>
    <s v="Q3"/>
    <n v="2025"/>
  </r>
  <r>
    <x v="34"/>
    <s v="CAN1190"/>
    <s v="JOB026"/>
    <d v="2025-07-28T00:00:00"/>
    <n v="20.100000000000001"/>
    <x v="0"/>
    <d v="2025-08-15T00:00:00"/>
    <s v="Offer Accepted"/>
    <s v="July"/>
    <s v="Q3"/>
    <n v="2025"/>
  </r>
  <r>
    <x v="35"/>
    <s v="CAN1043"/>
    <s v="JOB032"/>
    <d v="2025-06-14T00:00:00"/>
    <n v="8"/>
    <x v="0"/>
    <d v="2025-07-23T00:00:00"/>
    <s v="Offer Accepted"/>
    <s v="June"/>
    <s v="Q2"/>
    <n v="2025"/>
  </r>
  <r>
    <x v="36"/>
    <s v="CAN1023"/>
    <s v="JOB042"/>
    <d v="2025-04-08T00:00:00"/>
    <n v="8.9"/>
    <x v="0"/>
    <d v="2025-04-24T00:00:00"/>
    <s v="Offer Accepted"/>
    <s v="April"/>
    <s v="Q2"/>
    <n v="2025"/>
  </r>
  <r>
    <x v="37"/>
    <s v="CAN1179"/>
    <s v="JOB013"/>
    <d v="2025-12-02T00:00:00"/>
    <n v="10.5"/>
    <x v="0"/>
    <d v="2025-12-31T00:00:00"/>
    <s v="Offer Accepted"/>
    <s v="December"/>
    <s v="Q4"/>
    <n v="2025"/>
  </r>
  <r>
    <x v="38"/>
    <s v="CAN0196"/>
    <s v="JOB007"/>
    <d v="2025-07-08T00:00:00"/>
    <n v="12.3"/>
    <x v="0"/>
    <d v="2025-08-07T00:00:00"/>
    <s v="Offer Accepted"/>
    <s v="July"/>
    <s v="Q3"/>
    <n v="2025"/>
  </r>
  <r>
    <x v="39"/>
    <s v="CAN1147"/>
    <s v="JOB048"/>
    <d v="2025-04-21T00:00:00"/>
    <n v="9.1999999999999993"/>
    <x v="0"/>
    <d v="2025-05-18T00:00:00"/>
    <s v="Offer Accepted"/>
    <s v="April"/>
    <s v="Q2"/>
    <n v="2025"/>
  </r>
  <r>
    <x v="40"/>
    <s v="CAN0099"/>
    <s v="JOB043"/>
    <d v="2025-11-23T00:00:00"/>
    <n v="5.7"/>
    <x v="0"/>
    <d v="2025-12-09T00:00:00"/>
    <s v="Offer Accepted"/>
    <s v="November"/>
    <s v="Q4"/>
    <n v="2025"/>
  </r>
  <r>
    <x v="41"/>
    <s v="CAN0891"/>
    <s v="JOB019"/>
    <d v="2025-04-21T00:00:00"/>
    <n v="8.6"/>
    <x v="0"/>
    <d v="2025-05-23T00:00:00"/>
    <s v="Offer Accepted"/>
    <s v="April"/>
    <s v="Q2"/>
    <n v="2025"/>
  </r>
  <r>
    <x v="42"/>
    <s v="CAN0512"/>
    <s v="JOB007"/>
    <d v="2025-06-29T00:00:00"/>
    <n v="6.2"/>
    <x v="0"/>
    <d v="2025-07-30T00:00:00"/>
    <s v="Offer Accepted"/>
    <s v="June"/>
    <s v="Q2"/>
    <n v="2025"/>
  </r>
  <r>
    <x v="43"/>
    <s v="CAN0047"/>
    <s v="JOB047"/>
    <d v="2025-06-26T00:00:00"/>
    <n v="10.3"/>
    <x v="0"/>
    <d v="2025-08-04T00:00:00"/>
    <s v="Offer Accepted"/>
    <s v="June"/>
    <s v="Q2"/>
    <n v="2025"/>
  </r>
  <r>
    <x v="44"/>
    <s v="CAN0612"/>
    <s v="JOB043"/>
    <d v="2025-11-17T00:00:00"/>
    <n v="10.5"/>
    <x v="0"/>
    <d v="2025-12-03T00:00:00"/>
    <s v="Offer Accepted"/>
    <s v="November"/>
    <s v="Q4"/>
    <n v="2025"/>
  </r>
  <r>
    <x v="45"/>
    <s v="CAN0606"/>
    <s v="JOB048"/>
    <d v="2025-04-03T00:00:00"/>
    <n v="11.3"/>
    <x v="0"/>
    <d v="2025-05-07T00:00:00"/>
    <s v="Offer Accepted"/>
    <s v="April"/>
    <s v="Q2"/>
    <n v="2025"/>
  </r>
  <r>
    <x v="46"/>
    <s v="CAN0065"/>
    <s v="JOB040"/>
    <d v="2025-05-01T00:00:00"/>
    <n v="14.5"/>
    <x v="0"/>
    <d v="2025-05-21T00:00:00"/>
    <s v="Offer Accepted"/>
    <s v="May"/>
    <s v="Q2"/>
    <n v="2025"/>
  </r>
  <r>
    <x v="47"/>
    <s v="CAN1044"/>
    <s v="JOB017"/>
    <d v="2025-08-11T00:00:00"/>
    <n v="10"/>
    <x v="0"/>
    <d v="2025-08-29T00:00:00"/>
    <s v="Offer Accepted"/>
    <s v="August"/>
    <s v="Q3"/>
    <n v="2025"/>
  </r>
  <r>
    <x v="48"/>
    <s v="CAN0449"/>
    <s v="JOB047"/>
    <d v="2025-06-28T00:00:00"/>
    <n v="15.9"/>
    <x v="0"/>
    <d v="2025-07-24T00:00:00"/>
    <s v="Offer Accepted"/>
    <s v="June"/>
    <s v="Q2"/>
    <n v="2025"/>
  </r>
  <r>
    <x v="49"/>
    <s v="CAN0386"/>
    <s v="JOB023"/>
    <d v="2025-01-14T00:00:00"/>
    <n v="4.5999999999999996"/>
    <x v="0"/>
    <d v="2025-01-31T00:00:00"/>
    <s v="Offer Accepted"/>
    <s v="January"/>
    <s v="Q1"/>
    <n v="2025"/>
  </r>
  <r>
    <x v="50"/>
    <s v="CAN0664"/>
    <s v="JOB020"/>
    <d v="2025-05-08T00:00:00"/>
    <n v="8.9"/>
    <x v="0"/>
    <d v="2025-05-24T00:00:00"/>
    <s v="Offer Accepted"/>
    <s v="May"/>
    <s v="Q2"/>
    <n v="2025"/>
  </r>
  <r>
    <x v="51"/>
    <s v="CAN1156"/>
    <s v="JOB036"/>
    <d v="2025-08-27T00:00:00"/>
    <n v="9.1"/>
    <x v="0"/>
    <d v="2025-09-29T00:00:00"/>
    <s v="Offer Accepted"/>
    <s v="August"/>
    <s v="Q3"/>
    <n v="2025"/>
  </r>
  <r>
    <x v="52"/>
    <s v="CAN0343"/>
    <s v="JOB003"/>
    <d v="2025-09-10T00:00:00"/>
    <n v="9.8000000000000007"/>
    <x v="0"/>
    <d v="2025-10-09T00:00:00"/>
    <s v="Offer Accepted"/>
    <s v="September"/>
    <s v="Q3"/>
    <n v="2025"/>
  </r>
  <r>
    <x v="53"/>
    <s v="CAN0287"/>
    <s v="JOB030"/>
    <d v="2025-05-03T00:00:00"/>
    <n v="10.3"/>
    <x v="0"/>
    <d v="2025-05-29T00:00:00"/>
    <s v="Offer Accepted"/>
    <s v="May"/>
    <s v="Q2"/>
    <n v="2025"/>
  </r>
  <r>
    <x v="54"/>
    <s v="CAN0072"/>
    <s v="JOB023"/>
    <d v="2025-01-11T00:00:00"/>
    <n v="4.5999999999999996"/>
    <x v="0"/>
    <d v="2025-02-04T00:00:00"/>
    <s v="Offer Accepted"/>
    <s v="January"/>
    <s v="Q1"/>
    <n v="2025"/>
  </r>
  <r>
    <x v="55"/>
    <s v="CAN0179"/>
    <s v="JOB021"/>
    <d v="2025-06-22T00:00:00"/>
    <n v="20.8"/>
    <x v="0"/>
    <d v="2025-07-17T00:00:00"/>
    <s v="Offer Accepted"/>
    <s v="June"/>
    <s v="Q2"/>
    <n v="2025"/>
  </r>
  <r>
    <x v="56"/>
    <s v="CAN0410"/>
    <s v="JOB019"/>
    <d v="2025-04-18T00:00:00"/>
    <n v="14.6"/>
    <x v="0"/>
    <d v="2025-05-14T00:00:00"/>
    <s v="Offer Accepted"/>
    <s v="April"/>
    <s v="Q2"/>
    <n v="2025"/>
  </r>
  <r>
    <x v="57"/>
    <s v="CAN1028"/>
    <s v="JOB020"/>
    <d v="2025-05-10T00:00:00"/>
    <n v="15.1"/>
    <x v="0"/>
    <d v="2025-06-21T00:00:00"/>
    <s v="Offer Accepted"/>
    <s v="May"/>
    <s v="Q2"/>
    <n v="2025"/>
  </r>
  <r>
    <x v="58"/>
    <s v="CAN0663"/>
    <s v="JOB010"/>
    <d v="2025-08-20T00:00:00"/>
    <n v="26"/>
    <x v="0"/>
    <d v="2025-09-05T00:00:00"/>
    <s v="Offer Accepted"/>
    <s v="August"/>
    <s v="Q3"/>
    <n v="2025"/>
  </r>
  <r>
    <x v="59"/>
    <s v="CAN0229"/>
    <s v="JOB033"/>
    <d v="2025-10-09T00:00:00"/>
    <n v="14.3"/>
    <x v="0"/>
    <d v="2025-11-04T00:00:00"/>
    <s v="Offer Accepted"/>
    <s v="October"/>
    <s v="Q4"/>
    <n v="2025"/>
  </r>
  <r>
    <x v="60"/>
    <s v="CAN0729"/>
    <s v="JOB008"/>
    <d v="2025-08-06T00:00:00"/>
    <n v="8.8000000000000007"/>
    <x v="0"/>
    <d v="2025-09-19T00:00:00"/>
    <s v="Offer Accepted"/>
    <s v="August"/>
    <s v="Q3"/>
    <n v="2025"/>
  </r>
  <r>
    <x v="61"/>
    <s v="CAN0976"/>
    <s v="JOB036"/>
    <d v="2025-08-01T00:00:00"/>
    <n v="3"/>
    <x v="0"/>
    <d v="2025-09-09T00:00:00"/>
    <s v="Offer Accepted"/>
    <s v="August"/>
    <s v="Q3"/>
    <n v="2025"/>
  </r>
  <r>
    <x v="62"/>
    <s v="CAN0795"/>
    <s v="JOB008"/>
    <d v="2025-07-24T00:00:00"/>
    <n v="5.0999999999999996"/>
    <x v="0"/>
    <d v="2025-08-17T00:00:00"/>
    <s v="Offer Accepted"/>
    <s v="July"/>
    <s v="Q3"/>
    <n v="2025"/>
  </r>
  <r>
    <x v="63"/>
    <s v="CAN0250"/>
    <s v="JOB002"/>
    <d v="2025-03-30T00:00:00"/>
    <n v="15"/>
    <x v="0"/>
    <d v="2025-05-08T00:00:00"/>
    <s v="Offer Accepted"/>
    <s v="March"/>
    <s v="Q1"/>
    <n v="2025"/>
  </r>
  <r>
    <x v="64"/>
    <s v="CAN0191"/>
    <s v="JOB042"/>
    <d v="2025-03-17T00:00:00"/>
    <n v="14.4"/>
    <x v="0"/>
    <d v="2025-04-02T00:00:00"/>
    <s v="Offer Accepted"/>
    <s v="March"/>
    <s v="Q1"/>
    <n v="2025"/>
  </r>
  <r>
    <x v="65"/>
    <s v="CAN0068"/>
    <s v="JOB010"/>
    <d v="2025-08-23T00:00:00"/>
    <n v="8.9"/>
    <x v="0"/>
    <d v="2025-09-16T00:00:00"/>
    <s v="Offer Accepted"/>
    <s v="August"/>
    <s v="Q3"/>
    <n v="2025"/>
  </r>
  <r>
    <x v="66"/>
    <s v="CAN0738"/>
    <s v="JOB012"/>
    <d v="2025-11-23T00:00:00"/>
    <n v="6.7"/>
    <x v="0"/>
    <d v="2025-12-16T00:00:00"/>
    <s v="Offer Accepted"/>
    <s v="November"/>
    <s v="Q4"/>
    <n v="2025"/>
  </r>
  <r>
    <x v="67"/>
    <s v="CAN1112"/>
    <s v="JOB035"/>
    <d v="2025-03-20T00:00:00"/>
    <n v="10.3"/>
    <x v="0"/>
    <d v="2025-05-01T00:00:00"/>
    <s v="Offer Accepted"/>
    <s v="March"/>
    <s v="Q1"/>
    <n v="2025"/>
  </r>
  <r>
    <x v="68"/>
    <s v="CAN0360"/>
    <s v="JOB033"/>
    <d v="2025-10-11T00:00:00"/>
    <n v="18.5"/>
    <x v="0"/>
    <d v="2025-10-28T00:00:00"/>
    <s v="Offer Accepted"/>
    <s v="October"/>
    <s v="Q4"/>
    <n v="2025"/>
  </r>
  <r>
    <x v="69"/>
    <s v="CAN0120"/>
    <s v="JOB024"/>
    <d v="2025-04-18T00:00:00"/>
    <n v="3.2"/>
    <x v="0"/>
    <d v="2025-05-13T00:00:00"/>
    <s v="Offer Accepted"/>
    <s v="April"/>
    <s v="Q2"/>
    <n v="2025"/>
  </r>
  <r>
    <x v="70"/>
    <s v="CAN0468"/>
    <s v="JOB035"/>
    <d v="2025-03-23T00:00:00"/>
    <n v="23.7"/>
    <x v="0"/>
    <d v="2025-04-21T00:00:00"/>
    <s v="Offer Accepted"/>
    <s v="March"/>
    <s v="Q1"/>
    <n v="2025"/>
  </r>
  <r>
    <x v="71"/>
    <s v="CAN0788"/>
    <s v="JOB037"/>
    <d v="2025-05-22T00:00:00"/>
    <n v="15.1"/>
    <x v="0"/>
    <d v="2025-06-25T00:00:00"/>
    <s v="Offer Accepted"/>
    <s v="May"/>
    <s v="Q2"/>
    <n v="2025"/>
  </r>
  <r>
    <x v="72"/>
    <s v="CAN0767"/>
    <s v="JOB017"/>
    <d v="2025-07-21T00:00:00"/>
    <n v="3.3"/>
    <x v="0"/>
    <d v="2025-08-12T00:00:00"/>
    <s v="Offer Accepted"/>
    <s v="July"/>
    <s v="Q3"/>
    <n v="2025"/>
  </r>
  <r>
    <x v="73"/>
    <s v="CAN0781"/>
    <s v="JOB011"/>
    <d v="2025-06-08T00:00:00"/>
    <n v="11"/>
    <x v="0"/>
    <d v="2025-07-22T00:00:00"/>
    <s v="Offer Accepted"/>
    <s v="June"/>
    <s v="Q2"/>
    <n v="2025"/>
  </r>
  <r>
    <x v="74"/>
    <s v="CAN0026"/>
    <s v="JOB040"/>
    <d v="2025-04-29T00:00:00"/>
    <n v="13.5"/>
    <x v="0"/>
    <d v="2025-06-02T00:00:00"/>
    <s v="Offer Accepted"/>
    <s v="April"/>
    <s v="Q2"/>
    <n v="2025"/>
  </r>
  <r>
    <x v="75"/>
    <s v="CAN0125"/>
    <s v="JOB016"/>
    <d v="2025-04-17T00:00:00"/>
    <n v="11.6"/>
    <x v="0"/>
    <d v="2025-05-23T00:00:00"/>
    <s v="Offer Accepted"/>
    <s v="April"/>
    <s v="Q2"/>
    <n v="2025"/>
  </r>
  <r>
    <x v="76"/>
    <s v="CAN0216"/>
    <s v="JOB026"/>
    <d v="2025-07-17T00:00:00"/>
    <n v="4.2"/>
    <x v="0"/>
    <d v="2025-08-02T00:00:00"/>
    <s v="Offer Accepted"/>
    <s v="July"/>
    <s v="Q3"/>
    <n v="2025"/>
  </r>
  <r>
    <x v="77"/>
    <s v="CAN0889"/>
    <s v="JOB034"/>
    <d v="2025-06-21T00:00:00"/>
    <n v="20.9"/>
    <x v="0"/>
    <d v="2025-07-13T00:00:00"/>
    <s v="Offer Accepted"/>
    <s v="June"/>
    <s v="Q2"/>
    <n v="2025"/>
  </r>
  <r>
    <x v="78"/>
    <s v="CAN1100"/>
    <s v="JOB033"/>
    <d v="2025-10-29T00:00:00"/>
    <n v="15.1"/>
    <x v="0"/>
    <d v="2025-12-06T00:00:00"/>
    <s v="Offer Accepted"/>
    <s v="October"/>
    <s v="Q4"/>
    <n v="2025"/>
  </r>
  <r>
    <x v="79"/>
    <s v="CAN0045"/>
    <s v="JOB032"/>
    <d v="2025-06-12T00:00:00"/>
    <n v="11.3"/>
    <x v="0"/>
    <d v="2025-07-23T00:00:00"/>
    <s v="Offer Accepted"/>
    <s v="June"/>
    <s v="Q2"/>
    <n v="2025"/>
  </r>
  <r>
    <x v="80"/>
    <s v="CAN0247"/>
    <s v="JOB016"/>
    <d v="2025-03-20T00:00:00"/>
    <n v="25.7"/>
    <x v="0"/>
    <d v="2025-04-16T00:00:00"/>
    <s v="Offer Accepted"/>
    <s v="March"/>
    <s v="Q1"/>
    <n v="2025"/>
  </r>
  <r>
    <x v="81"/>
    <s v="CAN0954"/>
    <s v="JOB039"/>
    <d v="2025-02-20T00:00:00"/>
    <n v="13.4"/>
    <x v="0"/>
    <d v="2025-03-14T00:00:00"/>
    <s v="Offer Accepted"/>
    <s v="February"/>
    <s v="Q1"/>
    <n v="2025"/>
  </r>
  <r>
    <x v="82"/>
    <s v="CAN0637"/>
    <s v="JOB019"/>
    <d v="2025-05-10T00:00:00"/>
    <n v="13.4"/>
    <x v="0"/>
    <d v="2025-06-02T00:00:00"/>
    <s v="Offer Accepted"/>
    <s v="May"/>
    <s v="Q2"/>
    <n v="2025"/>
  </r>
  <r>
    <x v="83"/>
    <s v="CAN0821"/>
    <s v="JOB032"/>
    <d v="2025-06-16T00:00:00"/>
    <n v="20.7"/>
    <x v="0"/>
    <d v="2025-07-08T00:00:00"/>
    <s v="Offer Accepted"/>
    <s v="June"/>
    <s v="Q2"/>
    <n v="2025"/>
  </r>
  <r>
    <x v="84"/>
    <s v="CAN0857"/>
    <s v="JOB037"/>
    <d v="2025-05-11T00:00:00"/>
    <n v="7.8"/>
    <x v="0"/>
    <d v="2025-06-15T00:00:00"/>
    <s v="Offer Accepted"/>
    <s v="May"/>
    <s v="Q2"/>
    <n v="2025"/>
  </r>
  <r>
    <x v="85"/>
    <s v="CAN0755"/>
    <s v="JOB038"/>
    <d v="2025-08-05T00:00:00"/>
    <n v="9"/>
    <x v="0"/>
    <d v="2025-09-08T00:00:00"/>
    <s v="Offer Accepted"/>
    <s v="August"/>
    <s v="Q3"/>
    <n v="2025"/>
  </r>
  <r>
    <x v="86"/>
    <s v="CAN0166"/>
    <s v="JOB007"/>
    <d v="2025-06-29T00:00:00"/>
    <n v="11.4"/>
    <x v="0"/>
    <d v="2025-07-24T00:00:00"/>
    <s v="Offer Accepted"/>
    <s v="June"/>
    <s v="Q2"/>
    <n v="2025"/>
  </r>
  <r>
    <x v="87"/>
    <s v="CAN0194"/>
    <s v="JOB024"/>
    <d v="2025-05-04T00:00:00"/>
    <n v="13.9"/>
    <x v="0"/>
    <d v="2025-06-10T00:00:00"/>
    <s v="Offer Accepted"/>
    <s v="May"/>
    <s v="Q2"/>
    <n v="2025"/>
  </r>
  <r>
    <x v="88"/>
    <s v="CAN0885"/>
    <s v="JOB024"/>
    <d v="2025-04-28T00:00:00"/>
    <n v="10.9"/>
    <x v="0"/>
    <d v="2025-05-14T00:00:00"/>
    <s v="Offer Accepted"/>
    <s v="April"/>
    <s v="Q2"/>
    <n v="2025"/>
  </r>
  <r>
    <x v="89"/>
    <s v="CAN1136"/>
    <s v="JOB005"/>
    <d v="2025-08-01T00:00:00"/>
    <n v="20.2"/>
    <x v="0"/>
    <d v="2025-08-16T00:00:00"/>
    <s v="Offer Accepted"/>
    <s v="August"/>
    <s v="Q3"/>
    <n v="2025"/>
  </r>
  <r>
    <x v="90"/>
    <s v="CAN0611"/>
    <s v="JOB004"/>
    <d v="2025-07-06T00:00:00"/>
    <n v="10.4"/>
    <x v="0"/>
    <d v="2025-08-11T00:00:00"/>
    <s v="Offer Accepted"/>
    <s v="July"/>
    <s v="Q3"/>
    <n v="2025"/>
  </r>
  <r>
    <x v="91"/>
    <s v="CAN0237"/>
    <s v="JOB018"/>
    <d v="2025-04-22T00:00:00"/>
    <n v="22.8"/>
    <x v="0"/>
    <d v="2025-05-22T00:00:00"/>
    <s v="Offer Accepted"/>
    <s v="April"/>
    <s v="Q2"/>
    <n v="2025"/>
  </r>
  <r>
    <x v="92"/>
    <s v="CAN0927"/>
    <s v="JOB027"/>
    <d v="2025-04-27T00:00:00"/>
    <n v="12.8"/>
    <x v="0"/>
    <d v="2025-05-25T00:00:00"/>
    <s v="Offer Accepted"/>
    <s v="April"/>
    <s v="Q2"/>
    <n v="2025"/>
  </r>
  <r>
    <x v="93"/>
    <s v="CAN0585"/>
    <s v="JOB038"/>
    <d v="2025-08-16T00:00:00"/>
    <n v="11.4"/>
    <x v="0"/>
    <d v="2025-09-06T00:00:00"/>
    <s v="Offer Accepted"/>
    <s v="August"/>
    <s v="Q3"/>
    <n v="2025"/>
  </r>
  <r>
    <x v="94"/>
    <s v="CAN0510"/>
    <s v="JOB032"/>
    <d v="2025-06-21T00:00:00"/>
    <n v="18.5"/>
    <x v="0"/>
    <d v="2025-07-11T00:00:00"/>
    <s v="Offer Accepted"/>
    <s v="June"/>
    <s v="Q2"/>
    <n v="2025"/>
  </r>
  <r>
    <x v="95"/>
    <s v="CAN1082"/>
    <s v="JOB042"/>
    <d v="2025-03-28T00:00:00"/>
    <n v="12.1"/>
    <x v="0"/>
    <d v="2025-04-21T00:00:00"/>
    <s v="Offer Accepted"/>
    <s v="March"/>
    <s v="Q1"/>
    <n v="2025"/>
  </r>
  <r>
    <x v="96"/>
    <s v="CAN0984"/>
    <s v="JOB047"/>
    <d v="2025-07-09T00:00:00"/>
    <n v="16.8"/>
    <x v="0"/>
    <d v="2025-08-04T00:00:00"/>
    <s v="Offer Accepted"/>
    <s v="July"/>
    <s v="Q3"/>
    <n v="2025"/>
  </r>
  <r>
    <x v="97"/>
    <s v="CAN1007"/>
    <s v="JOB013"/>
    <d v="2025-11-18T00:00:00"/>
    <n v="4.5999999999999996"/>
    <x v="0"/>
    <d v="2025-12-06T00:00:00"/>
    <s v="Offer Accepted"/>
    <s v="November"/>
    <s v="Q4"/>
    <n v="2025"/>
  </r>
  <r>
    <x v="98"/>
    <s v="CAN1141"/>
    <s v="JOB021"/>
    <d v="2025-06-25T00:00:00"/>
    <n v="20.399999999999999"/>
    <x v="0"/>
    <d v="2025-08-02T00:00:00"/>
    <s v="Offer Accepted"/>
    <s v="June"/>
    <s v="Q2"/>
    <n v="2025"/>
  </r>
  <r>
    <x v="99"/>
    <s v="CAN1038"/>
    <s v="JOB034"/>
    <d v="2025-06-23T00:00:00"/>
    <n v="28.7"/>
    <x v="0"/>
    <d v="2025-08-04T00:00:00"/>
    <s v="Offer Accepted"/>
    <s v="June"/>
    <s v="Q2"/>
    <n v="2025"/>
  </r>
  <r>
    <x v="100"/>
    <s v="CAN0908"/>
    <s v="JOB042"/>
    <d v="2025-03-05T00:00:00"/>
    <n v="16.7"/>
    <x v="0"/>
    <d v="2025-04-19T00:00:00"/>
    <s v="Offer Accepted"/>
    <s v="March"/>
    <s v="Q1"/>
    <n v="2025"/>
  </r>
  <r>
    <x v="101"/>
    <s v="CAN0982"/>
    <s v="JOB013"/>
    <d v="2025-11-08T00:00:00"/>
    <n v="5.8"/>
    <x v="0"/>
    <d v="2025-12-12T00:00:00"/>
    <s v="Offer Accepted"/>
    <s v="November"/>
    <s v="Q4"/>
    <n v="2025"/>
  </r>
  <r>
    <x v="102"/>
    <s v="CAN0401"/>
    <s v="JOB042"/>
    <d v="2025-03-24T00:00:00"/>
    <n v="10.199999999999999"/>
    <x v="0"/>
    <d v="2025-05-05T00:00:00"/>
    <s v="Offer Accepted"/>
    <s v="March"/>
    <s v="Q1"/>
    <n v="2025"/>
  </r>
  <r>
    <x v="103"/>
    <s v="CAN1015"/>
    <s v="JOB033"/>
    <d v="2025-11-04T00:00:00"/>
    <n v="20.8"/>
    <x v="0"/>
    <d v="2025-11-27T00:00:00"/>
    <s v="Offer Accepted"/>
    <s v="November"/>
    <s v="Q4"/>
    <n v="2025"/>
  </r>
  <r>
    <x v="104"/>
    <s v="CAN0176"/>
    <s v="JOB018"/>
    <d v="2025-04-09T00:00:00"/>
    <n v="5.2"/>
    <x v="0"/>
    <d v="2025-05-13T00:00:00"/>
    <s v="Offer Accepted"/>
    <s v="April"/>
    <s v="Q2"/>
    <n v="2025"/>
  </r>
  <r>
    <x v="105"/>
    <s v="CAN0238"/>
    <s v="JOB043"/>
    <d v="2025-11-21T00:00:00"/>
    <n v="17.3"/>
    <x v="0"/>
    <d v="2025-12-30T00:00:00"/>
    <s v="Offer Accepted"/>
    <s v="November"/>
    <s v="Q4"/>
    <n v="2025"/>
  </r>
  <r>
    <x v="106"/>
    <s v="CAN1162"/>
    <s v="JOB008"/>
    <d v="2025-07-28T00:00:00"/>
    <n v="11.1"/>
    <x v="0"/>
    <d v="2025-09-05T00:00:00"/>
    <s v="Offer Accepted"/>
    <s v="July"/>
    <s v="Q3"/>
    <n v="2025"/>
  </r>
  <r>
    <x v="107"/>
    <s v="CAN0278"/>
    <s v="JOB050"/>
    <d v="2025-01-28T00:00:00"/>
    <n v="13.4"/>
    <x v="0"/>
    <d v="2025-02-22T00:00:00"/>
    <s v="Offer Accepted"/>
    <s v="January"/>
    <s v="Q1"/>
    <n v="2025"/>
  </r>
  <r>
    <x v="108"/>
    <s v="CAN0634"/>
    <s v="JOB005"/>
    <d v="2025-08-09T00:00:00"/>
    <n v="12.2"/>
    <x v="0"/>
    <d v="2025-09-15T00:00:00"/>
    <s v="Offer Accepted"/>
    <s v="August"/>
    <s v="Q3"/>
    <n v="2025"/>
  </r>
  <r>
    <x v="109"/>
    <s v="CAN0428"/>
    <s v="JOB033"/>
    <d v="2025-10-25T00:00:00"/>
    <n v="12.3"/>
    <x v="0"/>
    <d v="2025-12-09T00:00:00"/>
    <s v="Offer Accepted"/>
    <s v="October"/>
    <s v="Q4"/>
    <n v="2025"/>
  </r>
  <r>
    <x v="110"/>
    <s v="CAN0584"/>
    <s v="JOB022"/>
    <d v="2025-08-19T00:00:00"/>
    <n v="17.2"/>
    <x v="0"/>
    <d v="2025-09-05T00:00:00"/>
    <s v="Offer Accepted"/>
    <s v="August"/>
    <s v="Q3"/>
    <n v="2025"/>
  </r>
  <r>
    <x v="111"/>
    <s v="CAN0537"/>
    <s v="JOB007"/>
    <d v="2025-06-23T00:00:00"/>
    <n v="14.4"/>
    <x v="0"/>
    <d v="2025-07-20T00:00:00"/>
    <s v="Offer Accepted"/>
    <s v="June"/>
    <s v="Q2"/>
    <n v="2025"/>
  </r>
  <r>
    <x v="112"/>
    <s v="CAN1174"/>
    <s v="JOB043"/>
    <d v="2025-11-11T00:00:00"/>
    <n v="10"/>
    <x v="0"/>
    <d v="2025-12-12T00:00:00"/>
    <s v="Offer Accepted"/>
    <s v="November"/>
    <s v="Q4"/>
    <n v="2025"/>
  </r>
  <r>
    <x v="113"/>
    <s v="CAN0953"/>
    <s v="JOB031"/>
    <d v="2025-02-19T00:00:00"/>
    <n v="11.5"/>
    <x v="0"/>
    <d v="2025-04-04T00:00:00"/>
    <s v="Offer Accepted"/>
    <s v="February"/>
    <s v="Q1"/>
    <n v="2025"/>
  </r>
  <r>
    <x v="114"/>
    <s v="CAN0923"/>
    <s v="JOB016"/>
    <d v="2025-03-17T00:00:00"/>
    <n v="43.9"/>
    <x v="0"/>
    <d v="2025-04-07T00:00:00"/>
    <s v="Offer Accepted"/>
    <s v="March"/>
    <s v="Q1"/>
    <n v="2025"/>
  </r>
  <r>
    <x v="115"/>
    <s v="CAN0566"/>
    <s v="JOB018"/>
    <d v="2025-04-07T00:00:00"/>
    <n v="9.3000000000000007"/>
    <x v="0"/>
    <d v="2025-05-07T00:00:00"/>
    <s v="Offer Accepted"/>
    <s v="April"/>
    <s v="Q2"/>
    <n v="2025"/>
  </r>
  <r>
    <x v="116"/>
    <s v="CAN0991"/>
    <s v="JOB034"/>
    <d v="2025-06-21T00:00:00"/>
    <n v="34.299999999999997"/>
    <x v="0"/>
    <d v="2025-08-03T00:00:00"/>
    <s v="Offer Accepted"/>
    <s v="June"/>
    <s v="Q2"/>
    <n v="2025"/>
  </r>
  <r>
    <x v="117"/>
    <s v="CAN0022"/>
    <s v="JOB007"/>
    <d v="2025-07-05T00:00:00"/>
    <n v="10.5"/>
    <x v="0"/>
    <d v="2025-08-01T00:00:00"/>
    <s v="Offer Accepted"/>
    <s v="July"/>
    <s v="Q3"/>
    <n v="2025"/>
  </r>
  <r>
    <x v="118"/>
    <s v="CAN0034"/>
    <s v="JOB016"/>
    <d v="2025-03-22T00:00:00"/>
    <n v="3.9"/>
    <x v="0"/>
    <d v="2025-04-10T00:00:00"/>
    <s v="Offer Accepted"/>
    <s v="March"/>
    <s v="Q1"/>
    <n v="2025"/>
  </r>
  <r>
    <x v="119"/>
    <s v="CAN0957"/>
    <s v="JOB013"/>
    <d v="2025-11-25T00:00:00"/>
    <n v="10.199999999999999"/>
    <x v="0"/>
    <d v="2025-12-31T00:00:00"/>
    <s v="Offer Accepted"/>
    <s v="November"/>
    <s v="Q4"/>
    <n v="2025"/>
  </r>
  <r>
    <x v="120"/>
    <s v="CAN0316"/>
    <s v="JOB044"/>
    <d v="2025-04-19T00:00:00"/>
    <n v="11.3"/>
    <x v="0"/>
    <d v="2025-05-09T00:00:00"/>
    <s v="Offer Accepted"/>
    <s v="April"/>
    <s v="Q2"/>
    <n v="2025"/>
  </r>
  <r>
    <x v="121"/>
    <s v="CAN0758"/>
    <s v="JOB026"/>
    <d v="2025-08-26T00:00:00"/>
    <n v="9.1"/>
    <x v="0"/>
    <d v="2025-09-12T00:00:00"/>
    <s v="Offer Accepted"/>
    <s v="August"/>
    <s v="Q3"/>
    <n v="2025"/>
  </r>
  <r>
    <x v="122"/>
    <s v="CAN0741"/>
    <s v="JOB045"/>
    <d v="2025-06-21T00:00:00"/>
    <n v="13.4"/>
    <x v="0"/>
    <d v="2025-08-05T00:00:00"/>
    <s v="Offer Accepted"/>
    <s v="June"/>
    <s v="Q2"/>
    <n v="2025"/>
  </r>
  <r>
    <x v="123"/>
    <s v="CAN0924"/>
    <s v="JOB044"/>
    <d v="2025-04-11T00:00:00"/>
    <n v="10.7"/>
    <x v="0"/>
    <d v="2025-05-16T00:00:00"/>
    <s v="Offer Accepted"/>
    <s v="April"/>
    <s v="Q2"/>
    <n v="2025"/>
  </r>
  <r>
    <x v="124"/>
    <s v="CAN0470"/>
    <s v="JOB023"/>
    <d v="2025-01-14T00:00:00"/>
    <n v="16.600000000000001"/>
    <x v="0"/>
    <d v="2025-02-24T00:00:00"/>
    <s v="Offer Accepted"/>
    <s v="January"/>
    <s v="Q1"/>
    <n v="2025"/>
  </r>
  <r>
    <x v="125"/>
    <s v="CAN1121"/>
    <s v="JOB031"/>
    <d v="2025-03-08T00:00:00"/>
    <n v="20.3"/>
    <x v="0"/>
    <d v="2025-04-11T00:00:00"/>
    <s v="Offer Accepted"/>
    <s v="March"/>
    <s v="Q1"/>
    <n v="2025"/>
  </r>
  <r>
    <x v="126"/>
    <s v="CAN0097"/>
    <s v="JOB017"/>
    <d v="2025-07-27T00:00:00"/>
    <n v="14.3"/>
    <x v="0"/>
    <d v="2025-08-31T00:00:00"/>
    <s v="Offer Accepted"/>
    <s v="July"/>
    <s v="Q3"/>
    <n v="2025"/>
  </r>
  <r>
    <x v="127"/>
    <s v="CAN0695"/>
    <s v="JOB032"/>
    <d v="2025-07-01T00:00:00"/>
    <n v="27.4"/>
    <x v="0"/>
    <d v="2025-08-05T00:00:00"/>
    <s v="Offer Accepted"/>
    <s v="July"/>
    <s v="Q3"/>
    <n v="2025"/>
  </r>
  <r>
    <x v="128"/>
    <s v="CAN0257"/>
    <s v="JOB020"/>
    <d v="2025-05-03T00:00:00"/>
    <n v="11"/>
    <x v="0"/>
    <d v="2025-06-07T00:00:00"/>
    <s v="Offer Accepted"/>
    <s v="May"/>
    <s v="Q2"/>
    <n v="2025"/>
  </r>
  <r>
    <x v="129"/>
    <s v="CAN1045"/>
    <s v="JOB043"/>
    <d v="2025-11-10T00:00:00"/>
    <n v="15.3"/>
    <x v="0"/>
    <d v="2025-12-17T00:00:00"/>
    <s v="Offer Accepted"/>
    <s v="November"/>
    <s v="Q4"/>
    <n v="2025"/>
  </r>
  <r>
    <x v="130"/>
    <s v="CAN1170"/>
    <s v="JOB016"/>
    <d v="2025-03-16T00:00:00"/>
    <n v="21.8"/>
    <x v="0"/>
    <d v="2025-03-31T00:00:00"/>
    <s v="Offer Accepted"/>
    <s v="March"/>
    <s v="Q1"/>
    <n v="2025"/>
  </r>
  <r>
    <x v="131"/>
    <s v="CAN1062"/>
    <s v="JOB042"/>
    <d v="2025-03-22T00:00:00"/>
    <n v="10.9"/>
    <x v="0"/>
    <d v="2025-04-20T00:00:00"/>
    <s v="Offer Accepted"/>
    <s v="March"/>
    <s v="Q1"/>
    <n v="2025"/>
  </r>
  <r>
    <x v="132"/>
    <s v="CAN0069"/>
    <s v="JOB004"/>
    <d v="2025-06-18T00:00:00"/>
    <n v="16.399999999999999"/>
    <x v="0"/>
    <d v="2025-07-10T00:00:00"/>
    <s v="Offer Accepted"/>
    <s v="June"/>
    <s v="Q2"/>
    <n v="2025"/>
  </r>
  <r>
    <x v="133"/>
    <s v="CAN0844"/>
    <s v="JOB002"/>
    <d v="2025-03-18T00:00:00"/>
    <n v="11"/>
    <x v="0"/>
    <d v="2025-04-15T00:00:00"/>
    <s v="Offer Accepted"/>
    <s v="March"/>
    <s v="Q1"/>
    <n v="2025"/>
  </r>
  <r>
    <x v="134"/>
    <s v="CAN0728"/>
    <s v="JOB038"/>
    <d v="2025-08-21T00:00:00"/>
    <n v="7.1"/>
    <x v="0"/>
    <d v="2025-09-05T00:00:00"/>
    <s v="Offer Accepted"/>
    <s v="August"/>
    <s v="Q3"/>
    <n v="2025"/>
  </r>
  <r>
    <x v="135"/>
    <s v="CAN0258"/>
    <s v="JOB017"/>
    <d v="2025-07-15T00:00:00"/>
    <n v="31.2"/>
    <x v="0"/>
    <d v="2025-07-31T00:00:00"/>
    <s v="Offer Accepted"/>
    <s v="July"/>
    <s v="Q3"/>
    <n v="2025"/>
  </r>
  <r>
    <x v="136"/>
    <s v="CAN0958"/>
    <s v="JOB016"/>
    <d v="2025-03-31T00:00:00"/>
    <n v="9.1"/>
    <x v="0"/>
    <d v="2025-05-03T00:00:00"/>
    <s v="Offer Accepted"/>
    <s v="March"/>
    <s v="Q1"/>
    <n v="2025"/>
  </r>
  <r>
    <x v="137"/>
    <s v="CAN0867"/>
    <s v="JOB024"/>
    <d v="2025-05-09T00:00:00"/>
    <n v="8"/>
    <x v="0"/>
    <d v="2025-05-24T00:00:00"/>
    <s v="Offer Accepted"/>
    <s v="May"/>
    <s v="Q2"/>
    <n v="2025"/>
  </r>
  <r>
    <x v="138"/>
    <s v="CAN1184"/>
    <s v="JOB044"/>
    <d v="2025-05-01T00:00:00"/>
    <n v="3.6"/>
    <x v="0"/>
    <d v="2025-06-06T00:00:00"/>
    <s v="Offer Accepted"/>
    <s v="May"/>
    <s v="Q2"/>
    <n v="2025"/>
  </r>
  <r>
    <x v="139"/>
    <s v="CAN0096"/>
    <s v="JOB008"/>
    <d v="2025-07-23T00:00:00"/>
    <n v="27.3"/>
    <x v="0"/>
    <d v="2025-08-09T00:00:00"/>
    <s v="Offer Accepted"/>
    <s v="July"/>
    <s v="Q3"/>
    <n v="2025"/>
  </r>
  <r>
    <x v="140"/>
    <s v="CAN0375"/>
    <s v="JOB013"/>
    <d v="2025-11-08T00:00:00"/>
    <n v="8.8000000000000007"/>
    <x v="0"/>
    <d v="2025-12-17T00:00:00"/>
    <s v="Offer Accepted"/>
    <s v="November"/>
    <s v="Q4"/>
    <n v="2025"/>
  </r>
  <r>
    <x v="141"/>
    <s v="CAN0768"/>
    <s v="JOB004"/>
    <d v="2025-07-12T00:00:00"/>
    <n v="22.5"/>
    <x v="0"/>
    <d v="2025-07-27T00:00:00"/>
    <s v="Offer Accepted"/>
    <s v="July"/>
    <s v="Q3"/>
    <n v="2025"/>
  </r>
  <r>
    <x v="142"/>
    <s v="CAN0947"/>
    <s v="JOB031"/>
    <d v="2025-03-13T00:00:00"/>
    <n v="24"/>
    <x v="0"/>
    <d v="2025-04-08T00:00:00"/>
    <s v="Offer Accepted"/>
    <s v="March"/>
    <s v="Q1"/>
    <n v="2025"/>
  </r>
  <r>
    <x v="143"/>
    <s v="CAN0714"/>
    <s v="JOB034"/>
    <d v="2025-06-07T00:00:00"/>
    <n v="9"/>
    <x v="0"/>
    <d v="2025-07-03T00:00:00"/>
    <s v="Offer Accepted"/>
    <s v="June"/>
    <s v="Q2"/>
    <n v="2025"/>
  </r>
  <r>
    <x v="144"/>
    <s v="CAN0938"/>
    <s v="JOB027"/>
    <d v="2025-04-26T00:00:00"/>
    <n v="16.5"/>
    <x v="0"/>
    <d v="2025-06-04T00:00:00"/>
    <s v="Offer Accepted"/>
    <s v="April"/>
    <s v="Q2"/>
    <n v="2025"/>
  </r>
  <r>
    <x v="145"/>
    <s v="CAN0783"/>
    <s v="JOB050"/>
    <d v="2025-02-08T00:00:00"/>
    <n v="10.8"/>
    <x v="0"/>
    <d v="2025-03-04T00:00:00"/>
    <s v="Offer Accepted"/>
    <s v="February"/>
    <s v="Q1"/>
    <n v="2025"/>
  </r>
  <r>
    <x v="146"/>
    <s v="CAN0960"/>
    <s v="JOB036"/>
    <d v="2025-08-14T00:00:00"/>
    <n v="6.3"/>
    <x v="0"/>
    <d v="2025-09-02T00:00:00"/>
    <s v="Offer Accepted"/>
    <s v="August"/>
    <s v="Q3"/>
    <n v="2025"/>
  </r>
  <r>
    <x v="147"/>
    <s v="CAN0446"/>
    <s v="JOB022"/>
    <d v="2025-08-08T00:00:00"/>
    <n v="9.5"/>
    <x v="0"/>
    <d v="2025-08-23T00:00:00"/>
    <s v="Offer Accepted"/>
    <s v="August"/>
    <s v="Q3"/>
    <n v="2025"/>
  </r>
  <r>
    <x v="148"/>
    <s v="CAN0066"/>
    <s v="JOB048"/>
    <d v="2025-05-01T00:00:00"/>
    <n v="7.1"/>
    <x v="0"/>
    <d v="2025-05-18T00:00:00"/>
    <s v="Offer Accepted"/>
    <s v="May"/>
    <s v="Q2"/>
    <n v="2025"/>
  </r>
  <r>
    <x v="149"/>
    <s v="CAN1129"/>
    <s v="JOB006"/>
    <d v="2025-12-05T00:00:00"/>
    <n v="11.9"/>
    <x v="0"/>
    <d v="2025-12-31T00:00:00"/>
    <s v="Offer Accepted"/>
    <s v="December"/>
    <s v="Q4"/>
    <n v="2025"/>
  </r>
  <r>
    <x v="150"/>
    <s v="CAN0733"/>
    <s v="JOB042"/>
    <d v="2025-03-17T00:00:00"/>
    <n v="15.1"/>
    <x v="0"/>
    <d v="2025-05-01T00:00:00"/>
    <s v="Offer Accepted"/>
    <s v="March"/>
    <s v="Q1"/>
    <n v="2025"/>
  </r>
  <r>
    <x v="151"/>
    <s v="CAN0576"/>
    <s v="JOB042"/>
    <d v="2025-03-08T00:00:00"/>
    <n v="15.3"/>
    <x v="0"/>
    <d v="2025-04-14T00:00:00"/>
    <s v="Offer Accepted"/>
    <s v="March"/>
    <s v="Q1"/>
    <n v="2025"/>
  </r>
  <r>
    <x v="152"/>
    <s v="CAN0747"/>
    <s v="JOB002"/>
    <d v="2025-03-27T00:00:00"/>
    <n v="9.5"/>
    <x v="0"/>
    <d v="2025-04-13T00:00:00"/>
    <s v="Offer Accepted"/>
    <s v="March"/>
    <s v="Q1"/>
    <n v="2025"/>
  </r>
  <r>
    <x v="153"/>
    <s v="CAN1069"/>
    <s v="JOB022"/>
    <d v="2025-07-22T00:00:00"/>
    <n v="12.8"/>
    <x v="0"/>
    <d v="2025-08-28T00:00:00"/>
    <s v="Offer Accepted"/>
    <s v="July"/>
    <s v="Q3"/>
    <n v="2025"/>
  </r>
  <r>
    <x v="154"/>
    <s v="CAN1093"/>
    <s v="JOB042"/>
    <d v="2025-03-07T00:00:00"/>
    <n v="8.6"/>
    <x v="0"/>
    <d v="2025-03-25T00:00:00"/>
    <s v="Offer Accepted"/>
    <s v="March"/>
    <s v="Q1"/>
    <n v="2025"/>
  </r>
  <r>
    <x v="155"/>
    <s v="CAN0974"/>
    <s v="JOB006"/>
    <d v="2025-11-14T00:00:00"/>
    <n v="7.8"/>
    <x v="0"/>
    <d v="2025-12-18T00:00:00"/>
    <s v="Offer Accepted"/>
    <s v="November"/>
    <s v="Q4"/>
    <n v="2025"/>
  </r>
  <r>
    <x v="156"/>
    <s v="CAN0338"/>
    <s v="JOB010"/>
    <d v="2025-08-26T00:00:00"/>
    <n v="16.8"/>
    <x v="0"/>
    <d v="2025-09-24T00:00:00"/>
    <s v="Offer Accepted"/>
    <s v="August"/>
    <s v="Q3"/>
    <n v="2025"/>
  </r>
  <r>
    <x v="157"/>
    <s v="CAN0690"/>
    <s v="JOB032"/>
    <d v="2025-06-27T00:00:00"/>
    <n v="13"/>
    <x v="0"/>
    <d v="2025-08-05T00:00:00"/>
    <s v="Offer Accepted"/>
    <s v="June"/>
    <s v="Q2"/>
    <n v="2025"/>
  </r>
  <r>
    <x v="158"/>
    <s v="CAN0830"/>
    <s v="JOB025"/>
    <d v="2025-04-04T00:00:00"/>
    <n v="13.9"/>
    <x v="0"/>
    <d v="2025-05-16T00:00:00"/>
    <s v="Offer Accepted"/>
    <s v="April"/>
    <s v="Q2"/>
    <n v="2025"/>
  </r>
  <r>
    <x v="159"/>
    <s v="CAN0004"/>
    <s v="JOB008"/>
    <d v="2025-08-22T00:00:00"/>
    <n v="15.1"/>
    <x v="0"/>
    <d v="2025-09-15T00:00:00"/>
    <s v="Offer Accepted"/>
    <s v="August"/>
    <s v="Q3"/>
    <n v="2025"/>
  </r>
  <r>
    <x v="160"/>
    <s v="CAN0716"/>
    <s v="JOB014"/>
    <d v="2025-09-06T00:00:00"/>
    <n v="10.7"/>
    <x v="0"/>
    <d v="2025-09-25T00:00:00"/>
    <s v="Offer Accepted"/>
    <s v="September"/>
    <s v="Q3"/>
    <n v="2025"/>
  </r>
  <r>
    <x v="161"/>
    <s v="CAN0647"/>
    <s v="JOB022"/>
    <d v="2025-08-10T00:00:00"/>
    <n v="13.1"/>
    <x v="0"/>
    <d v="2025-09-14T00:00:00"/>
    <s v="Offer Accepted"/>
    <s v="August"/>
    <s v="Q3"/>
    <n v="2025"/>
  </r>
  <r>
    <x v="162"/>
    <s v="CAN0590"/>
    <s v="JOB032"/>
    <d v="2025-06-10T00:00:00"/>
    <n v="21.7"/>
    <x v="0"/>
    <d v="2025-07-10T00:00:00"/>
    <s v="Offer Accepted"/>
    <s v="June"/>
    <s v="Q2"/>
    <n v="2025"/>
  </r>
  <r>
    <x v="163"/>
    <s v="CAN0368"/>
    <s v="JOB035"/>
    <d v="2025-03-14T00:00:00"/>
    <n v="10.199999999999999"/>
    <x v="0"/>
    <d v="2025-03-29T00:00:00"/>
    <s v="Offer Accepted"/>
    <s v="March"/>
    <s v="Q1"/>
    <n v="2025"/>
  </r>
  <r>
    <x v="164"/>
    <s v="CAN0359"/>
    <s v="JOB043"/>
    <d v="2025-11-13T00:00:00"/>
    <n v="9.6"/>
    <x v="0"/>
    <d v="2025-11-29T00:00:00"/>
    <s v="Offer Accepted"/>
    <s v="November"/>
    <s v="Q4"/>
    <n v="2025"/>
  </r>
  <r>
    <x v="165"/>
    <s v="CAN0117"/>
    <s v="JOB022"/>
    <d v="2025-07-22T00:00:00"/>
    <n v="17.7"/>
    <x v="0"/>
    <d v="2025-08-19T00:00:00"/>
    <s v="Offer Accepted"/>
    <s v="July"/>
    <s v="Q3"/>
    <n v="2025"/>
  </r>
  <r>
    <x v="166"/>
    <s v="CAN0802"/>
    <s v="JOB028"/>
    <d v="2025-06-02T00:00:00"/>
    <n v="5.2"/>
    <x v="0"/>
    <d v="2025-06-23T00:00:00"/>
    <s v="Offer Accepted"/>
    <s v="June"/>
    <s v="Q2"/>
    <n v="2025"/>
  </r>
  <r>
    <x v="167"/>
    <s v="CAN0231"/>
    <s v="JOB007"/>
    <d v="2025-07-17T00:00:00"/>
    <n v="20.5"/>
    <x v="0"/>
    <d v="2025-08-07T00:00:00"/>
    <s v="Offer Accepted"/>
    <s v="July"/>
    <s v="Q3"/>
    <n v="2025"/>
  </r>
  <r>
    <x v="168"/>
    <s v="CAN0523"/>
    <s v="JOB033"/>
    <d v="2025-10-09T00:00:00"/>
    <n v="26"/>
    <x v="0"/>
    <d v="2025-10-27T00:00:00"/>
    <s v="Offer Accepted"/>
    <s v="October"/>
    <s v="Q4"/>
    <n v="2025"/>
  </r>
  <r>
    <x v="169"/>
    <s v="CAN0038"/>
    <s v="JOB039"/>
    <d v="2025-02-28T00:00:00"/>
    <n v="6.2"/>
    <x v="0"/>
    <d v="2025-03-15T00:00:00"/>
    <s v="Offer Accepted"/>
    <s v="February"/>
    <s v="Q1"/>
    <n v="2025"/>
  </r>
  <r>
    <x v="170"/>
    <s v="CAN1140"/>
    <s v="JOB029"/>
    <d v="2025-09-10T00:00:00"/>
    <n v="13.5"/>
    <x v="0"/>
    <d v="2025-10-01T00:00:00"/>
    <s v="Offer Accepted"/>
    <s v="September"/>
    <s v="Q3"/>
    <n v="2025"/>
  </r>
  <r>
    <x v="171"/>
    <s v="CAN0414"/>
    <s v="JOB009"/>
    <d v="2025-10-04T00:00:00"/>
    <n v="42.2"/>
    <x v="0"/>
    <d v="2025-10-23T00:00:00"/>
    <s v="Offer Accepted"/>
    <s v="October"/>
    <s v="Q4"/>
    <n v="2025"/>
  </r>
  <r>
    <x v="172"/>
    <s v="CAN0347"/>
    <s v="JOB013"/>
    <d v="2025-11-08T00:00:00"/>
    <n v="12.4"/>
    <x v="0"/>
    <d v="2025-12-07T00:00:00"/>
    <s v="Offer Accepted"/>
    <s v="November"/>
    <s v="Q4"/>
    <n v="2025"/>
  </r>
  <r>
    <x v="173"/>
    <s v="CAN1113"/>
    <s v="JOB004"/>
    <d v="2025-07-01T00:00:00"/>
    <n v="18.5"/>
    <x v="0"/>
    <d v="2025-07-25T00:00:00"/>
    <s v="Offer Accepted"/>
    <s v="July"/>
    <s v="Q3"/>
    <n v="2025"/>
  </r>
  <r>
    <x v="174"/>
    <s v="CAN0311"/>
    <s v="JOB010"/>
    <d v="2025-09-15T00:00:00"/>
    <n v="4.5"/>
    <x v="0"/>
    <d v="2025-10-21T00:00:00"/>
    <s v="Offer Accepted"/>
    <s v="September"/>
    <s v="Q3"/>
    <n v="2025"/>
  </r>
  <r>
    <x v="175"/>
    <s v="CAN0411"/>
    <s v="JOB004"/>
    <d v="2025-06-28T00:00:00"/>
    <n v="21.6"/>
    <x v="0"/>
    <d v="2025-07-20T00:00:00"/>
    <s v="Offer Accepted"/>
    <s v="June"/>
    <s v="Q2"/>
    <n v="2025"/>
  </r>
  <r>
    <x v="176"/>
    <s v="CAN0314"/>
    <s v="JOB044"/>
    <d v="2025-04-21T00:00:00"/>
    <n v="11.8"/>
    <x v="0"/>
    <d v="2025-05-27T00:00:00"/>
    <s v="Offer Accepted"/>
    <s v="April"/>
    <s v="Q2"/>
    <n v="2025"/>
  </r>
  <r>
    <x v="177"/>
    <s v="CAN0658"/>
    <s v="JOB041"/>
    <d v="2025-10-09T00:00:00"/>
    <n v="9.1999999999999993"/>
    <x v="0"/>
    <d v="2025-11-01T00:00:00"/>
    <s v="Offer Accepted"/>
    <s v="October"/>
    <s v="Q4"/>
    <n v="2025"/>
  </r>
  <r>
    <x v="178"/>
    <s v="CAN0259"/>
    <s v="JOB017"/>
    <d v="2025-07-16T00:00:00"/>
    <n v="4.9000000000000004"/>
    <x v="0"/>
    <d v="2025-08-02T00:00:00"/>
    <s v="Offer Accepted"/>
    <s v="July"/>
    <s v="Q3"/>
    <n v="2025"/>
  </r>
  <r>
    <x v="179"/>
    <s v="CAN0591"/>
    <s v="JOB024"/>
    <d v="2025-04-29T00:00:00"/>
    <n v="11.8"/>
    <x v="0"/>
    <d v="2025-05-28T00:00:00"/>
    <s v="Offer Accepted"/>
    <s v="April"/>
    <s v="Q2"/>
    <n v="2025"/>
  </r>
  <r>
    <x v="180"/>
    <s v="CAN0823"/>
    <s v="JOB037"/>
    <d v="2025-05-23T00:00:00"/>
    <n v="13.2"/>
    <x v="0"/>
    <d v="2025-06-30T00:00:00"/>
    <s v="Offer Accepted"/>
    <s v="May"/>
    <s v="Q2"/>
    <n v="2025"/>
  </r>
  <r>
    <x v="181"/>
    <s v="CAN0334"/>
    <s v="JOB036"/>
    <d v="2025-07-20T00:00:00"/>
    <n v="2.9"/>
    <x v="0"/>
    <d v="2025-08-21T00:00:00"/>
    <s v="Offer Accepted"/>
    <s v="July"/>
    <s v="Q3"/>
    <n v="2025"/>
  </r>
  <r>
    <x v="182"/>
    <s v="CAN0815"/>
    <s v="JOB019"/>
    <d v="2025-05-01T00:00:00"/>
    <n v="10.1"/>
    <x v="0"/>
    <d v="2025-05-23T00:00:00"/>
    <s v="Offer Accepted"/>
    <s v="May"/>
    <s v="Q2"/>
    <n v="2025"/>
  </r>
  <r>
    <x v="183"/>
    <s v="CAN1048"/>
    <s v="JOB010"/>
    <d v="2025-09-05T00:00:00"/>
    <n v="6.2"/>
    <x v="0"/>
    <d v="2025-09-23T00:00:00"/>
    <s v="Offer Accepted"/>
    <s v="September"/>
    <s v="Q3"/>
    <n v="2025"/>
  </r>
  <r>
    <x v="184"/>
    <s v="CAN0520"/>
    <s v="JOB015"/>
    <d v="2025-02-22T00:00:00"/>
    <n v="20.6"/>
    <x v="0"/>
    <d v="2025-03-21T00:00:00"/>
    <s v="Offer Accepted"/>
    <s v="February"/>
    <s v="Q1"/>
    <n v="2025"/>
  </r>
  <r>
    <x v="185"/>
    <s v="CAN0015"/>
    <s v="JOB036"/>
    <d v="2025-08-03T00:00:00"/>
    <n v="13.9"/>
    <x v="0"/>
    <d v="2025-08-20T00:00:00"/>
    <s v="Offer Accepted"/>
    <s v="August"/>
    <s v="Q3"/>
    <n v="2025"/>
  </r>
  <r>
    <x v="186"/>
    <s v="CAN0933"/>
    <s v="JOB025"/>
    <d v="2025-04-22T00:00:00"/>
    <n v="16.5"/>
    <x v="0"/>
    <d v="2025-05-16T00:00:00"/>
    <s v="Offer Accepted"/>
    <s v="April"/>
    <s v="Q2"/>
    <n v="2025"/>
  </r>
  <r>
    <x v="187"/>
    <s v="CAN1111"/>
    <s v="JOB016"/>
    <d v="2025-04-06T00:00:00"/>
    <n v="14.3"/>
    <x v="0"/>
    <d v="2025-05-20T00:00:00"/>
    <s v="Offer Accepted"/>
    <s v="April"/>
    <s v="Q2"/>
    <n v="2025"/>
  </r>
  <r>
    <x v="188"/>
    <s v="CAN0235"/>
    <s v="JOB043"/>
    <d v="2025-11-03T00:00:00"/>
    <n v="7.6"/>
    <x v="0"/>
    <d v="2025-12-12T00:00:00"/>
    <s v="Offer Accepted"/>
    <s v="November"/>
    <s v="Q4"/>
    <n v="2025"/>
  </r>
  <r>
    <x v="189"/>
    <s v="CAN0582"/>
    <s v="JOB003"/>
    <d v="2025-10-02T00:00:00"/>
    <n v="13"/>
    <x v="0"/>
    <d v="2025-11-13T00:00:00"/>
    <s v="Offer Accepted"/>
    <s v="October"/>
    <s v="Q4"/>
    <n v="2025"/>
  </r>
  <r>
    <x v="190"/>
    <s v="CAN0116"/>
    <s v="JOB012"/>
    <d v="2025-11-05T00:00:00"/>
    <n v="6.3"/>
    <x v="0"/>
    <d v="2025-11-24T00:00:00"/>
    <s v="Offer Accepted"/>
    <s v="November"/>
    <s v="Q4"/>
    <n v="2025"/>
  </r>
  <r>
    <x v="191"/>
    <s v="CAN0915"/>
    <s v="JOB036"/>
    <d v="2025-08-09T00:00:00"/>
    <n v="14.5"/>
    <x v="0"/>
    <d v="2025-09-07T00:00:00"/>
    <s v="Offer Accepted"/>
    <s v="August"/>
    <s v="Q3"/>
    <n v="2025"/>
  </r>
  <r>
    <x v="192"/>
    <s v="CAN0921"/>
    <s v="JOB043"/>
    <d v="2025-11-03T00:00:00"/>
    <n v="15.3"/>
    <x v="0"/>
    <d v="2025-11-22T00:00:00"/>
    <s v="Offer Accepted"/>
    <s v="November"/>
    <s v="Q4"/>
    <n v="2025"/>
  </r>
  <r>
    <x v="193"/>
    <s v="CAN0409"/>
    <s v="JOB016"/>
    <d v="2025-03-29T00:00:00"/>
    <n v="10.9"/>
    <x v="0"/>
    <d v="2025-05-11T00:00:00"/>
    <s v="Offer Accepted"/>
    <s v="March"/>
    <s v="Q1"/>
    <n v="2025"/>
  </r>
  <r>
    <x v="194"/>
    <s v="CAN0530"/>
    <s v="JOB016"/>
    <d v="2025-04-05T00:00:00"/>
    <n v="16.8"/>
    <x v="0"/>
    <d v="2025-05-01T00:00:00"/>
    <s v="Offer Accepted"/>
    <s v="April"/>
    <s v="Q2"/>
    <n v="2025"/>
  </r>
  <r>
    <x v="195"/>
    <s v="CAN0131"/>
    <s v="JOB029"/>
    <d v="2025-09-01T00:00:00"/>
    <n v="18.2"/>
    <x v="0"/>
    <d v="2025-10-15T00:00:00"/>
    <s v="Offer Accepted"/>
    <s v="September"/>
    <s v="Q3"/>
    <n v="2025"/>
  </r>
  <r>
    <x v="196"/>
    <s v="CAN1070"/>
    <s v="JOB046"/>
    <d v="2025-09-30T00:00:00"/>
    <n v="17.7"/>
    <x v="0"/>
    <d v="2025-10-31T00:00:00"/>
    <s v="Offer Accepted"/>
    <s v="September"/>
    <s v="Q3"/>
    <n v="2025"/>
  </r>
  <r>
    <x v="197"/>
    <s v="CAN0454"/>
    <s v="JOB016"/>
    <d v="2025-03-30T00:00:00"/>
    <n v="20.9"/>
    <x v="0"/>
    <d v="2025-04-17T00:00:00"/>
    <s v="Offer Accepted"/>
    <s v="March"/>
    <s v="Q1"/>
    <n v="2025"/>
  </r>
  <r>
    <x v="198"/>
    <s v="CAN0008"/>
    <s v="JOB013"/>
    <d v="2025-10-22T00:00:00"/>
    <n v="16.100000000000001"/>
    <x v="0"/>
    <d v="2025-11-22T00:00:00"/>
    <s v="Offer Accepted"/>
    <s v="October"/>
    <s v="Q4"/>
    <n v="2025"/>
  </r>
  <r>
    <x v="199"/>
    <s v="CAN0625"/>
    <s v="JOB019"/>
    <d v="2025-04-23T00:00:00"/>
    <n v="10.199999999999999"/>
    <x v="0"/>
    <d v="2025-05-24T00:00:00"/>
    <s v="Offer Accepted"/>
    <s v="April"/>
    <s v="Q2"/>
    <n v="2025"/>
  </r>
  <r>
    <x v="200"/>
    <s v="CAN1050"/>
    <s v="JOB016"/>
    <d v="2025-03-26T00:00:00"/>
    <n v="10.3"/>
    <x v="0"/>
    <d v="2025-04-27T00:00:00"/>
    <s v="Offer Accepted"/>
    <s v="March"/>
    <s v="Q1"/>
    <n v="2025"/>
  </r>
  <r>
    <x v="201"/>
    <s v="CAN0333"/>
    <s v="JOB032"/>
    <d v="2025-06-25T00:00:00"/>
    <n v="3.2"/>
    <x v="0"/>
    <d v="2025-07-24T00:00:00"/>
    <s v="Offer Accepted"/>
    <s v="June"/>
    <s v="Q2"/>
    <n v="2025"/>
  </r>
  <r>
    <x v="202"/>
    <s v="CAN0628"/>
    <s v="JOB034"/>
    <d v="2025-06-06T00:00:00"/>
    <n v="3.5"/>
    <x v="0"/>
    <d v="2025-07-03T00:00:00"/>
    <s v="Offer Accepted"/>
    <s v="June"/>
    <s v="Q2"/>
    <n v="2025"/>
  </r>
  <r>
    <x v="203"/>
    <s v="CAN0188"/>
    <s v="JOB031"/>
    <d v="2025-02-22T00:00:00"/>
    <n v="12.2"/>
    <x v="0"/>
    <d v="2025-03-14T00:00:00"/>
    <s v="Offer Accepted"/>
    <s v="February"/>
    <s v="Q1"/>
    <n v="2025"/>
  </r>
  <r>
    <x v="204"/>
    <s v="CAN0067"/>
    <s v="JOB003"/>
    <d v="2025-10-05T00:00:00"/>
    <n v="22.6"/>
    <x v="0"/>
    <d v="2025-11-17T00:00:00"/>
    <s v="Offer Accepted"/>
    <s v="October"/>
    <s v="Q4"/>
    <n v="2025"/>
  </r>
  <r>
    <x v="205"/>
    <s v="CAN0342"/>
    <s v="JOB027"/>
    <d v="2025-05-30T00:00:00"/>
    <n v="13"/>
    <x v="0"/>
    <d v="2025-07-07T00:00:00"/>
    <s v="Offer Accepted"/>
    <s v="May"/>
    <s v="Q2"/>
    <n v="2025"/>
  </r>
  <r>
    <x v="206"/>
    <s v="CAN0126"/>
    <s v="JOB036"/>
    <d v="2025-07-25T00:00:00"/>
    <n v="11.5"/>
    <x v="0"/>
    <d v="2025-09-08T00:00:00"/>
    <s v="Offer Accepted"/>
    <s v="July"/>
    <s v="Q3"/>
    <n v="2025"/>
  </r>
  <r>
    <x v="207"/>
    <s v="CAN0011"/>
    <s v="JOB010"/>
    <d v="2025-08-29T00:00:00"/>
    <n v="15.9"/>
    <x v="0"/>
    <d v="2025-09-25T00:00:00"/>
    <s v="Offer Accepted"/>
    <s v="August"/>
    <s v="Q3"/>
    <n v="2025"/>
  </r>
  <r>
    <x v="208"/>
    <s v="CAN0703"/>
    <s v="JOB037"/>
    <d v="2025-05-24T00:00:00"/>
    <n v="20.100000000000001"/>
    <x v="0"/>
    <d v="2025-06-17T00:00:00"/>
    <s v="Offer Accepted"/>
    <s v="May"/>
    <s v="Q2"/>
    <n v="2025"/>
  </r>
  <r>
    <x v="209"/>
    <s v="CAN0294"/>
    <s v="JOB008"/>
    <d v="2025-07-22T00:00:00"/>
    <n v="25.9"/>
    <x v="0"/>
    <d v="2025-08-19T00:00:00"/>
    <s v="Offer Accepted"/>
    <s v="July"/>
    <s v="Q3"/>
    <n v="2025"/>
  </r>
  <r>
    <x v="210"/>
    <s v="CAN0777"/>
    <s v="JOB041"/>
    <d v="2025-10-14T00:00:00"/>
    <n v="15.3"/>
    <x v="0"/>
    <d v="2025-11-28T00:00:00"/>
    <s v="Offer Accepted"/>
    <s v="October"/>
    <s v="Q4"/>
    <n v="2025"/>
  </r>
  <r>
    <x v="211"/>
    <s v="CAN1090"/>
    <s v="JOB036"/>
    <d v="2025-08-03T00:00:00"/>
    <n v="9.6"/>
    <x v="0"/>
    <d v="2025-08-24T00:00:00"/>
    <s v="Offer Accepted"/>
    <s v="August"/>
    <s v="Q3"/>
    <n v="2025"/>
  </r>
  <r>
    <x v="212"/>
    <s v="CAN1168"/>
    <s v="JOB030"/>
    <d v="2025-05-03T00:00:00"/>
    <n v="7.1"/>
    <x v="0"/>
    <d v="2025-06-01T00:00:00"/>
    <s v="Offer Accepted"/>
    <s v="May"/>
    <s v="Q2"/>
    <n v="2025"/>
  </r>
  <r>
    <x v="213"/>
    <s v="CAN1197"/>
    <s v="JOB018"/>
    <d v="2025-04-18T00:00:00"/>
    <n v="3.7"/>
    <x v="0"/>
    <d v="2025-05-14T00:00:00"/>
    <s v="Offer Accepted"/>
    <s v="April"/>
    <s v="Q2"/>
    <n v="2025"/>
  </r>
  <r>
    <x v="214"/>
    <s v="CAN0511"/>
    <s v="JOB032"/>
    <d v="2025-06-23T00:00:00"/>
    <n v="11"/>
    <x v="0"/>
    <d v="2025-08-02T00:00:00"/>
    <s v="Offer Accepted"/>
    <s v="June"/>
    <s v="Q2"/>
    <n v="2025"/>
  </r>
  <r>
    <x v="215"/>
    <s v="CAN0297"/>
    <s v="JOB004"/>
    <d v="2025-07-13T00:00:00"/>
    <n v="22.1"/>
    <x v="0"/>
    <d v="2025-08-10T00:00:00"/>
    <s v="Offer Accepted"/>
    <s v="July"/>
    <s v="Q3"/>
    <n v="2025"/>
  </r>
  <r>
    <x v="216"/>
    <s v="CAN0466"/>
    <s v="JOB004"/>
    <d v="2025-07-07T00:00:00"/>
    <n v="8"/>
    <x v="0"/>
    <d v="2025-07-24T00:00:00"/>
    <s v="Offer Accepted"/>
    <s v="July"/>
    <s v="Q3"/>
    <n v="2025"/>
  </r>
  <r>
    <x v="217"/>
    <s v="CAN0905"/>
    <s v="JOB041"/>
    <d v="2025-10-21T00:00:00"/>
    <n v="7.5"/>
    <x v="0"/>
    <d v="2025-11-08T00:00:00"/>
    <s v="Offer Accepted"/>
    <s v="October"/>
    <s v="Q4"/>
    <n v="2025"/>
  </r>
  <r>
    <x v="218"/>
    <s v="CAN0979"/>
    <s v="JOB039"/>
    <d v="2025-03-16T00:00:00"/>
    <n v="12.4"/>
    <x v="0"/>
    <d v="2025-04-03T00:00:00"/>
    <s v="Offer Accepted"/>
    <s v="March"/>
    <s v="Q1"/>
    <n v="2025"/>
  </r>
  <r>
    <x v="219"/>
    <s v="CAN0760"/>
    <s v="JOB020"/>
    <d v="2025-05-08T00:00:00"/>
    <n v="11.4"/>
    <x v="0"/>
    <d v="2025-05-26T00:00:00"/>
    <s v="Offer Accepted"/>
    <s v="May"/>
    <s v="Q2"/>
    <n v="2025"/>
  </r>
  <r>
    <x v="220"/>
    <s v="CAN0876"/>
    <s v="JOB030"/>
    <d v="2025-05-12T00:00:00"/>
    <n v="16.3"/>
    <x v="0"/>
    <d v="2025-06-15T00:00:00"/>
    <s v="Offer Accepted"/>
    <s v="May"/>
    <s v="Q2"/>
    <n v="2025"/>
  </r>
  <r>
    <x v="221"/>
    <s v="CAN0346"/>
    <s v="JOB019"/>
    <d v="2025-04-17T00:00:00"/>
    <n v="28.5"/>
    <x v="0"/>
    <d v="2025-05-06T00:00:00"/>
    <s v="Offer Accepted"/>
    <s v="April"/>
    <s v="Q2"/>
    <n v="2025"/>
  </r>
  <r>
    <x v="222"/>
    <s v="CAN0675"/>
    <s v="JOB014"/>
    <d v="2025-09-13T00:00:00"/>
    <n v="19.3"/>
    <x v="0"/>
    <d v="2025-09-28T00:00:00"/>
    <s v="Offer Accepted"/>
    <s v="September"/>
    <s v="Q3"/>
    <n v="2025"/>
  </r>
  <r>
    <x v="223"/>
    <s v="CAN0987"/>
    <s v="JOB028"/>
    <d v="2025-06-20T00:00:00"/>
    <n v="22.1"/>
    <x v="0"/>
    <d v="2025-07-16T00:00:00"/>
    <s v="Offer Accepted"/>
    <s v="June"/>
    <s v="Q2"/>
    <n v="2025"/>
  </r>
  <r>
    <x v="224"/>
    <s v="CAN0516"/>
    <s v="JOB007"/>
    <d v="2025-07-12T00:00:00"/>
    <n v="11.4"/>
    <x v="0"/>
    <d v="2025-08-05T00:00:00"/>
    <s v="Offer Accepted"/>
    <s v="July"/>
    <s v="Q3"/>
    <n v="2025"/>
  </r>
  <r>
    <x v="225"/>
    <s v="CAN1189"/>
    <s v="JOB043"/>
    <d v="2025-11-11T00:00:00"/>
    <n v="12.3"/>
    <x v="0"/>
    <d v="2025-12-08T00:00:00"/>
    <s v="Offer Accepted"/>
    <s v="November"/>
    <s v="Q4"/>
    <n v="2025"/>
  </r>
  <r>
    <x v="226"/>
    <s v="CAN0916"/>
    <s v="JOB033"/>
    <d v="2025-10-21T00:00:00"/>
    <n v="6.8"/>
    <x v="0"/>
    <d v="2025-11-10T00:00:00"/>
    <s v="Offer Accepted"/>
    <s v="October"/>
    <s v="Q4"/>
    <n v="2025"/>
  </r>
  <r>
    <x v="227"/>
    <s v="CAN0826"/>
    <s v="JOB035"/>
    <d v="2025-02-25T00:00:00"/>
    <n v="13.2"/>
    <x v="0"/>
    <d v="2025-04-07T00:00:00"/>
    <s v="Offer Accepted"/>
    <s v="February"/>
    <s v="Q1"/>
    <n v="2025"/>
  </r>
  <r>
    <x v="228"/>
    <s v="CAN0828"/>
    <s v="JOB038"/>
    <d v="2025-07-22T00:00:00"/>
    <n v="14.1"/>
    <x v="0"/>
    <d v="2025-08-12T00:00:00"/>
    <s v="Offer Accepted"/>
    <s v="July"/>
    <s v="Q3"/>
    <n v="2025"/>
  </r>
  <r>
    <x v="229"/>
    <s v="CAN0700"/>
    <s v="JOB028"/>
    <d v="2025-06-05T00:00:00"/>
    <n v="11"/>
    <x v="0"/>
    <d v="2025-07-09T00:00:00"/>
    <s v="Offer Accepted"/>
    <s v="June"/>
    <s v="Q2"/>
    <n v="2025"/>
  </r>
  <r>
    <x v="230"/>
    <s v="CAN0043"/>
    <s v="JOB042"/>
    <d v="2025-03-25T00:00:00"/>
    <n v="6.9"/>
    <x v="0"/>
    <d v="2025-04-09T00:00:00"/>
    <s v="Offer Accepted"/>
    <s v="March"/>
    <s v="Q1"/>
    <n v="20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
  <r>
    <s v="EMP0001"/>
    <s v="CAN0777"/>
    <s v="JOB041"/>
    <d v="2025-11-28T00:00:00"/>
    <s v="Data Analytics"/>
    <s v="Reporting Analyst"/>
    <n v="15.3"/>
    <s v="Probation"/>
    <x v="0"/>
    <s v="Q4"/>
    <n v="2025"/>
  </r>
  <r>
    <s v="EMP0002"/>
    <s v="CAN0591"/>
    <s v="JOB024"/>
    <d v="2025-05-28T00:00:00"/>
    <s v="Operations"/>
    <s v="Operations Executive"/>
    <n v="11.8"/>
    <s v="Active"/>
    <x v="1"/>
    <s v="Q2"/>
    <n v="2025"/>
  </r>
  <r>
    <s v="EMP0003"/>
    <s v="CAN0328"/>
    <s v="JOB017"/>
    <d v="2025-08-22T00:00:00"/>
    <s v="Sales"/>
    <s v="Business Development Executive"/>
    <n v="6.5"/>
    <s v="Active"/>
    <x v="2"/>
    <s v="Q3"/>
    <n v="2025"/>
  </r>
  <r>
    <s v="EMP0004"/>
    <s v="CAN0697"/>
    <s v="JOB029"/>
    <d v="2025-10-06T00:00:00"/>
    <s v="IT"/>
    <s v="Software Engineer"/>
    <n v="5.9"/>
    <s v="Probation"/>
    <x v="3"/>
    <s v="Q4"/>
    <n v="2025"/>
  </r>
  <r>
    <s v="EMP0005"/>
    <s v="CAN1123"/>
    <s v="JOB030"/>
    <d v="2025-05-29T00:00:00"/>
    <s v="Customer Support"/>
    <s v="Support Team Lead"/>
    <n v="11.5"/>
    <s v="Active"/>
    <x v="1"/>
    <s v="Q2"/>
    <n v="2025"/>
  </r>
  <r>
    <s v="EMP0006"/>
    <s v="CAN0043"/>
    <s v="JOB042"/>
    <d v="2025-04-09T00:00:00"/>
    <s v="Data Analytics"/>
    <s v="Data Analyst"/>
    <n v="6.9"/>
    <s v="Active"/>
    <x v="4"/>
    <s v="Q2"/>
    <n v="2025"/>
  </r>
  <r>
    <s v="EMP0007"/>
    <s v="CAN1016"/>
    <s v="JOB004"/>
    <d v="2025-08-06T00:00:00"/>
    <s v="Sales"/>
    <s v="Sales Manager"/>
    <n v="15.7"/>
    <s v="Active"/>
    <x v="2"/>
    <s v="Q3"/>
    <n v="2025"/>
  </r>
  <r>
    <s v="EMP0008"/>
    <s v="CAN0446"/>
    <s v="JOB022"/>
    <d v="2025-08-23T00:00:00"/>
    <s v="Data Science"/>
    <s v="Data Science Lead"/>
    <n v="9.5"/>
    <s v="Left"/>
    <x v="2"/>
    <s v="Q3"/>
    <n v="2025"/>
  </r>
  <r>
    <s v="EMP0009"/>
    <s v="CAN0921"/>
    <s v="JOB043"/>
    <d v="2025-11-22T00:00:00"/>
    <s v="Data Analytics"/>
    <s v="Senior Data Analyst"/>
    <n v="15.3"/>
    <s v="Active"/>
    <x v="0"/>
    <s v="Q4"/>
    <n v="2025"/>
  </r>
  <r>
    <s v="EMP0010"/>
    <s v="CAN0414"/>
    <s v="JOB009"/>
    <d v="2025-10-23T00:00:00"/>
    <s v="Data Analytics"/>
    <s v="Data Analyst"/>
    <n v="42.2"/>
    <s v="Probation"/>
    <x v="3"/>
    <s v="Q4"/>
    <n v="2025"/>
  </r>
  <r>
    <s v="EMP0011"/>
    <s v="CAN0510"/>
    <s v="JOB032"/>
    <d v="2025-07-11T00:00:00"/>
    <s v="Sales"/>
    <s v="Inside Sales Rep"/>
    <n v="18.5"/>
    <s v="Probation"/>
    <x v="5"/>
    <s v="Q3"/>
    <n v="2025"/>
  </r>
  <r>
    <s v="EMP0012"/>
    <s v="CAN0954"/>
    <s v="JOB039"/>
    <d v="2025-03-14T00:00:00"/>
    <s v="Sales"/>
    <s v="Business Development Executive"/>
    <n v="13.4"/>
    <s v="Active"/>
    <x v="6"/>
    <s v="Q1"/>
    <n v="2025"/>
  </r>
  <r>
    <s v="EMP0013"/>
    <s v="CAN1100"/>
    <s v="JOB033"/>
    <d v="2025-12-06T00:00:00"/>
    <s v="Data Analytics"/>
    <s v="Reporting Analyst"/>
    <n v="15.1"/>
    <s v="Probation"/>
    <x v="7"/>
    <s v="Q4"/>
    <n v="2025"/>
  </r>
  <r>
    <s v="EMP0014"/>
    <s v="CAN0606"/>
    <s v="JOB048"/>
    <d v="2025-05-07T00:00:00"/>
    <s v="Legal"/>
    <s v="Contracts Manager"/>
    <n v="11.3"/>
    <s v="Active"/>
    <x v="1"/>
    <s v="Q2"/>
    <n v="2025"/>
  </r>
  <r>
    <s v="EMP0015"/>
    <s v="CAN0950"/>
    <s v="JOB034"/>
    <d v="2025-08-11T00:00:00"/>
    <s v="Finance"/>
    <s v="Accounts Payable Specialist"/>
    <n v="16.3"/>
    <s v="Active"/>
    <x v="2"/>
    <s v="Q3"/>
    <n v="2025"/>
  </r>
  <r>
    <s v="EMP0016"/>
    <s v="CAN0067"/>
    <s v="JOB003"/>
    <d v="2025-11-17T00:00:00"/>
    <s v="Data Analytics"/>
    <s v="Data Analyst"/>
    <n v="22.6"/>
    <s v="Probation"/>
    <x v="0"/>
    <s v="Q4"/>
    <n v="2025"/>
  </r>
  <r>
    <s v="EMP0017"/>
    <s v="CAN0644"/>
    <s v="JOB003"/>
    <d v="2025-11-06T00:00:00"/>
    <s v="Data Analytics"/>
    <s v="Data Analyst"/>
    <n v="7.2"/>
    <s v="Probation"/>
    <x v="0"/>
    <s v="Q4"/>
    <n v="2025"/>
  </r>
  <r>
    <s v="EMP0018"/>
    <s v="CAN1069"/>
    <s v="JOB022"/>
    <d v="2025-08-28T00:00:00"/>
    <s v="Data Science"/>
    <s v="Data Science Lead"/>
    <n v="12.8"/>
    <s v="Probation"/>
    <x v="2"/>
    <s v="Q3"/>
    <n v="2025"/>
  </r>
  <r>
    <s v="EMP0019"/>
    <s v="CAN0216"/>
    <s v="JOB026"/>
    <d v="2025-08-02T00:00:00"/>
    <s v="Data Analytics"/>
    <s v="Senior Data Analyst"/>
    <n v="4.2"/>
    <s v="Probation"/>
    <x v="2"/>
    <s v="Q3"/>
    <n v="2025"/>
  </r>
  <r>
    <s v="EMP0020"/>
    <s v="CAN0316"/>
    <s v="JOB044"/>
    <d v="2025-05-09T00:00:00"/>
    <s v="Customer Support"/>
    <s v="Chat Support Associate"/>
    <n v="11.3"/>
    <s v="Probation"/>
    <x v="1"/>
    <s v="Q2"/>
    <n v="2025"/>
  </r>
  <r>
    <s v="EMP0021"/>
    <s v="CAN0027"/>
    <s v="JOB027"/>
    <d v="2025-06-15T00:00:00"/>
    <s v="Sales"/>
    <s v="Sales Executive"/>
    <n v="20.3"/>
    <s v="Left"/>
    <x v="8"/>
    <s v="Q2"/>
    <n v="2025"/>
  </r>
  <r>
    <s v="EMP0022"/>
    <s v="CAN0011"/>
    <s v="JOB010"/>
    <d v="2025-09-25T00:00:00"/>
    <s v="Sales"/>
    <s v="Inside Sales Rep"/>
    <n v="15.9"/>
    <m/>
    <x v="9"/>
    <s v="Q3"/>
    <n v="2025"/>
  </r>
  <r>
    <s v="EMP0023"/>
    <s v="CAN0858"/>
    <s v="JOB036"/>
    <d v="2025-08-14T00:00:00"/>
    <s v="Marketing"/>
    <s v="Digital Marketing Specialist"/>
    <n v="7.2"/>
    <s v="Active"/>
    <x v="2"/>
    <s v="Q3"/>
    <n v="2025"/>
  </r>
  <r>
    <s v="EMP0024"/>
    <s v="CAN0258"/>
    <s v="JOB017"/>
    <d v="2025-07-31T00:00:00"/>
    <s v="Sales"/>
    <s v="Business Development Executive"/>
    <n v="31.2"/>
    <s v="Active"/>
    <x v="5"/>
    <s v="Q3"/>
    <n v="2025"/>
  </r>
  <r>
    <s v="EMP0025"/>
    <s v="CAN0280"/>
    <s v="JOB027"/>
    <d v="2025-06-27T00:00:00"/>
    <s v="Sales"/>
    <s v="Sales Executive"/>
    <n v="5"/>
    <s v="Active"/>
    <x v="8"/>
    <s v="Q2"/>
    <n v="2025"/>
  </r>
  <r>
    <s v="EMP0026"/>
    <s v="CAN0815"/>
    <s v="JOB019"/>
    <d v="2025-05-23T00:00:00"/>
    <s v="Customer Support"/>
    <s v="Chat Support Associate"/>
    <n v="10.1"/>
    <s v="Active"/>
    <x v="1"/>
    <s v="Q2"/>
    <n v="2025"/>
  </r>
  <r>
    <s v="EMP0027"/>
    <s v="CAN0511"/>
    <s v="JOB032"/>
    <d v="2025-08-02T00:00:00"/>
    <s v="Sales"/>
    <s v="Inside Sales Rep"/>
    <n v="11"/>
    <s v="Active"/>
    <x v="2"/>
    <s v="Q3"/>
    <n v="2025"/>
  </r>
  <r>
    <s v="EMP0028"/>
    <s v="CAN0456"/>
    <s v="JOB041"/>
    <d v="2025-10-24T00:00:00"/>
    <s v="Data Analytics"/>
    <s v="Reporting Analyst"/>
    <n v="23"/>
    <s v="Probation"/>
    <x v="3"/>
    <s v="Q4"/>
    <n v="2025"/>
  </r>
  <r>
    <s v="EMP0029"/>
    <s v="CAN0464"/>
    <s v="JOB017"/>
    <d v="2025-08-07T00:00:00"/>
    <s v="Sales"/>
    <s v="Business Development Executive"/>
    <n v="7.9"/>
    <s v="Active"/>
    <x v="2"/>
    <s v="Q3"/>
    <n v="2025"/>
  </r>
  <r>
    <s v="EMP0030"/>
    <s v="CAN0410"/>
    <s v="JOB019"/>
    <d v="2025-05-14T00:00:00"/>
    <s v="Customer Support"/>
    <s v="Chat Support Associate"/>
    <n v="14.6"/>
    <s v="Active"/>
    <x v="1"/>
    <s v="Q2"/>
    <n v="2025"/>
  </r>
  <r>
    <s v="EMP0031"/>
    <s v="CAN1156"/>
    <s v="JOB036"/>
    <d v="2025-09-29T00:00:00"/>
    <s v="Marketing"/>
    <s v="Digital Marketing Specialist"/>
    <n v="9.1"/>
    <s v="Left"/>
    <x v="9"/>
    <s v="Q3"/>
    <n v="2025"/>
  </r>
  <r>
    <s v="EMP0032"/>
    <s v="CAN0628"/>
    <s v="JOB034"/>
    <d v="2025-07-03T00:00:00"/>
    <s v="Finance"/>
    <s v="Accounts Payable Specialist"/>
    <n v="3.5"/>
    <s v="Active"/>
    <x v="5"/>
    <s v="Q3"/>
    <n v="2025"/>
  </r>
  <r>
    <s v="EMP0033"/>
    <s v="CAN0781"/>
    <s v="JOB011"/>
    <d v="2025-07-22T00:00:00"/>
    <s v="IT"/>
    <s v="QA Engineer"/>
    <n v="11"/>
    <s v="Active"/>
    <x v="5"/>
    <s v="Q3"/>
    <n v="2025"/>
  </r>
  <r>
    <s v="EMP0034"/>
    <s v="CAN0116"/>
    <s v="JOB012"/>
    <d v="2025-11-24T00:00:00"/>
    <s v="IT"/>
    <s v="System Administrator"/>
    <n v="6.3"/>
    <s v="Active"/>
    <x v="0"/>
    <s v="Q4"/>
    <n v="2025"/>
  </r>
  <r>
    <s v="EMP0035"/>
    <s v="CAN0908"/>
    <s v="JOB042"/>
    <d v="2025-04-19T00:00:00"/>
    <s v="Data Analytics"/>
    <s v="Data Analyst"/>
    <n v="16.7"/>
    <s v="Probation"/>
    <x v="4"/>
    <s v="Q2"/>
    <n v="2025"/>
  </r>
  <r>
    <s v="EMP0036"/>
    <s v="CAN0141"/>
    <s v="JOB031"/>
    <d v="2025-04-07T00:00:00"/>
    <s v="IT"/>
    <s v="System Administrator"/>
    <n v="16.2"/>
    <s v="Active"/>
    <x v="4"/>
    <s v="Q2"/>
    <n v="2025"/>
  </r>
  <r>
    <s v="EMP0037"/>
    <s v="CAN0953"/>
    <s v="JOB031"/>
    <d v="2025-04-04T00:00:00"/>
    <s v="IT"/>
    <s v="System Administrator"/>
    <n v="11.5"/>
    <s v="Left"/>
    <x v="4"/>
    <s v="Q2"/>
    <n v="2025"/>
  </r>
  <r>
    <s v="EMP0038"/>
    <s v="CAN0821"/>
    <s v="JOB032"/>
    <d v="2025-07-08T00:00:00"/>
    <s v="Sales"/>
    <s v="Inside Sales Rep"/>
    <n v="20.7"/>
    <s v="Active"/>
    <x v="5"/>
    <s v="Q3"/>
    <n v="2025"/>
  </r>
  <r>
    <s v="EMP0039"/>
    <s v="CAN1070"/>
    <s v="JOB046"/>
    <d v="2025-10-31T00:00:00"/>
    <s v="HR"/>
    <s v="Talent Acquisition Specialist"/>
    <n v="17.7"/>
    <s v="Probation"/>
    <x v="3"/>
    <s v="Q4"/>
    <n v="2025"/>
  </r>
  <r>
    <s v="EMP0040"/>
    <s v="CAN0647"/>
    <s v="JOB022"/>
    <d v="2025-09-14T00:00:00"/>
    <s v="Data Science"/>
    <s v="Data Science Lead"/>
    <n v="13.1"/>
    <s v="Active"/>
    <x v="9"/>
    <s v="Q3"/>
    <n v="2025"/>
  </r>
  <r>
    <s v="EMP0041"/>
    <s v="CAN0512"/>
    <s v="JOB007"/>
    <d v="2025-07-30T00:00:00"/>
    <s v="Data Analytics"/>
    <s v="Data Analyst"/>
    <n v="6.2"/>
    <s v="Probation"/>
    <x v="5"/>
    <s v="Q3"/>
    <n v="2025"/>
  </r>
  <r>
    <s v="EMP0042"/>
    <s v="CAN0466"/>
    <s v="JOB004"/>
    <d v="2025-07-24T00:00:00"/>
    <s v="Sales"/>
    <s v="Sales Manager"/>
    <n v="8"/>
    <s v="Probation"/>
    <x v="5"/>
    <s v="Q3"/>
    <n v="2025"/>
  </r>
  <r>
    <s v="EMP0043"/>
    <s v="CAN0428"/>
    <s v="JOB033"/>
    <d v="2025-12-09T00:00:00"/>
    <s v="Data Analytics"/>
    <s v="Reporting Analyst"/>
    <n v="12.3"/>
    <s v="Probation"/>
    <x v="7"/>
    <s v="Q4"/>
    <n v="2025"/>
  </r>
  <r>
    <s v="EMP0044"/>
    <s v="CAN1090"/>
    <s v="JOB036"/>
    <d v="2025-08-24T00:00:00"/>
    <s v="Marketing"/>
    <s v="Digital Marketing Specialist"/>
    <n v="9.6"/>
    <s v="Active"/>
    <x v="2"/>
    <s v="Q3"/>
    <n v="2025"/>
  </r>
  <r>
    <s v="EMP0045"/>
    <s v="CAN0530"/>
    <s v="JOB016"/>
    <d v="2025-05-01T00:00:00"/>
    <s v="Data Science"/>
    <s v="NLP Engineer"/>
    <n v="16.8"/>
    <s v="Active"/>
    <x v="1"/>
    <s v="Q2"/>
    <n v="2025"/>
  </r>
  <r>
    <s v="EMP0046"/>
    <s v="CAN0576"/>
    <s v="JOB042"/>
    <d v="2025-04-14T00:00:00"/>
    <s v="Data Analytics"/>
    <s v="Data Analyst"/>
    <n v="15.3"/>
    <s v="Active"/>
    <x v="4"/>
    <s v="Q2"/>
    <n v="2025"/>
  </r>
  <r>
    <s v="EMP0047"/>
    <s v="CAN0947"/>
    <s v="JOB031"/>
    <d v="2025-04-08T00:00:00"/>
    <s v="IT"/>
    <s v="System Administrator"/>
    <n v="24"/>
    <s v="Probation"/>
    <x v="4"/>
    <s v="Q2"/>
    <n v="2025"/>
  </r>
  <r>
    <s v="EMP0048"/>
    <s v="CAN0960"/>
    <s v="JOB036"/>
    <d v="2025-09-02T00:00:00"/>
    <s v="Marketing"/>
    <s v="Digital Marketing Specialist"/>
    <n v="6.3"/>
    <s v="Active"/>
    <x v="9"/>
    <s v="Q3"/>
    <n v="2025"/>
  </r>
  <r>
    <s v="EMP0049"/>
    <s v="CAN0823"/>
    <s v="JOB037"/>
    <d v="2025-06-30T00:00:00"/>
    <s v="Customer Support"/>
    <s v="CS Manager"/>
    <n v="13.2"/>
    <s v="Active"/>
    <x v="8"/>
    <s v="Q2"/>
    <n v="2025"/>
  </r>
  <r>
    <s v="EMP0050"/>
    <s v="CAN1161"/>
    <s v="JOB032"/>
    <d v="2025-08-13T00:00:00"/>
    <s v="Sales"/>
    <s v="Inside Sales Rep"/>
    <n v="3.7"/>
    <s v="Active"/>
    <x v="2"/>
    <s v="Q3"/>
    <n v="2025"/>
  </r>
  <r>
    <s v="EMP0051"/>
    <s v="CAN1174"/>
    <s v="JOB043"/>
    <d v="2025-12-12T00:00:00"/>
    <s v="Data Analytics"/>
    <s v="Senior Data Analyst"/>
    <n v="10"/>
    <s v="Active"/>
    <x v="7"/>
    <s v="Q4"/>
    <n v="2025"/>
  </r>
  <r>
    <s v="EMP0052"/>
    <s v="CAN0851"/>
    <s v="JOB042"/>
    <d v="2025-04-19T00:00:00"/>
    <s v="Data Analytics"/>
    <s v="Data Analyst"/>
    <n v="11.1"/>
    <s v="Probation"/>
    <x v="4"/>
    <s v="Q2"/>
    <n v="2025"/>
  </r>
  <r>
    <s v="EMP0053"/>
    <s v="CAN0468"/>
    <s v="JOB035"/>
    <d v="2025-04-21T00:00:00"/>
    <s v="Customer Support"/>
    <s v="Support Team Lead"/>
    <n v="23.7"/>
    <s v="Active"/>
    <x v="4"/>
    <s v="Q2"/>
    <n v="2025"/>
  </r>
  <r>
    <s v="EMP0054"/>
    <s v="CAN0927"/>
    <s v="JOB027"/>
    <d v="2025-05-25T00:00:00"/>
    <s v="Sales"/>
    <s v="Sales Executive"/>
    <n v="12.8"/>
    <s v="Left"/>
    <x v="1"/>
    <s v="Q2"/>
    <n v="2025"/>
  </r>
  <r>
    <s v="EMP0055"/>
    <s v="CAN0235"/>
    <s v="JOB043"/>
    <d v="2025-12-12T00:00:00"/>
    <s v="Data Analytics"/>
    <s v="Senior Data Analyst"/>
    <n v="7.6"/>
    <s v="Probation"/>
    <x v="7"/>
    <s v="Q4"/>
    <n v="2025"/>
  </r>
  <r>
    <s v="EMP0056"/>
    <s v="CAN0828"/>
    <s v="JOB038"/>
    <d v="2025-08-12T00:00:00"/>
    <s v="Marketing"/>
    <s v="SEO Specialist"/>
    <n v="14.1"/>
    <s v="Active"/>
    <x v="2"/>
    <s v="Q3"/>
    <n v="2025"/>
  </r>
  <r>
    <s v="EMP0057"/>
    <s v="CAN0984"/>
    <s v="JOB047"/>
    <d v="2025-08-04T00:00:00"/>
    <s v="Customer Support"/>
    <s v="Customer Support Executive"/>
    <n v="16.8"/>
    <s v="Active"/>
    <x v="2"/>
    <s v="Q3"/>
    <n v="2025"/>
  </r>
  <r>
    <s v="EMP0058"/>
    <s v="CAN0278"/>
    <s v="JOB050"/>
    <d v="2025-02-22T00:00:00"/>
    <s v="Finance"/>
    <s v="Accounts Executive"/>
    <n v="13.4"/>
    <s v="Probation"/>
    <x v="10"/>
    <s v="Q1"/>
    <n v="2025"/>
  </r>
  <r>
    <s v="EMP0059"/>
    <s v="CAN0729"/>
    <s v="JOB008"/>
    <d v="2025-09-19T00:00:00"/>
    <s v="Legal"/>
    <s v="Legal Counsel"/>
    <n v="8.8000000000000007"/>
    <s v="Active"/>
    <x v="9"/>
    <s v="Q3"/>
    <n v="2025"/>
  </r>
  <r>
    <s v="EMP0060"/>
    <s v="CAN1190"/>
    <s v="JOB026"/>
    <d v="2025-08-15T00:00:00"/>
    <s v="Data Analytics"/>
    <s v="Senior Data Analyst"/>
    <n v="20.100000000000001"/>
    <s v="Left"/>
    <x v="2"/>
    <s v="Q3"/>
    <n v="2025"/>
  </r>
  <r>
    <s v="EMP0061"/>
    <s v="CAN0974"/>
    <s v="JOB006"/>
    <d v="2025-12-18T00:00:00"/>
    <s v="Sales"/>
    <s v="Sales Executive"/>
    <n v="7.8"/>
    <s v="Probation"/>
    <x v="7"/>
    <s v="Q4"/>
    <n v="2025"/>
  </r>
  <r>
    <s v="EMP0062"/>
    <s v="CAN0034"/>
    <s v="JOB016"/>
    <d v="2025-04-10T00:00:00"/>
    <s v="Data Science"/>
    <s v="NLP Engineer"/>
    <n v="3.9"/>
    <s v="Active"/>
    <x v="4"/>
    <s v="Q2"/>
    <n v="2025"/>
  </r>
  <r>
    <s v="EMP0063"/>
    <s v="CAN0300"/>
    <s v="JOB027"/>
    <d v="2025-06-15T00:00:00"/>
    <s v="Sales"/>
    <s v="Sales Executive"/>
    <n v="14.1"/>
    <s v="Probation"/>
    <x v="8"/>
    <s v="Q2"/>
    <n v="2025"/>
  </r>
  <r>
    <s v="EMP0064"/>
    <s v="CAN0987"/>
    <s v="JOB028"/>
    <d v="2025-07-16T00:00:00"/>
    <s v="Data Science"/>
    <s v="Senior Data Scientist"/>
    <n v="22.1"/>
    <s v="Active"/>
    <x v="5"/>
    <s v="Q3"/>
    <n v="2025"/>
  </r>
  <r>
    <s v="EMP0065"/>
    <s v="CAN0311"/>
    <s v="JOB010"/>
    <d v="2025-10-21T00:00:00"/>
    <s v="Sales"/>
    <s v="Inside Sales Rep"/>
    <n v="4.5"/>
    <s v="Probation"/>
    <x v="3"/>
    <s v="Q4"/>
    <n v="2025"/>
  </r>
  <r>
    <s v="EMP0066"/>
    <s v="CAN0013"/>
    <s v="JOB003"/>
    <d v="2025-11-01T00:00:00"/>
    <s v="Data Analytics"/>
    <s v="Data Analyst"/>
    <n v="15"/>
    <s v="Probation"/>
    <x v="0"/>
    <s v="Q4"/>
    <n v="2025"/>
  </r>
  <r>
    <s v="EMP0067"/>
    <s v="CAN0331"/>
    <s v="JOB041"/>
    <d v="2025-11-30T00:00:00"/>
    <s v="Data Analytics"/>
    <s v="Reporting Analyst"/>
    <n v="4.9000000000000004"/>
    <s v="Probation"/>
    <x v="0"/>
    <s v="Q4"/>
    <n v="2025"/>
  </r>
  <r>
    <s v="EMP0068"/>
    <s v="CAN0368"/>
    <s v="JOB035"/>
    <d v="2025-03-29T00:00:00"/>
    <s v="Customer Support"/>
    <s v="Support Team Lead"/>
    <n v="10.199999999999999"/>
    <s v="Active"/>
    <x v="6"/>
    <s v="Q1"/>
    <n v="2025"/>
  </r>
  <r>
    <s v="EMP0069"/>
    <s v="CAN0905"/>
    <s v="JOB041"/>
    <d v="2025-11-08T00:00:00"/>
    <s v="Data Analytics"/>
    <s v="Reporting Analyst"/>
    <n v="7.5"/>
    <s v="Active"/>
    <x v="0"/>
    <s v="Q4"/>
    <n v="2025"/>
  </r>
  <r>
    <s v="EMP0070"/>
    <s v="CAN0068"/>
    <s v="JOB010"/>
    <d v="2025-09-16T00:00:00"/>
    <s v="Sales"/>
    <s v="Inside Sales Rep"/>
    <n v="8.9"/>
    <s v="Active"/>
    <x v="9"/>
    <s v="Q3"/>
    <n v="2025"/>
  </r>
  <r>
    <s v="EMP0071"/>
    <s v="CAN0117"/>
    <s v="JOB022"/>
    <d v="2025-08-19T00:00:00"/>
    <s v="Data Science"/>
    <s v="Data Science Lead"/>
    <n v="17.7"/>
    <s v="Active"/>
    <x v="2"/>
    <s v="Q3"/>
    <n v="2025"/>
  </r>
  <r>
    <s v="EMP0072"/>
    <s v="CAN0719"/>
    <s v="JOB042"/>
    <d v="2025-05-08T00:00:00"/>
    <s v="Data Analytics"/>
    <s v="Data Analyst"/>
    <n v="19.899999999999999"/>
    <s v="Active"/>
    <x v="1"/>
    <s v="Q2"/>
    <n v="2025"/>
  </r>
  <r>
    <s v="EMP0073"/>
    <s v="CAN0194"/>
    <s v="JOB024"/>
    <d v="2025-06-10T00:00:00"/>
    <s v="Operations"/>
    <s v="Operations Executive"/>
    <n v="13.9"/>
    <s v="Active"/>
    <x v="8"/>
    <s v="Q2"/>
    <n v="2025"/>
  </r>
  <r>
    <s v="EMP0074"/>
    <s v="CAN1121"/>
    <s v="JOB031"/>
    <d v="2025-04-11T00:00:00"/>
    <s v="IT"/>
    <s v="System Administrator"/>
    <n v="20.3"/>
    <s v="Active"/>
    <x v="4"/>
    <s v="Q2"/>
    <n v="2025"/>
  </r>
  <r>
    <s v="EMP0075"/>
    <s v="CAN0259"/>
    <s v="JOB017"/>
    <d v="2025-08-02T00:00:00"/>
    <s v="Sales"/>
    <s v="Business Development Executive"/>
    <n v="4.9000000000000004"/>
    <s v="Active"/>
    <x v="2"/>
    <s v="Q3"/>
    <n v="2025"/>
  </r>
  <r>
    <s v="EMP0076"/>
    <s v="CAN0099"/>
    <s v="JOB043"/>
    <d v="2025-12-09T00:00:00"/>
    <s v="Data Analytics"/>
    <s v="Senior Data Analyst"/>
    <n v="5.7"/>
    <s v="Probation"/>
    <x v="7"/>
    <s v="Q4"/>
    <n v="2025"/>
  </r>
  <r>
    <s v="EMP0077"/>
    <s v="CAN0229"/>
    <s v="JOB033"/>
    <d v="2025-11-04T00:00:00"/>
    <s v="Data Analytics"/>
    <s v="Reporting Analyst"/>
    <n v="14.3"/>
    <s v="Left"/>
    <x v="0"/>
    <s v="Q4"/>
    <n v="2025"/>
  </r>
  <r>
    <s v="EMP0078"/>
    <s v="CAN0191"/>
    <s v="JOB042"/>
    <d v="2025-04-02T00:00:00"/>
    <s v="Data Analytics"/>
    <s v="Data Analyst"/>
    <n v="14.4"/>
    <s v="Active"/>
    <x v="4"/>
    <s v="Q2"/>
    <n v="2025"/>
  </r>
  <r>
    <s v="EMP0079"/>
    <s v="CAN0050"/>
    <s v="JOB013"/>
    <d v="2025-12-31T00:00:00"/>
    <s v="Data Analytics"/>
    <s v="Analytics Manager"/>
    <n v="13.8"/>
    <s v="Active"/>
    <x v="7"/>
    <s v="Q4"/>
    <n v="2025"/>
  </r>
  <r>
    <s v="EMP0080"/>
    <s v="CAN0386"/>
    <s v="JOB023"/>
    <d v="2025-01-31T00:00:00"/>
    <s v="Data Analytics"/>
    <s v="Reporting Analyst"/>
    <n v="4.5999999999999996"/>
    <s v="Active"/>
    <x v="11"/>
    <s v="Q1"/>
    <n v="2025"/>
  </r>
  <r>
    <s v="EMP0081"/>
    <s v="CAN0783"/>
    <s v="JOB050"/>
    <d v="2025-03-04T00:00:00"/>
    <s v="Finance"/>
    <s v="Accounts Executive"/>
    <n v="10.8"/>
    <s v="Probation"/>
    <x v="6"/>
    <s v="Q1"/>
    <n v="2025"/>
  </r>
  <r>
    <s v="EMP0082"/>
    <s v="CAN0802"/>
    <s v="JOB028"/>
    <d v="2025-06-23T00:00:00"/>
    <s v="Data Science"/>
    <s v="Senior Data Scientist"/>
    <n v="5.2"/>
    <m/>
    <x v="8"/>
    <s v="Q2"/>
    <n v="2025"/>
  </r>
  <r>
    <s v="EMP0083"/>
    <s v="CAN0179"/>
    <s v="JOB021"/>
    <d v="2025-07-17T00:00:00"/>
    <s v="IT"/>
    <s v="System Administrator"/>
    <n v="20.8"/>
    <s v="Active"/>
    <x v="5"/>
    <s v="Q3"/>
    <n v="2025"/>
  </r>
  <r>
    <s v="EMP0084"/>
    <s v="CAN0857"/>
    <s v="JOB037"/>
    <d v="2025-06-15T00:00:00"/>
    <s v="Customer Support"/>
    <s v="CS Manager"/>
    <n v="7.8"/>
    <s v="Active"/>
    <x v="8"/>
    <s v="Q2"/>
    <n v="2025"/>
  </r>
  <r>
    <s v="EMP0085"/>
    <s v="CAN1140"/>
    <s v="JOB029"/>
    <d v="2025-10-01T00:00:00"/>
    <s v="IT"/>
    <s v="Software Engineer"/>
    <n v="13.5"/>
    <s v="Active"/>
    <x v="3"/>
    <s v="Q4"/>
    <n v="2025"/>
  </r>
  <r>
    <s v="EMP0086"/>
    <s v="CAN0958"/>
    <s v="JOB016"/>
    <d v="2025-05-03T00:00:00"/>
    <s v="Data Science"/>
    <s v="NLP Engineer"/>
    <n v="9.1"/>
    <s v="Probation"/>
    <x v="1"/>
    <s v="Q2"/>
    <n v="2025"/>
  </r>
  <r>
    <s v="EMP0087"/>
    <s v="CAN0176"/>
    <s v="JOB018"/>
    <d v="2025-05-13T00:00:00"/>
    <s v="Sales"/>
    <s v="Account Executive"/>
    <n v="5.2"/>
    <s v="Active"/>
    <x v="1"/>
    <s v="Q2"/>
    <n v="2025"/>
  </r>
  <r>
    <s v="EMP0088"/>
    <s v="CAN0742"/>
    <s v="JOB019"/>
    <d v="2025-06-01T00:00:00"/>
    <s v="Customer Support"/>
    <s v="Chat Support Associate"/>
    <n v="10.8"/>
    <s v="Active"/>
    <x v="8"/>
    <s v="Q2"/>
    <n v="2025"/>
  </r>
  <r>
    <s v="EMP0089"/>
    <s v="CAN1162"/>
    <s v="JOB008"/>
    <d v="2025-09-05T00:00:00"/>
    <s v="Legal"/>
    <s v="Legal Counsel"/>
    <n v="11.1"/>
    <s v="Active"/>
    <x v="9"/>
    <s v="Q3"/>
    <n v="2025"/>
  </r>
  <r>
    <s v="EMP0090"/>
    <s v="CAN0096"/>
    <s v="JOB008"/>
    <d v="2025-08-09T00:00:00"/>
    <s v="Legal"/>
    <s v="Legal Counsel"/>
    <n v="27.3"/>
    <s v="Probation"/>
    <x v="2"/>
    <s v="Q3"/>
    <n v="2025"/>
  </r>
  <r>
    <s v="EMP0091"/>
    <s v="CAN0470"/>
    <s v="JOB023"/>
    <d v="2025-02-24T00:00:00"/>
    <s v="Data Analytics"/>
    <s v="Reporting Analyst"/>
    <n v="16.600000000000001"/>
    <s v="Active"/>
    <x v="10"/>
    <s v="Q1"/>
    <n v="2025"/>
  </r>
  <r>
    <s v="EMP0092"/>
    <s v="CAN0537"/>
    <s v="JOB007"/>
    <d v="2025-07-20T00:00:00"/>
    <s v="Data Analytics"/>
    <s v="Data Analyst"/>
    <n v="14.4"/>
    <s v="Active"/>
    <x v="5"/>
    <s v="Q3"/>
    <n v="2025"/>
  </r>
  <r>
    <s v="EMP0093"/>
    <s v="CAN0625"/>
    <s v="JOB019"/>
    <d v="2025-05-24T00:00:00"/>
    <s v="Customer Support"/>
    <s v="Chat Support Associate"/>
    <n v="10.199999999999999"/>
    <s v="Active"/>
    <x v="1"/>
    <s v="Q2"/>
    <n v="2025"/>
  </r>
  <r>
    <s v="EMP0094"/>
    <s v="CAN0120"/>
    <s v="JOB024"/>
    <d v="2025-05-13T00:00:00"/>
    <s v="Operations"/>
    <s v="Operations Executive"/>
    <n v="3.2"/>
    <s v="Probation"/>
    <x v="1"/>
    <s v="Q2"/>
    <n v="2025"/>
  </r>
  <r>
    <s v="EMP0095"/>
    <s v="CAN0923"/>
    <s v="JOB016"/>
    <d v="2025-04-07T00:00:00"/>
    <s v="Data Science"/>
    <s v="NLP Engineer"/>
    <n v="43.9"/>
    <s v="Active"/>
    <x v="4"/>
    <s v="Q2"/>
    <n v="2025"/>
  </r>
  <r>
    <s v="EMP0096"/>
    <s v="CAN0008"/>
    <s v="JOB013"/>
    <d v="2025-11-22T00:00:00"/>
    <s v="Data Analytics"/>
    <s v="Analytics Manager"/>
    <n v="16.100000000000001"/>
    <s v="Probation"/>
    <x v="0"/>
    <s v="Q4"/>
    <n v="2025"/>
  </r>
  <r>
    <s v="EMP0097"/>
    <s v="CAN0072"/>
    <s v="JOB023"/>
    <d v="2025-02-04T00:00:00"/>
    <s v="Data Analytics"/>
    <s v="Reporting Analyst"/>
    <n v="4.5999999999999996"/>
    <s v="Left"/>
    <x v="10"/>
    <s v="Q1"/>
    <n v="2025"/>
  </r>
  <r>
    <s v="EMP0098"/>
    <s v="CAN0979"/>
    <s v="JOB039"/>
    <d v="2025-04-03T00:00:00"/>
    <s v="Sales"/>
    <s v="Business Development Executive"/>
    <n v="12.4"/>
    <s v="Active"/>
    <x v="4"/>
    <s v="Q2"/>
    <n v="2025"/>
  </r>
  <r>
    <s v="EMP0099"/>
    <s v="CAN0126"/>
    <s v="JOB036"/>
    <d v="2025-09-08T00:00:00"/>
    <s v="Marketing"/>
    <s v="Digital Marketing Specialist"/>
    <n v="11.5"/>
    <s v="Active"/>
    <x v="9"/>
    <s v="Q3"/>
    <n v="2025"/>
  </r>
  <r>
    <s v="EMP0100"/>
    <s v="CAN0115"/>
    <s v="JOB035"/>
    <d v="2025-04-14T00:00:00"/>
    <s v="Customer Support"/>
    <s v="Support Team Lead"/>
    <n v="8.8000000000000007"/>
    <s v="Active"/>
    <x v="4"/>
    <s v="Q2"/>
    <n v="2025"/>
  </r>
  <r>
    <s v="EMP0101"/>
    <s v="CAN1067"/>
    <s v="JOB024"/>
    <d v="2025-05-07T00:00:00"/>
    <s v="Operations"/>
    <s v="Operations Executive"/>
    <n v="18.5"/>
    <s v="Active"/>
    <x v="1"/>
    <s v="Q2"/>
    <n v="2025"/>
  </r>
  <r>
    <s v="EMP0102"/>
    <s v="CAN0250"/>
    <s v="JOB002"/>
    <d v="2025-05-08T00:00:00"/>
    <s v="Data Analytics"/>
    <s v="BI Analyst"/>
    <n v="15"/>
    <s v="Active"/>
    <x v="1"/>
    <s v="Q2"/>
    <n v="2025"/>
  </r>
  <r>
    <s v="EMP0103"/>
    <s v="CAN0411"/>
    <s v="JOB004"/>
    <d v="2025-07-20T00:00:00"/>
    <s v="Sales"/>
    <s v="Sales Manager"/>
    <n v="21.6"/>
    <s v="Left"/>
    <x v="5"/>
    <s v="Q3"/>
    <n v="2025"/>
  </r>
  <r>
    <s v="EMP0104"/>
    <s v="CAN0675"/>
    <s v="JOB014"/>
    <d v="2025-09-28T00:00:00"/>
    <s v="Marketing"/>
    <s v="Marketing Executive"/>
    <n v="19.3"/>
    <s v="Left"/>
    <x v="9"/>
    <s v="Q3"/>
    <n v="2025"/>
  </r>
  <r>
    <s v="EMP0105"/>
    <s v="CAN1062"/>
    <s v="JOB042"/>
    <d v="2025-04-20T00:00:00"/>
    <s v="Data Analytics"/>
    <s v="Data Analyst"/>
    <n v="10.9"/>
    <s v="Active"/>
    <x v="4"/>
    <s v="Q2"/>
    <n v="2025"/>
  </r>
  <r>
    <s v="EMP0106"/>
    <s v="CAN0844"/>
    <s v="JOB002"/>
    <d v="2025-04-15T00:00:00"/>
    <s v="Data Analytics"/>
    <s v="BI Analyst"/>
    <n v="11"/>
    <s v="Active"/>
    <x v="4"/>
    <s v="Q2"/>
    <n v="2025"/>
  </r>
  <r>
    <s v="EMP0107"/>
    <s v="CAN1194"/>
    <s v="JOB036"/>
    <d v="2025-09-10T00:00:00"/>
    <s v="Marketing"/>
    <s v="Digital Marketing Specialist"/>
    <n v="9.3000000000000007"/>
    <s v="Active"/>
    <x v="9"/>
    <s v="Q3"/>
    <n v="2025"/>
  </r>
  <r>
    <s v="EMP0108"/>
    <s v="CAN0477"/>
    <s v="JOB016"/>
    <d v="2025-05-12T00:00:00"/>
    <s v="Data Science"/>
    <s v="NLP Engineer"/>
    <n v="24.2"/>
    <s v="Active"/>
    <x v="1"/>
    <s v="Q2"/>
    <n v="2025"/>
  </r>
  <r>
    <s v="EMP0109"/>
    <s v="CAN0850"/>
    <s v="JOB003"/>
    <d v="2025-10-28T00:00:00"/>
    <s v="Data Analytics"/>
    <s v="Data Analyst"/>
    <n v="19.399999999999999"/>
    <s v="Active"/>
    <x v="3"/>
    <s v="Q4"/>
    <n v="2025"/>
  </r>
  <r>
    <s v="EMP0110"/>
    <s v="CAN0738"/>
    <s v="JOB012"/>
    <d v="2025-12-16T00:00:00"/>
    <s v="IT"/>
    <s v="System Administrator"/>
    <n v="6.7"/>
    <s v="Probation"/>
    <x v="7"/>
    <s v="Q4"/>
    <n v="2025"/>
  </r>
  <r>
    <s v="EMP0111"/>
    <s v="CAN0338"/>
    <s v="JOB010"/>
    <d v="2025-09-24T00:00:00"/>
    <s v="Sales"/>
    <s v="Inside Sales Rep"/>
    <n v="16.8"/>
    <s v="Probation"/>
    <x v="9"/>
    <s v="Q3"/>
    <n v="2025"/>
  </r>
  <r>
    <s v="EMP0112"/>
    <s v="CAN0663"/>
    <s v="JOB010"/>
    <d v="2025-09-05T00:00:00"/>
    <s v="Sales"/>
    <s v="Inside Sales Rep"/>
    <n v="26"/>
    <s v="Active"/>
    <x v="9"/>
    <s v="Q3"/>
    <n v="2025"/>
  </r>
  <r>
    <s v="EMP0113"/>
    <s v="CAN0860"/>
    <s v="JOB013"/>
    <d v="2025-12-14T00:00:00"/>
    <s v="Data Analytics"/>
    <s v="Analytics Manager"/>
    <n v="13.8"/>
    <s v="Probation"/>
    <x v="7"/>
    <s v="Q4"/>
    <n v="2025"/>
  </r>
  <r>
    <s v="EMP0114"/>
    <s v="CAN0938"/>
    <s v="JOB027"/>
    <d v="2025-06-04T00:00:00"/>
    <s v="Sales"/>
    <s v="Sales Executive"/>
    <n v="16.5"/>
    <s v="Active"/>
    <x v="8"/>
    <s v="Q2"/>
    <n v="2025"/>
  </r>
  <r>
    <s v="EMP0115"/>
    <s v="CAN0196"/>
    <s v="JOB007"/>
    <d v="2025-08-07T00:00:00"/>
    <s v="Data Analytics"/>
    <s v="Data Analyst"/>
    <n v="12.3"/>
    <s v="Probation"/>
    <x v="2"/>
    <s v="Q3"/>
    <n v="2025"/>
  </r>
  <r>
    <s v="EMP0116"/>
    <s v="CAN0916"/>
    <s v="JOB033"/>
    <d v="2025-11-10T00:00:00"/>
    <s v="Data Analytics"/>
    <s v="Reporting Analyst"/>
    <n v="6.8"/>
    <s v="Probation"/>
    <x v="0"/>
    <s v="Q4"/>
    <n v="2025"/>
  </r>
  <r>
    <s v="EMP0117"/>
    <s v="CAN0026"/>
    <s v="JOB040"/>
    <d v="2025-06-02T00:00:00"/>
    <s v="Customer Support"/>
    <s v="Support Team Lead"/>
    <n v="13.5"/>
    <s v="Active"/>
    <x v="8"/>
    <s v="Q2"/>
    <n v="2025"/>
  </r>
  <r>
    <s v="EMP0118"/>
    <s v="CAN0165"/>
    <s v="JOB019"/>
    <d v="2025-06-11T00:00:00"/>
    <s v="Customer Support"/>
    <s v="Chat Support Associate"/>
    <n v="15.9"/>
    <s v="Active"/>
    <x v="8"/>
    <s v="Q2"/>
    <n v="2025"/>
  </r>
  <r>
    <s v="EMP0119"/>
    <s v="CAN0069"/>
    <s v="JOB004"/>
    <d v="2025-07-10T00:00:00"/>
    <s v="Sales"/>
    <s v="Sales Manager"/>
    <n v="16.399999999999999"/>
    <s v="Active"/>
    <x v="5"/>
    <s v="Q3"/>
    <n v="2025"/>
  </r>
  <r>
    <s v="EMP0120"/>
    <s v="CAN0728"/>
    <s v="JOB038"/>
    <d v="2025-09-05T00:00:00"/>
    <s v="Marketing"/>
    <s v="SEO Specialist"/>
    <n v="7.1"/>
    <s v="Probation"/>
    <x v="9"/>
    <s v="Q3"/>
    <n v="2025"/>
  </r>
  <r>
    <s v="EMP0121"/>
    <s v="CAN1007"/>
    <s v="JOB013"/>
    <d v="2025-12-06T00:00:00"/>
    <s v="Data Analytics"/>
    <s v="Analytics Manager"/>
    <n v="4.5999999999999996"/>
    <s v="Probation"/>
    <x v="7"/>
    <s v="Q4"/>
    <n v="2025"/>
  </r>
  <r>
    <s v="EMP0122"/>
    <s v="CAN1136"/>
    <s v="JOB005"/>
    <d v="2025-08-16T00:00:00"/>
    <s v="Customer Support"/>
    <s v="CS Manager"/>
    <n v="20.2"/>
    <s v="Probation"/>
    <x v="2"/>
    <s v="Q3"/>
    <n v="2025"/>
  </r>
  <r>
    <s v="EMP0123"/>
    <s v="CAN0520"/>
    <s v="JOB015"/>
    <d v="2025-03-21T00:00:00"/>
    <s v="Finance"/>
    <s v="Finance Analyst"/>
    <n v="20.6"/>
    <s v="Active"/>
    <x v="6"/>
    <s v="Q1"/>
    <n v="2025"/>
  </r>
  <r>
    <s v="EMP0124"/>
    <s v="CAN0655"/>
    <s v="JOB017"/>
    <d v="2025-07-20T00:00:00"/>
    <s v="Sales"/>
    <s v="Business Development Executive"/>
    <n v="11.3"/>
    <s v="Active"/>
    <x v="5"/>
    <s v="Q3"/>
    <n v="2025"/>
  </r>
  <r>
    <s v="EMP0125"/>
    <s v="CAN0957"/>
    <s v="JOB013"/>
    <d v="2025-12-31T00:00:00"/>
    <s v="Data Analytics"/>
    <s v="Analytics Manager"/>
    <n v="10.199999999999999"/>
    <s v="Probation"/>
    <x v="7"/>
    <s v="Q4"/>
    <n v="2025"/>
  </r>
  <r>
    <s v="EMP0126"/>
    <s v="CAN0037"/>
    <s v="JOB008"/>
    <d v="2025-09-16T00:00:00"/>
    <s v="Legal"/>
    <s v="Legal Counsel"/>
    <n v="7.7"/>
    <s v="Active"/>
    <x v="9"/>
    <s v="Q3"/>
    <n v="2025"/>
  </r>
  <r>
    <s v="EMP0127"/>
    <s v="CAN0867"/>
    <s v="JOB024"/>
    <d v="2025-05-24T00:00:00"/>
    <s v="Operations"/>
    <s v="Operations Executive"/>
    <n v="8"/>
    <s v="Active"/>
    <x v="1"/>
    <s v="Q2"/>
    <n v="2025"/>
  </r>
  <r>
    <s v="EMP0128"/>
    <s v="CAN0924"/>
    <s v="JOB044"/>
    <d v="2025-05-16T00:00:00"/>
    <s v="Customer Support"/>
    <s v="Chat Support Associate"/>
    <n v="10.7"/>
    <s v="Probation"/>
    <x v="1"/>
    <s v="Q2"/>
    <n v="2025"/>
  </r>
  <r>
    <s v="EMP0129"/>
    <s v="CAN1038"/>
    <s v="JOB034"/>
    <d v="2025-08-04T00:00:00"/>
    <s v="Finance"/>
    <s v="Accounts Payable Specialist"/>
    <n v="28.7"/>
    <s v="Probation"/>
    <x v="2"/>
    <s v="Q3"/>
    <n v="2025"/>
  </r>
  <r>
    <s v="EMP0130"/>
    <s v="CAN0449"/>
    <s v="JOB047"/>
    <d v="2025-07-24T00:00:00"/>
    <s v="Customer Support"/>
    <s v="Customer Support Executive"/>
    <n v="15.9"/>
    <s v="Active"/>
    <x v="5"/>
    <s v="Q3"/>
    <n v="2025"/>
  </r>
  <r>
    <s v="EMP0131"/>
    <s v="CAN0047"/>
    <s v="JOB047"/>
    <d v="2025-08-04T00:00:00"/>
    <s v="Customer Support"/>
    <s v="Customer Support Executive"/>
    <n v="10.3"/>
    <s v="Active"/>
    <x v="2"/>
    <s v="Q3"/>
    <n v="2025"/>
  </r>
  <r>
    <s v="EMP0132"/>
    <s v="CAN1179"/>
    <s v="JOB013"/>
    <d v="2025-12-31T00:00:00"/>
    <s v="Data Analytics"/>
    <s v="Analytics Manager"/>
    <n v="10.5"/>
    <s v="Probation"/>
    <x v="7"/>
    <s v="Q4"/>
    <n v="2025"/>
  </r>
  <r>
    <s v="EMP0133"/>
    <s v="CAN0755"/>
    <s v="JOB038"/>
    <d v="2025-09-08T00:00:00"/>
    <s v="Marketing"/>
    <s v="SEO Specialist"/>
    <n v="9"/>
    <s v="Active"/>
    <x v="9"/>
    <s v="Q3"/>
    <n v="2025"/>
  </r>
  <r>
    <s v="EMP0134"/>
    <s v="CAN1064"/>
    <s v="JOB047"/>
    <d v="2025-08-10T00:00:00"/>
    <s v="Customer Support"/>
    <s v="Customer Support Executive"/>
    <n v="6.4"/>
    <s v="Active"/>
    <x v="2"/>
    <s v="Q3"/>
    <n v="2025"/>
  </r>
  <r>
    <s v="EMP0135"/>
    <s v="CAN0891"/>
    <s v="JOB019"/>
    <d v="2025-05-23T00:00:00"/>
    <s v="Customer Support"/>
    <s v="Chat Support Associate"/>
    <n v="8.6"/>
    <s v="Probation"/>
    <x v="1"/>
    <s v="Q2"/>
    <n v="2025"/>
  </r>
  <r>
    <s v="EMP0136"/>
    <s v="CAN1112"/>
    <s v="JOB035"/>
    <d v="2025-05-01T00:00:00"/>
    <s v="Customer Support"/>
    <s v="Support Team Lead"/>
    <n v="10.3"/>
    <s v="Active"/>
    <x v="1"/>
    <s v="Q2"/>
    <n v="2025"/>
  </r>
  <r>
    <s v="EMP0137"/>
    <s v="CAN0642"/>
    <s v="JOB016"/>
    <d v="2025-04-21T00:00:00"/>
    <s v="Data Science"/>
    <s v="NLP Engineer"/>
    <n v="10.8"/>
    <s v="Probation"/>
    <x v="4"/>
    <s v="Q2"/>
    <n v="2025"/>
  </r>
  <r>
    <s v="EMP0138"/>
    <s v="CAN0758"/>
    <s v="JOB026"/>
    <d v="2025-09-12T00:00:00"/>
    <s v="Data Analytics"/>
    <s v="Senior Data Analyst"/>
    <n v="9.1"/>
    <s v="Active"/>
    <x v="9"/>
    <s v="Q3"/>
    <n v="2025"/>
  </r>
  <r>
    <s v="EMP0139"/>
    <s v="CAN0830"/>
    <s v="JOB025"/>
    <d v="2025-05-16T00:00:00"/>
    <s v="Operations"/>
    <s v="Operations Executive"/>
    <n v="13.9"/>
    <s v="Active"/>
    <x v="1"/>
    <s v="Q2"/>
    <n v="2025"/>
  </r>
  <r>
    <s v="EMP0140"/>
    <s v="CAN0700"/>
    <s v="JOB028"/>
    <d v="2025-07-09T00:00:00"/>
    <s v="Data Science"/>
    <s v="Senior Data Scientist"/>
    <n v="11"/>
    <s v="Active"/>
    <x v="5"/>
    <s v="Q3"/>
    <n v="2025"/>
  </r>
  <r>
    <s v="EMP0141"/>
    <s v="CAN0826"/>
    <s v="JOB035"/>
    <d v="2025-04-07T00:00:00"/>
    <s v="Customer Support"/>
    <s v="Support Team Lead"/>
    <n v="13.2"/>
    <s v="Active"/>
    <x v="4"/>
    <s v="Q2"/>
    <n v="2025"/>
  </r>
  <r>
    <s v="EMP0142"/>
    <s v="CAN0343"/>
    <s v="JOB003"/>
    <d v="2025-10-09T00:00:00"/>
    <s v="Data Analytics"/>
    <s v="Data Analyst"/>
    <n v="9.8000000000000007"/>
    <s v="Active"/>
    <x v="3"/>
    <s v="Q4"/>
    <n v="2025"/>
  </r>
  <r>
    <s v="EMP0143"/>
    <s v="CAN0022"/>
    <s v="JOB007"/>
    <d v="2025-08-01T00:00:00"/>
    <s v="Data Analytics"/>
    <s v="Data Analyst"/>
    <n v="10.5"/>
    <s v="Probation"/>
    <x v="2"/>
    <s v="Q3"/>
    <n v="2025"/>
  </r>
  <r>
    <s v="EMP0144"/>
    <s v="CAN0585"/>
    <s v="JOB038"/>
    <d v="2025-09-06T00:00:00"/>
    <s v="Marketing"/>
    <s v="SEO Specialist"/>
    <n v="11.4"/>
    <s v="Probation"/>
    <x v="9"/>
    <s v="Q3"/>
    <n v="2025"/>
  </r>
  <r>
    <s v="EMP0145"/>
    <s v="CAN1015"/>
    <s v="JOB033"/>
    <d v="2025-11-27T00:00:00"/>
    <s v="Data Analytics"/>
    <s v="Reporting Analyst"/>
    <n v="20.8"/>
    <s v="Active"/>
    <x v="0"/>
    <s v="Q4"/>
    <n v="2025"/>
  </r>
  <r>
    <s v="EMP0146"/>
    <s v="CAN0566"/>
    <s v="JOB018"/>
    <d v="2025-05-07T00:00:00"/>
    <s v="Sales"/>
    <s v="Account Executive"/>
    <n v="9.3000000000000007"/>
    <s v="Probation"/>
    <x v="1"/>
    <s v="Q2"/>
    <n v="2025"/>
  </r>
  <r>
    <s v="EMP0147"/>
    <s v="CAN0634"/>
    <s v="JOB005"/>
    <d v="2025-09-15T00:00:00"/>
    <s v="Customer Support"/>
    <s v="CS Manager"/>
    <n v="12.2"/>
    <s v="Active"/>
    <x v="9"/>
    <s v="Q3"/>
    <n v="2025"/>
  </r>
  <r>
    <s v="EMP0148"/>
    <s v="CAN1113"/>
    <s v="JOB004"/>
    <d v="2025-07-25T00:00:00"/>
    <s v="Sales"/>
    <s v="Sales Manager"/>
    <n v="18.5"/>
    <s v="Active"/>
    <x v="5"/>
    <s v="Q3"/>
    <n v="2025"/>
  </r>
  <r>
    <s v="EMP0149"/>
    <s v="CAN0118"/>
    <s v="JOB019"/>
    <d v="2025-05-28T00:00:00"/>
    <s v="Customer Support"/>
    <s v="Chat Support Associate"/>
    <n v="9.8000000000000007"/>
    <m/>
    <x v="1"/>
    <s v="Q2"/>
    <n v="2025"/>
  </r>
  <r>
    <s v="EMP0150"/>
    <s v="CAN0716"/>
    <s v="JOB014"/>
    <d v="2025-09-25T00:00:00"/>
    <s v="Marketing"/>
    <s v="Marketing Executive"/>
    <n v="10.7"/>
    <s v="Active"/>
    <x v="9"/>
    <s v="Q3"/>
    <n v="2025"/>
  </r>
  <r>
    <s v="EMP0151"/>
    <s v="CAN0188"/>
    <s v="JOB031"/>
    <d v="2025-03-14T00:00:00"/>
    <s v="IT"/>
    <s v="System Administrator"/>
    <n v="12.2"/>
    <s v="Active"/>
    <x v="6"/>
    <s v="Q1"/>
    <n v="2025"/>
  </r>
  <r>
    <s v="EMP0152"/>
    <s v="CAN0342"/>
    <s v="JOB027"/>
    <d v="2025-07-07T00:00:00"/>
    <s v="Sales"/>
    <s v="Sales Executive"/>
    <n v="13"/>
    <s v="Probation"/>
    <x v="5"/>
    <s v="Q3"/>
    <n v="2025"/>
  </r>
  <r>
    <s v="EMP0153"/>
    <s v="CAN0915"/>
    <s v="JOB036"/>
    <d v="2025-09-07T00:00:00"/>
    <s v="Marketing"/>
    <s v="Digital Marketing Specialist"/>
    <n v="14.5"/>
    <s v="Active"/>
    <x v="9"/>
    <s v="Q3"/>
    <n v="2025"/>
  </r>
  <r>
    <s v="EMP0154"/>
    <s v="CAN0658"/>
    <s v="JOB041"/>
    <d v="2025-11-01T00:00:00"/>
    <s v="Data Analytics"/>
    <s v="Reporting Analyst"/>
    <n v="9.1999999999999993"/>
    <s v="Probation"/>
    <x v="0"/>
    <s v="Q4"/>
    <n v="2025"/>
  </r>
  <r>
    <s v="EMP0155"/>
    <s v="CAN0584"/>
    <s v="JOB022"/>
    <d v="2025-09-05T00:00:00"/>
    <s v="Data Science"/>
    <s v="Data Science Lead"/>
    <n v="17.2"/>
    <s v="Active"/>
    <x v="9"/>
    <s v="Q3"/>
    <n v="2025"/>
  </r>
  <r>
    <s v="EMP0156"/>
    <s v="CAN0885"/>
    <s v="JOB024"/>
    <d v="2025-05-14T00:00:00"/>
    <s v="Operations"/>
    <s v="Operations Executive"/>
    <n v="10.9"/>
    <m/>
    <x v="1"/>
    <s v="Q2"/>
    <n v="2025"/>
  </r>
  <r>
    <s v="EMP0157"/>
    <s v="CAN1141"/>
    <s v="JOB021"/>
    <d v="2025-08-02T00:00:00"/>
    <s v="IT"/>
    <s v="System Administrator"/>
    <n v="20.399999999999999"/>
    <s v="Probation"/>
    <x v="2"/>
    <s v="Q3"/>
    <n v="2025"/>
  </r>
  <r>
    <s v="EMP0158"/>
    <s v="CAN0045"/>
    <s v="JOB032"/>
    <d v="2025-07-23T00:00:00"/>
    <s v="Sales"/>
    <s v="Inside Sales Rep"/>
    <n v="11.3"/>
    <s v="Active"/>
    <x v="5"/>
    <s v="Q3"/>
    <n v="2025"/>
  </r>
  <r>
    <s v="EMP0159"/>
    <s v="CAN0409"/>
    <s v="JOB016"/>
    <d v="2025-05-11T00:00:00"/>
    <s v="Data Science"/>
    <s v="NLP Engineer"/>
    <n v="10.9"/>
    <s v="Active"/>
    <x v="1"/>
    <s v="Q2"/>
    <n v="2025"/>
  </r>
  <r>
    <s v="EMP0160"/>
    <s v="CAN0768"/>
    <s v="JOB004"/>
    <d v="2025-07-27T00:00:00"/>
    <s v="Sales"/>
    <s v="Sales Manager"/>
    <n v="22.5"/>
    <s v="Active"/>
    <x v="5"/>
    <s v="Q3"/>
    <n v="2025"/>
  </r>
  <r>
    <s v="EMP0161"/>
    <s v="CAN0788"/>
    <s v="JOB037"/>
    <d v="2025-06-25T00:00:00"/>
    <s v="Customer Support"/>
    <s v="CS Manager"/>
    <n v="15.1"/>
    <s v="Active"/>
    <x v="8"/>
    <s v="Q2"/>
    <n v="2025"/>
  </r>
  <r>
    <s v="EMP0162"/>
    <s v="CAN1129"/>
    <s v="JOB006"/>
    <d v="2025-12-31T00:00:00"/>
    <s v="Sales"/>
    <s v="Sales Executive"/>
    <n v="11.9"/>
    <s v="Probation"/>
    <x v="7"/>
    <s v="Q4"/>
    <n v="2025"/>
  </r>
  <r>
    <s v="EMP0163"/>
    <s v="CAN0297"/>
    <s v="JOB004"/>
    <d v="2025-08-10T00:00:00"/>
    <s v="Sales"/>
    <s v="Sales Manager"/>
    <n v="22.1"/>
    <s v="Active"/>
    <x v="2"/>
    <s v="Q3"/>
    <n v="2025"/>
  </r>
  <r>
    <s v="EMP0164"/>
    <s v="CAN0747"/>
    <s v="JOB002"/>
    <d v="2025-04-13T00:00:00"/>
    <s v="Data Analytics"/>
    <s v="BI Analyst"/>
    <n v="9.5"/>
    <s v="Active"/>
    <x v="4"/>
    <s v="Q2"/>
    <n v="2025"/>
  </r>
  <r>
    <s v="EMP0165"/>
    <s v="CAN0933"/>
    <s v="JOB025"/>
    <d v="2025-05-16T00:00:00"/>
    <s v="Operations"/>
    <s v="Operations Executive"/>
    <n v="16.5"/>
    <s v="Active"/>
    <x v="1"/>
    <s v="Q2"/>
    <n v="2025"/>
  </r>
  <r>
    <s v="EMP0166"/>
    <s v="CAN1028"/>
    <s v="JOB020"/>
    <d v="2025-06-21T00:00:00"/>
    <s v="Data Science"/>
    <s v="Data Science Lead"/>
    <n v="15.1"/>
    <s v="Active"/>
    <x v="8"/>
    <s v="Q2"/>
    <n v="2025"/>
  </r>
  <r>
    <s v="EMP0167"/>
    <s v="CAN0889"/>
    <s v="JOB034"/>
    <d v="2025-07-13T00:00:00"/>
    <s v="Finance"/>
    <s v="Accounts Payable Specialist"/>
    <n v="20.9"/>
    <s v="Active"/>
    <x v="5"/>
    <s v="Q3"/>
    <n v="2025"/>
  </r>
  <r>
    <s v="EMP0168"/>
    <s v="CAN0976"/>
    <s v="JOB036"/>
    <d v="2025-09-09T00:00:00"/>
    <s v="Marketing"/>
    <s v="Digital Marketing Specialist"/>
    <n v="3"/>
    <s v="Active"/>
    <x v="9"/>
    <s v="Q3"/>
    <n v="2025"/>
  </r>
  <r>
    <s v="EMP0169"/>
    <s v="CAN0733"/>
    <s v="JOB042"/>
    <d v="2025-05-01T00:00:00"/>
    <s v="Data Analytics"/>
    <s v="Data Analyst"/>
    <n v="15.1"/>
    <s v="Active"/>
    <x v="1"/>
    <s v="Q2"/>
    <n v="2025"/>
  </r>
  <r>
    <s v="EMP0170"/>
    <s v="CAN0720"/>
    <s v="JOB028"/>
    <d v="2025-07-08T00:00:00"/>
    <s v="Data Science"/>
    <s v="Senior Data Scientist"/>
    <n v="11.4"/>
    <s v="Active"/>
    <x v="5"/>
    <s v="Q3"/>
    <n v="2025"/>
  </r>
  <r>
    <s v="EMP0171"/>
    <s v="CAN0714"/>
    <s v="JOB034"/>
    <d v="2025-07-03T00:00:00"/>
    <s v="Finance"/>
    <s v="Accounts Payable Specialist"/>
    <n v="9"/>
    <s v="Active"/>
    <x v="5"/>
    <s v="Q3"/>
    <n v="2025"/>
  </r>
  <r>
    <s v="EMP0172"/>
    <s v="CAN1048"/>
    <s v="JOB010"/>
    <d v="2025-09-23T00:00:00"/>
    <s v="Sales"/>
    <s v="Inside Sales Rep"/>
    <n v="6.2"/>
    <s v="Probation"/>
    <x v="9"/>
    <s v="Q3"/>
    <n v="2025"/>
  </r>
  <r>
    <s v="EMP0173"/>
    <s v="CAN0683"/>
    <s v="JOB024"/>
    <d v="2025-05-31T00:00:00"/>
    <s v="Operations"/>
    <s v="Operations Executive"/>
    <n v="16"/>
    <s v="Probation"/>
    <x v="1"/>
    <s v="Q2"/>
    <n v="2025"/>
  </r>
  <r>
    <s v="EMP0174"/>
    <s v="CAN1023"/>
    <s v="JOB042"/>
    <d v="2025-04-24T00:00:00"/>
    <s v="Data Analytics"/>
    <s v="Data Analyst"/>
    <n v="8.9"/>
    <s v="Left"/>
    <x v="4"/>
    <s v="Q2"/>
    <n v="2025"/>
  </r>
  <r>
    <s v="EMP0175"/>
    <s v="CAN0347"/>
    <s v="JOB013"/>
    <d v="2025-12-07T00:00:00"/>
    <s v="Data Analytics"/>
    <s v="Analytics Manager"/>
    <n v="12.4"/>
    <s v="Probation"/>
    <x v="7"/>
    <s v="Q4"/>
    <n v="2025"/>
  </r>
  <r>
    <s v="EMP0176"/>
    <s v="CAN0690"/>
    <s v="JOB032"/>
    <d v="2025-08-05T00:00:00"/>
    <s v="Sales"/>
    <s v="Inside Sales Rep"/>
    <n v="13"/>
    <s v="Active"/>
    <x v="2"/>
    <s v="Q3"/>
    <n v="2025"/>
  </r>
  <r>
    <s v="EMP0177"/>
    <s v="CAN0314"/>
    <s v="JOB044"/>
    <d v="2025-05-27T00:00:00"/>
    <s v="Customer Support"/>
    <s v="Chat Support Associate"/>
    <n v="11.8"/>
    <s v="Active"/>
    <x v="1"/>
    <s v="Q2"/>
    <n v="2025"/>
  </r>
  <r>
    <s v="EMP0178"/>
    <s v="CAN1189"/>
    <s v="JOB043"/>
    <d v="2025-12-08T00:00:00"/>
    <s v="Data Analytics"/>
    <s v="Senior Data Analyst"/>
    <n v="12.3"/>
    <s v="Probation"/>
    <x v="7"/>
    <s v="Q4"/>
    <n v="2025"/>
  </r>
  <r>
    <s v="EMP0179"/>
    <s v="CAN0287"/>
    <s v="JOB030"/>
    <d v="2025-05-29T00:00:00"/>
    <s v="Customer Support"/>
    <s v="Support Team Lead"/>
    <n v="10.3"/>
    <s v="Active"/>
    <x v="1"/>
    <s v="Q2"/>
    <n v="2025"/>
  </r>
  <r>
    <s v="EMP0180"/>
    <s v="CAN0876"/>
    <s v="JOB030"/>
    <d v="2025-06-15T00:00:00"/>
    <s v="Customer Support"/>
    <s v="Support Team Lead"/>
    <n v="16.3"/>
    <s v="Active"/>
    <x v="8"/>
    <s v="Q2"/>
    <n v="2025"/>
  </r>
  <r>
    <s v="EMP0181"/>
    <s v="CAN1050"/>
    <s v="JOB016"/>
    <d v="2025-04-27T00:00:00"/>
    <s v="Data Science"/>
    <s v="NLP Engineer"/>
    <n v="10.3"/>
    <s v="Active"/>
    <x v="4"/>
    <s v="Q2"/>
    <n v="2025"/>
  </r>
  <r>
    <s v="EMP0182"/>
    <s v="CAN0131"/>
    <s v="JOB029"/>
    <d v="2025-10-15T00:00:00"/>
    <s v="IT"/>
    <s v="Software Engineer"/>
    <n v="18.2"/>
    <s v="Probation"/>
    <x v="3"/>
    <s v="Q4"/>
    <n v="2025"/>
  </r>
  <r>
    <s v="EMP0183"/>
    <s v="CAN0257"/>
    <s v="JOB020"/>
    <d v="2025-06-07T00:00:00"/>
    <s v="Data Science"/>
    <s v="Data Science Lead"/>
    <n v="11"/>
    <s v="Active"/>
    <x v="8"/>
    <s v="Q2"/>
    <n v="2025"/>
  </r>
  <r>
    <s v="EMP0184"/>
    <s v="CAN1168"/>
    <s v="JOB030"/>
    <d v="2025-06-01T00:00:00"/>
    <s v="Customer Support"/>
    <s v="Support Team Lead"/>
    <n v="7.1"/>
    <s v="Active"/>
    <x v="8"/>
    <s v="Q2"/>
    <n v="2025"/>
  </r>
  <r>
    <s v="EMP0185"/>
    <s v="CAN1138"/>
    <s v="JOB026"/>
    <d v="2025-08-14T00:00:00"/>
    <s v="Data Analytics"/>
    <s v="Senior Data Analyst"/>
    <n v="11.1"/>
    <s v="Left"/>
    <x v="2"/>
    <s v="Q3"/>
    <n v="2025"/>
  </r>
  <r>
    <s v="EMP0186"/>
    <s v="CAN0066"/>
    <s v="JOB048"/>
    <d v="2025-05-18T00:00:00"/>
    <s v="Legal"/>
    <s v="Contracts Manager"/>
    <n v="7.1"/>
    <s v="Active"/>
    <x v="1"/>
    <s v="Q2"/>
    <n v="2025"/>
  </r>
  <r>
    <s v="EMP0187"/>
    <s v="CAN0590"/>
    <s v="JOB032"/>
    <d v="2025-07-10T00:00:00"/>
    <s v="Sales"/>
    <s v="Inside Sales Rep"/>
    <n v="21.7"/>
    <s v="Left"/>
    <x v="5"/>
    <s v="Q3"/>
    <n v="2025"/>
  </r>
  <r>
    <s v="EMP0188"/>
    <s v="CAN0424"/>
    <s v="JOB037"/>
    <d v="2025-07-04T00:00:00"/>
    <s v="Customer Support"/>
    <s v="CS Manager"/>
    <n v="4.5999999999999996"/>
    <s v="Active"/>
    <x v="5"/>
    <s v="Q3"/>
    <n v="2025"/>
  </r>
  <r>
    <s v="EMP0189"/>
    <s v="CAN0676"/>
    <s v="JOB016"/>
    <d v="2025-05-15T00:00:00"/>
    <s v="Data Science"/>
    <s v="NLP Engineer"/>
    <n v="11.4"/>
    <m/>
    <x v="1"/>
    <s v="Q2"/>
    <n v="2025"/>
  </r>
  <r>
    <s v="EMP0190"/>
    <s v="CAN0125"/>
    <s v="JOB016"/>
    <d v="2025-05-23T00:00:00"/>
    <s v="Data Science"/>
    <s v="NLP Engineer"/>
    <n v="11.6"/>
    <s v="Active"/>
    <x v="1"/>
    <s v="Q2"/>
    <n v="2025"/>
  </r>
  <r>
    <s v="EMP0191"/>
    <s v="CAN0038"/>
    <s v="JOB039"/>
    <d v="2025-03-15T00:00:00"/>
    <s v="Sales"/>
    <s v="Business Development Executive"/>
    <n v="6.2"/>
    <s v="Active"/>
    <x v="6"/>
    <s v="Q1"/>
    <n v="2025"/>
  </r>
  <r>
    <s v="EMP0192"/>
    <s v="CAN0767"/>
    <s v="JOB017"/>
    <d v="2025-08-12T00:00:00"/>
    <s v="Sales"/>
    <s v="Business Development Executive"/>
    <n v="3.3"/>
    <s v="Active"/>
    <x v="2"/>
    <s v="Q3"/>
    <n v="2025"/>
  </r>
  <r>
    <s v="EMP0193"/>
    <s v="CAN1082"/>
    <s v="JOB042"/>
    <d v="2025-04-21T00:00:00"/>
    <s v="Data Analytics"/>
    <s v="Data Analyst"/>
    <n v="12.1"/>
    <s v="Active"/>
    <x v="4"/>
    <s v="Q2"/>
    <n v="2025"/>
  </r>
  <r>
    <s v="EMP0194"/>
    <s v="CAN0807"/>
    <s v="JOB016"/>
    <d v="2025-04-21T00:00:00"/>
    <s v="Data Science"/>
    <s v="NLP Engineer"/>
    <n v="5.8"/>
    <s v="Active"/>
    <x v="4"/>
    <s v="Q2"/>
    <n v="2025"/>
  </r>
  <r>
    <s v="EMP0195"/>
    <s v="CAN0991"/>
    <s v="JOB034"/>
    <d v="2025-08-03T00:00:00"/>
    <s v="Finance"/>
    <s v="Accounts Payable Specialist"/>
    <n v="34.299999999999997"/>
    <s v="Active"/>
    <x v="2"/>
    <s v="Q3"/>
    <n v="2025"/>
  </r>
  <r>
    <s v="EMP0196"/>
    <s v="CAN1045"/>
    <s v="JOB043"/>
    <d v="2025-12-17T00:00:00"/>
    <s v="Data Analytics"/>
    <s v="Senior Data Analyst"/>
    <n v="15.3"/>
    <s v="Probation"/>
    <x v="7"/>
    <s v="Q4"/>
    <n v="2025"/>
  </r>
  <r>
    <s v="EMP0197"/>
    <s v="CAN0612"/>
    <s v="JOB043"/>
    <d v="2025-12-03T00:00:00"/>
    <s v="Data Analytics"/>
    <s v="Senior Data Analyst"/>
    <n v="10.5"/>
    <s v="Probation"/>
    <x v="7"/>
    <s v="Q4"/>
    <n v="2025"/>
  </r>
  <r>
    <s v="EMP0198"/>
    <s v="CAN0360"/>
    <s v="JOB033"/>
    <d v="2025-10-28T00:00:00"/>
    <s v="Data Analytics"/>
    <s v="Reporting Analyst"/>
    <n v="18.5"/>
    <m/>
    <x v="3"/>
    <s v="Q4"/>
    <n v="2025"/>
  </r>
  <r>
    <s v="EMP0199"/>
    <s v="CAN0333"/>
    <s v="JOB032"/>
    <d v="2025-07-24T00:00:00"/>
    <s v="Sales"/>
    <s v="Inside Sales Rep"/>
    <n v="3.2"/>
    <s v="Active"/>
    <x v="5"/>
    <s v="Q3"/>
    <n v="2025"/>
  </r>
  <r>
    <s v="EMP0200"/>
    <s v="CAN0760"/>
    <s v="JOB020"/>
    <d v="2025-05-26T00:00:00"/>
    <s v="Data Science"/>
    <s v="Data Science Lead"/>
    <n v="11.4"/>
    <s v="Left"/>
    <x v="1"/>
    <s v="Q2"/>
    <n v="2025"/>
  </r>
  <r>
    <s v="EMP0201"/>
    <s v="CAN0004"/>
    <s v="JOB008"/>
    <d v="2025-09-15T00:00:00"/>
    <s v="Legal"/>
    <s v="Legal Counsel"/>
    <n v="15.1"/>
    <s v="Probation"/>
    <x v="9"/>
    <s v="Q3"/>
    <n v="2025"/>
  </r>
  <r>
    <s v="EMP0202"/>
    <s v="CAN0637"/>
    <s v="JOB019"/>
    <d v="2025-06-02T00:00:00"/>
    <s v="Customer Support"/>
    <s v="Chat Support Associate"/>
    <n v="13.4"/>
    <s v="Probation"/>
    <x v="8"/>
    <s v="Q2"/>
    <n v="2025"/>
  </r>
  <r>
    <s v="EMP0203"/>
    <s v="CAN0582"/>
    <s v="JOB003"/>
    <d v="2025-11-13T00:00:00"/>
    <s v="Data Analytics"/>
    <s v="Data Analyst"/>
    <n v="13"/>
    <s v="Active"/>
    <x v="0"/>
    <s v="Q4"/>
    <n v="2025"/>
  </r>
  <r>
    <s v="EMP0204"/>
    <s v="CAN1149"/>
    <s v="JOB024"/>
    <d v="2025-06-04T00:00:00"/>
    <s v="Operations"/>
    <s v="Operations Executive"/>
    <n v="6.9"/>
    <s v="Active"/>
    <x v="8"/>
    <s v="Q2"/>
    <n v="2025"/>
  </r>
  <r>
    <s v="EMP0205"/>
    <s v="CAN0516"/>
    <s v="JOB007"/>
    <d v="2025-08-05T00:00:00"/>
    <s v="Data Analytics"/>
    <s v="Data Analyst"/>
    <n v="11.4"/>
    <s v="Active"/>
    <x v="2"/>
    <s v="Q3"/>
    <n v="2025"/>
  </r>
  <r>
    <s v="EMP0206"/>
    <s v="CAN0982"/>
    <s v="JOB013"/>
    <d v="2025-12-12T00:00:00"/>
    <s v="Data Analytics"/>
    <s v="Analytics Manager"/>
    <n v="5.8"/>
    <s v="Active"/>
    <x v="7"/>
    <s v="Q4"/>
    <n v="2025"/>
  </r>
  <r>
    <s v="EMP0207"/>
    <s v="CAN0294"/>
    <s v="JOB008"/>
    <d v="2025-08-19T00:00:00"/>
    <s v="Legal"/>
    <s v="Legal Counsel"/>
    <n v="25.9"/>
    <s v="Probation"/>
    <x v="2"/>
    <s v="Q3"/>
    <n v="2025"/>
  </r>
  <r>
    <s v="EMP0208"/>
    <s v="CAN1197"/>
    <s v="JOB018"/>
    <d v="2025-05-14T00:00:00"/>
    <s v="Sales"/>
    <s v="Account Executive"/>
    <n v="3.7"/>
    <s v="Active"/>
    <x v="1"/>
    <s v="Q2"/>
    <n v="2025"/>
  </r>
  <r>
    <s v="EMP0209"/>
    <s v="CAN1093"/>
    <s v="JOB042"/>
    <d v="2025-03-25T00:00:00"/>
    <s v="Data Analytics"/>
    <s v="Data Analyst"/>
    <n v="8.6"/>
    <s v="Active"/>
    <x v="6"/>
    <s v="Q1"/>
    <n v="2025"/>
  </r>
  <r>
    <s v="EMP0210"/>
    <s v="CAN0065"/>
    <s v="JOB040"/>
    <d v="2025-05-21T00:00:00"/>
    <s v="Customer Support"/>
    <s v="Support Team Lead"/>
    <n v="14.5"/>
    <s v="Active"/>
    <x v="1"/>
    <s v="Q2"/>
    <n v="2025"/>
  </r>
  <r>
    <s v="EMP0211"/>
    <s v="CAN0097"/>
    <s v="JOB017"/>
    <d v="2025-08-31T00:00:00"/>
    <s v="Sales"/>
    <s v="Business Development Executive"/>
    <n v="14.3"/>
    <s v="Active"/>
    <x v="2"/>
    <s v="Q3"/>
    <n v="2025"/>
  </r>
  <r>
    <s v="EMP0212"/>
    <s v="CAN0375"/>
    <s v="JOB013"/>
    <d v="2025-12-17T00:00:00"/>
    <s v="Data Analytics"/>
    <s v="Analytics Manager"/>
    <n v="8.8000000000000007"/>
    <s v="Probation"/>
    <x v="7"/>
    <s v="Q4"/>
    <n v="2025"/>
  </r>
  <r>
    <s v="EMP0213"/>
    <s v="CAN0401"/>
    <s v="JOB042"/>
    <d v="2025-05-05T00:00:00"/>
    <s v="Data Analytics"/>
    <s v="Data Analyst"/>
    <n v="10.199999999999999"/>
    <s v="Probation"/>
    <x v="1"/>
    <s v="Q2"/>
    <n v="2025"/>
  </r>
  <r>
    <s v="EMP0214"/>
    <s v="CAN0237"/>
    <s v="JOB018"/>
    <d v="2025-05-22T00:00:00"/>
    <s v="Sales"/>
    <s v="Account Executive"/>
    <n v="22.8"/>
    <s v="Probation"/>
    <x v="1"/>
    <s v="Q2"/>
    <n v="2025"/>
  </r>
  <r>
    <s v="EMP0215"/>
    <s v="CAN0725"/>
    <s v="JOB008"/>
    <d v="2025-09-02T00:00:00"/>
    <s v="Legal"/>
    <s v="Legal Counsel"/>
    <n v="16.100000000000001"/>
    <s v="Active"/>
    <x v="9"/>
    <s v="Q3"/>
    <n v="2025"/>
  </r>
  <r>
    <s v="EMP0216"/>
    <s v="CAN1184"/>
    <s v="JOB044"/>
    <d v="2025-06-06T00:00:00"/>
    <s v="Customer Support"/>
    <s v="Chat Support Associate"/>
    <n v="3.6"/>
    <s v="Active"/>
    <x v="8"/>
    <s v="Q2"/>
    <n v="2025"/>
  </r>
  <r>
    <s v="EMP0217"/>
    <s v="CAN0523"/>
    <s v="JOB033"/>
    <d v="2025-10-27T00:00:00"/>
    <s v="Data Analytics"/>
    <s v="Reporting Analyst"/>
    <n v="26"/>
    <s v="Probation"/>
    <x v="3"/>
    <s v="Q4"/>
    <n v="2025"/>
  </r>
  <r>
    <s v="EMP0218"/>
    <s v="CAN0703"/>
    <s v="JOB037"/>
    <d v="2025-06-17T00:00:00"/>
    <s v="Customer Support"/>
    <s v="CS Manager"/>
    <n v="20.100000000000001"/>
    <s v="Probation"/>
    <x v="8"/>
    <s v="Q2"/>
    <n v="2025"/>
  </r>
  <r>
    <s v="EMP0219"/>
    <s v="CAN1111"/>
    <s v="JOB016"/>
    <d v="2025-05-20T00:00:00"/>
    <s v="Data Science"/>
    <s v="NLP Engineer"/>
    <n v="14.3"/>
    <s v="Active"/>
    <x v="1"/>
    <s v="Q2"/>
    <n v="2025"/>
  </r>
  <r>
    <s v="EMP0220"/>
    <s v="CAN1044"/>
    <s v="JOB017"/>
    <d v="2025-08-29T00:00:00"/>
    <s v="Sales"/>
    <s v="Business Development Executive"/>
    <n v="10"/>
    <s v="Probation"/>
    <x v="2"/>
    <s v="Q3"/>
    <n v="2025"/>
  </r>
  <r>
    <s v="EMP0221"/>
    <s v="CAN1147"/>
    <s v="JOB048"/>
    <d v="2025-05-18T00:00:00"/>
    <s v="Legal"/>
    <s v="Contracts Manager"/>
    <n v="9.1999999999999993"/>
    <s v="Active"/>
    <x v="1"/>
    <s v="Q2"/>
    <n v="2025"/>
  </r>
  <r>
    <s v="EMP0222"/>
    <s v="CAN0741"/>
    <s v="JOB045"/>
    <d v="2025-08-05T00:00:00"/>
    <s v="Data Science"/>
    <s v="Senior Data Scientist"/>
    <n v="13.4"/>
    <s v="Active"/>
    <x v="2"/>
    <s v="Q3"/>
    <n v="2025"/>
  </r>
  <r>
    <s v="EMP0223"/>
    <s v="CAN0454"/>
    <s v="JOB016"/>
    <d v="2025-04-17T00:00:00"/>
    <s v="Data Science"/>
    <s v="NLP Engineer"/>
    <n v="20.9"/>
    <s v="Left"/>
    <x v="4"/>
    <s v="Q2"/>
    <n v="2025"/>
  </r>
  <r>
    <s v="EMP0224"/>
    <s v="CAN1170"/>
    <s v="JOB016"/>
    <d v="2025-03-31T00:00:00"/>
    <s v="Data Science"/>
    <s v="NLP Engineer"/>
    <n v="21.8"/>
    <s v="Active"/>
    <x v="6"/>
    <s v="Q1"/>
    <n v="2025"/>
  </r>
  <r>
    <s v="EMP0225"/>
    <s v="CAN0359"/>
    <s v="JOB043"/>
    <d v="2025-11-29T00:00:00"/>
    <s v="Data Analytics"/>
    <s v="Senior Data Analyst"/>
    <n v="9.6"/>
    <s v="Probation"/>
    <x v="0"/>
    <s v="Q4"/>
    <n v="2025"/>
  </r>
  <r>
    <s v="EMP0226"/>
    <s v="CAN0664"/>
    <s v="JOB020"/>
    <d v="2025-05-24T00:00:00"/>
    <s v="Data Science"/>
    <s v="Data Science Lead"/>
    <n v="8.9"/>
    <s v="Active"/>
    <x v="1"/>
    <s v="Q2"/>
    <n v="2025"/>
  </r>
  <r>
    <s v="EMP0227"/>
    <s v="CAN0695"/>
    <s v="JOB032"/>
    <d v="2025-08-05T00:00:00"/>
    <s v="Sales"/>
    <s v="Inside Sales Rep"/>
    <n v="27.4"/>
    <s v="Active"/>
    <x v="2"/>
    <s v="Q3"/>
    <n v="2025"/>
  </r>
  <r>
    <s v="EMP0228"/>
    <s v="CAN0166"/>
    <s v="JOB007"/>
    <d v="2025-07-24T00:00:00"/>
    <s v="Data Analytics"/>
    <s v="Data Analyst"/>
    <n v="11.4"/>
    <s v="Probation"/>
    <x v="5"/>
    <s v="Q3"/>
    <n v="2025"/>
  </r>
  <r>
    <s v="EMP0229"/>
    <s v="CAN0238"/>
    <s v="JOB043"/>
    <d v="2025-12-30T00:00:00"/>
    <s v="Data Analytics"/>
    <s v="Senior Data Analyst"/>
    <n v="17.3"/>
    <s v="Active"/>
    <x v="7"/>
    <s v="Q4"/>
    <n v="2025"/>
  </r>
  <r>
    <s v="EMP0230"/>
    <s v="CAN0113"/>
    <s v="JOB033"/>
    <d v="2025-12-11T00:00:00"/>
    <s v="Data Analytics"/>
    <s v="Reporting Analyst"/>
    <n v="16.3"/>
    <s v="Active"/>
    <x v="7"/>
    <s v="Q4"/>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6AB79-2037-4D9B-AAEF-D12E8671B0CB}"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6"/>
        <item x="3"/>
        <item x="0"/>
        <item x="2"/>
        <item x="1"/>
        <item x="4"/>
        <item t="default"/>
      </items>
    </pivotField>
    <pivotField numFmtId="14" showAll="0"/>
    <pivotField showAll="0"/>
    <pivotField showAll="0"/>
    <pivotField showAll="0">
      <items count="13">
        <item x="5"/>
        <item x="1"/>
        <item x="6"/>
        <item x="11"/>
        <item x="10"/>
        <item x="0"/>
        <item x="7"/>
        <item x="3"/>
        <item x="2"/>
        <item x="8"/>
        <item x="9"/>
        <item x="4"/>
        <item t="default"/>
      </items>
    </pivotField>
    <pivotField showAll="0"/>
    <pivotField showAll="0"/>
  </pivotFields>
  <rowFields count="1">
    <field x="14"/>
  </rowFields>
  <rowItems count="8">
    <i>
      <x/>
    </i>
    <i>
      <x v="1"/>
    </i>
    <i>
      <x v="2"/>
    </i>
    <i>
      <x v="3"/>
    </i>
    <i>
      <x v="4"/>
    </i>
    <i>
      <x v="5"/>
    </i>
    <i>
      <x v="6"/>
    </i>
    <i t="grand">
      <x/>
    </i>
  </rowItems>
  <colItems count="1">
    <i/>
  </colItems>
  <dataFields count="1">
    <dataField name="Count of Candidate_ID"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4" count="1" selected="0">
            <x v="0"/>
          </reference>
        </references>
      </pivotArea>
    </chartFormat>
    <chartFormat chart="2" format="11">
      <pivotArea type="data" outline="0" fieldPosition="0">
        <references count="2">
          <reference field="4294967294" count="1" selected="0">
            <x v="0"/>
          </reference>
          <reference field="14" count="1" selected="0">
            <x v="1"/>
          </reference>
        </references>
      </pivotArea>
    </chartFormat>
    <chartFormat chart="2" format="12">
      <pivotArea type="data" outline="0" fieldPosition="0">
        <references count="2">
          <reference field="4294967294" count="1" selected="0">
            <x v="0"/>
          </reference>
          <reference field="14" count="1" selected="0">
            <x v="2"/>
          </reference>
        </references>
      </pivotArea>
    </chartFormat>
    <chartFormat chart="2" format="13">
      <pivotArea type="data" outline="0" fieldPosition="0">
        <references count="2">
          <reference field="4294967294" count="1" selected="0">
            <x v="0"/>
          </reference>
          <reference field="14" count="1" selected="0">
            <x v="3"/>
          </reference>
        </references>
      </pivotArea>
    </chartFormat>
    <chartFormat chart="2" format="14">
      <pivotArea type="data" outline="0" fieldPosition="0">
        <references count="2">
          <reference field="4294967294" count="1" selected="0">
            <x v="0"/>
          </reference>
          <reference field="14" count="1" selected="0">
            <x v="4"/>
          </reference>
        </references>
      </pivotArea>
    </chartFormat>
    <chartFormat chart="2" format="15">
      <pivotArea type="data" outline="0" fieldPosition="0">
        <references count="2">
          <reference field="4294967294" count="1" selected="0">
            <x v="0"/>
          </reference>
          <reference field="14" count="1" selected="0">
            <x v="5"/>
          </reference>
        </references>
      </pivotArea>
    </chartFormat>
    <chartFormat chart="2" format="16">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30DF6-D969-46C4-B0E9-7D4D519FCA85}"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3"/>
        <item x="0"/>
        <item x="2"/>
        <item x="1"/>
        <item x="4"/>
        <item t="default"/>
      </items>
    </pivotField>
    <pivotField numFmtId="14" showAll="0"/>
    <pivotField axis="axisRow" showAll="0">
      <items count="2">
        <item x="0"/>
        <item t="default"/>
      </items>
    </pivotField>
    <pivotField showAll="0"/>
    <pivotField showAll="0">
      <items count="13">
        <item x="5"/>
        <item x="1"/>
        <item x="6"/>
        <item x="11"/>
        <item x="10"/>
        <item x="0"/>
        <item x="7"/>
        <item x="3"/>
        <item x="2"/>
        <item x="8"/>
        <item x="9"/>
        <item x="4"/>
        <item t="default"/>
      </items>
    </pivotField>
    <pivotField showAll="0"/>
    <pivotField showAll="0"/>
  </pivotFields>
  <rowFields count="1">
    <field x="16"/>
  </rowFields>
  <rowItems count="2">
    <i>
      <x/>
    </i>
    <i t="grand">
      <x/>
    </i>
  </rowItems>
  <colItems count="1">
    <i/>
  </colItems>
  <dataFields count="1">
    <dataField name="Count of Candidat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D1EFDD-C9E0-4AF3-AAC1-AE101AF2A5E8}"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3"/>
        <item x="0"/>
        <item x="2"/>
        <item x="1"/>
        <item x="4"/>
        <item t="default"/>
      </items>
    </pivotField>
    <pivotField numFmtId="14" showAll="0"/>
    <pivotField showAll="0"/>
    <pivotField axis="axisRow" showAll="0">
      <items count="5">
        <item x="0"/>
        <item x="1"/>
        <item x="3"/>
        <item x="2"/>
        <item t="default"/>
      </items>
    </pivotField>
    <pivotField showAll="0">
      <items count="13">
        <item x="5"/>
        <item x="1"/>
        <item x="6"/>
        <item x="11"/>
        <item x="10"/>
        <item x="0"/>
        <item x="7"/>
        <item x="3"/>
        <item x="2"/>
        <item x="8"/>
        <item x="9"/>
        <item x="4"/>
        <item t="default"/>
      </items>
    </pivotField>
    <pivotField showAll="0"/>
    <pivotField showAll="0"/>
  </pivotFields>
  <rowFields count="1">
    <field x="17"/>
  </rowFields>
  <rowItems count="5">
    <i>
      <x/>
    </i>
    <i>
      <x v="1"/>
    </i>
    <i>
      <x v="2"/>
    </i>
    <i>
      <x v="3"/>
    </i>
    <i t="grand">
      <x/>
    </i>
  </rowItems>
  <colItems count="1">
    <i/>
  </colItems>
  <dataFields count="1">
    <dataField name="Count of Candidat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33DA4-23E4-49F8-87B6-61434A9A98F5}"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3"/>
        <item x="0"/>
        <item x="2"/>
        <item x="1"/>
        <item x="4"/>
        <item t="default"/>
      </items>
    </pivotField>
    <pivotField numFmtId="14" showAll="0"/>
    <pivotField showAll="0"/>
    <pivotField showAll="0"/>
    <pivotField axis="axisRow" showAll="0">
      <items count="13">
        <item x="5"/>
        <item x="1"/>
        <item x="6"/>
        <item x="11"/>
        <item x="10"/>
        <item x="0"/>
        <item x="7"/>
        <item x="3"/>
        <item x="2"/>
        <item x="8"/>
        <item x="9"/>
        <item x="4"/>
        <item t="default"/>
      </items>
    </pivotField>
    <pivotField showAll="0"/>
    <pivotField showAll="0"/>
  </pivotFields>
  <rowFields count="1">
    <field x="18"/>
  </rowFields>
  <rowItems count="13">
    <i>
      <x/>
    </i>
    <i>
      <x v="1"/>
    </i>
    <i>
      <x v="2"/>
    </i>
    <i>
      <x v="3"/>
    </i>
    <i>
      <x v="4"/>
    </i>
    <i>
      <x v="5"/>
    </i>
    <i>
      <x v="6"/>
    </i>
    <i>
      <x v="7"/>
    </i>
    <i>
      <x v="8"/>
    </i>
    <i>
      <x v="9"/>
    </i>
    <i>
      <x v="10"/>
    </i>
    <i>
      <x v="11"/>
    </i>
    <i t="grand">
      <x/>
    </i>
  </rowItems>
  <colItems count="1">
    <i/>
  </colItems>
  <dataFields count="1">
    <dataField name="Count of Candidat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384AB9-47C3-43D5-A792-F9B5063ABDA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3">
    <pivotField showAll="0"/>
    <pivotField axis="axisRow" showAll="0">
      <items count="11">
        <item x="2"/>
        <item x="1"/>
        <item x="7"/>
        <item x="6"/>
        <item x="9"/>
        <item x="4"/>
        <item x="3"/>
        <item x="5"/>
        <item x="8"/>
        <item x="0"/>
        <item t="default"/>
      </items>
    </pivotField>
    <pivotField showAll="0"/>
    <pivotField showAll="0"/>
    <pivotField showAll="0"/>
    <pivotField dataField="1" showAll="0"/>
    <pivotField showAll="0"/>
    <pivotField showAll="0"/>
    <pivotField numFmtId="14"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ositions_Open"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FCA050-43AD-4FE5-A4D8-98FB8BCC083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7">
    <pivotField showAll="0"/>
    <pivotField axis="axisRow" showAll="0">
      <items count="16">
        <item x="6"/>
        <item x="14"/>
        <item x="3"/>
        <item x="9"/>
        <item x="8"/>
        <item x="5"/>
        <item x="13"/>
        <item x="7"/>
        <item x="10"/>
        <item x="4"/>
        <item x="2"/>
        <item x="0"/>
        <item x="1"/>
        <item x="11"/>
        <item x="12"/>
        <item t="default"/>
      </items>
    </pivotField>
    <pivotField showAll="0"/>
    <pivotField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Hiring_Targe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30A1E-608D-4FAF-BD76-5BC00E1DC790}"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1">
    <pivotField dataField="1" showAll="0">
      <items count="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showAll="0"/>
    <pivotField showAll="0"/>
    <pivotField numFmtId="14" showAll="0"/>
    <pivotField showAll="0"/>
    <pivotField axis="axisRow" showAll="0">
      <items count="2">
        <item x="0"/>
        <item t="default"/>
      </items>
    </pivotField>
    <pivotField numFmtId="14" showAll="0"/>
    <pivotField showAll="0"/>
    <pivotField showAll="0"/>
    <pivotField showAll="0"/>
    <pivotField showAll="0"/>
  </pivotFields>
  <rowFields count="1">
    <field x="5"/>
  </rowFields>
  <rowItems count="2">
    <i>
      <x/>
    </i>
    <i t="grand">
      <x/>
    </i>
  </rowItems>
  <colItems count="1">
    <i/>
  </colItems>
  <dataFields count="1">
    <dataField name="Count of Off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F7779D-E335-4AA7-80FA-18EEA2375C18}"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1">
    <pivotField dataField="1" showAll="0"/>
    <pivotField showAll="0"/>
    <pivotField showAll="0"/>
    <pivotField numFmtId="14" showAll="0"/>
    <pivotField showAll="0"/>
    <pivotField showAll="0"/>
    <pivotField showAll="0"/>
    <pivotField showAll="0"/>
    <pivotField axis="axisRow" showAll="0">
      <items count="13">
        <item x="11"/>
        <item x="10"/>
        <item x="6"/>
        <item x="4"/>
        <item x="1"/>
        <item x="8"/>
        <item x="5"/>
        <item x="2"/>
        <item x="9"/>
        <item x="3"/>
        <item x="0"/>
        <item x="7"/>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076B2A1C-1D0A-4707-A2F0-79E76F401A43}" sourceName="Source">
  <pivotTables>
    <pivotTable tabId="10" name="PivotTable1"/>
    <pivotTable tabId="17" name="PivotTable8"/>
    <pivotTable tabId="11" name="PivotTable2"/>
    <pivotTable tabId="12" name="PivotTable3"/>
  </pivotTables>
  <data>
    <tabular pivotCacheId="1252387415">
      <items count="7">
        <i x="5" s="1"/>
        <i x="6" s="1"/>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Month" xr10:uid="{7A9F1F88-B3F7-4A53-A540-920CB24DA452}" sourceName="Application_Month">
  <pivotTables>
    <pivotTable tabId="10" name="PivotTable1"/>
    <pivotTable tabId="17" name="PivotTable8"/>
    <pivotTable tabId="11" name="PivotTable2"/>
    <pivotTable tabId="12" name="PivotTable3"/>
  </pivotTables>
  <data>
    <tabular pivotCacheId="1252387415">
      <items count="12">
        <i x="5" s="1"/>
        <i x="1" s="1"/>
        <i x="6" s="1"/>
        <i x="11" s="1"/>
        <i x="10" s="1"/>
        <i x="0" s="1"/>
        <i x="7" s="1"/>
        <i x="3" s="1"/>
        <i x="2" s="1"/>
        <i x="8" s="1"/>
        <i x="9"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4A941A-4AD0-4CA0-B3D3-1F579ED0D272}" sourceName="Department">
  <pivotTables>
    <pivotTable tabId="13" name="PivotTable4"/>
  </pivotTables>
  <data>
    <tabular pivotCacheId="1984129102">
      <items count="10">
        <i x="2" s="1"/>
        <i x="1" s="1"/>
        <i x="7" s="1"/>
        <i x="6" s="1"/>
        <i x="9" s="1"/>
        <i x="4" s="1"/>
        <i x="3" s="1"/>
        <i x="5" s="1"/>
        <i x="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_Name" xr10:uid="{9CBD84CF-EA41-429C-A5C1-0BE6C23CC45F}" sourceName="Recruiter_Name">
  <pivotTables>
    <pivotTable tabId="14" name="PivotTable5"/>
  </pivotTables>
  <data>
    <tabular pivotCacheId="2020916461">
      <items count="15">
        <i x="6" s="1"/>
        <i x="14" s="1"/>
        <i x="3" s="1"/>
        <i x="9" s="1"/>
        <i x="8" s="1"/>
        <i x="5" s="1"/>
        <i x="13" s="1"/>
        <i x="7" s="1"/>
        <i x="10" s="1"/>
        <i x="4" s="1"/>
        <i x="2" s="1"/>
        <i x="0" s="1"/>
        <i x="1"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232E0484-6C4B-4B66-B718-5D079F9F8A68}" cache="Slicer_Source" caption="Source" rowHeight="247650"/>
  <slicer name="Application_Month" xr10:uid="{797729A8-51B6-47B2-8B61-0DA3C26ED3FC}" cache="Slicer_Application_Month" caption="Application_Month" rowHeight="247650"/>
  <slicer name="Department" xr10:uid="{A1212AC3-E431-42FA-A5D9-3B630C740FAF}" cache="Slicer_Department" caption="Department" rowHeight="247650"/>
  <slicer name="Recruiter_Name" xr10:uid="{FEB3FDD2-0DE9-4B24-943D-B88590E5C5B1}" cache="Slicer_Recruiter_Name" caption="Recruiter_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B0567A-D527-47A5-9B40-FF69B1BE8CAC}" name="Table1" displayName="Table1" ref="A1:K231" totalsRowShown="0">
  <autoFilter ref="A1:K231" xr:uid="{69B0567A-D527-47A5-9B40-FF69B1BE8CAC}"/>
  <tableColumns count="11">
    <tableColumn id="1" xr3:uid="{458A9BF7-056D-4CD1-A9A9-1AF0F299F081}" name="Employee_ID"/>
    <tableColumn id="2" xr3:uid="{9FE1139D-8D5B-4025-BB99-6554C20DC383}" name="Candidate_ID"/>
    <tableColumn id="3" xr3:uid="{E4927965-AC7F-4465-A3E3-2A40EA8EE5FF}" name="Job_ID"/>
    <tableColumn id="4" xr3:uid="{A22EB322-F4CF-42EA-8753-5B8EF877111F}" name="DOJ" dataDxfId="29"/>
    <tableColumn id="5" xr3:uid="{42C2A83E-C1B4-4A10-8633-4E50ABEEA50B}" name="Department"/>
    <tableColumn id="6" xr3:uid="{FFE8FC24-4C69-4283-BBB7-11431E4F4680}" name="Designation"/>
    <tableColumn id="7" xr3:uid="{58563810-5298-44E8-B0A3-E1CDBCFD202C}" name="Salary"/>
    <tableColumn id="8" xr3:uid="{7145864C-3A2D-4D85-B603-17CFD2657ECD}" name="Employment_Status"/>
    <tableColumn id="9" xr3:uid="{AE434DF7-6EDC-44D8-9292-7CEF8F58D875}" name="Joining_Month" dataDxfId="11">
      <calculatedColumnFormula>TEXT(D2,"mmmm")</calculatedColumnFormula>
    </tableColumn>
    <tableColumn id="10" xr3:uid="{BCAC3347-CB07-400F-8EE2-BF892D1DCBF8}" name="Joining_Quarter" dataDxfId="9">
      <calculatedColumnFormula>"Q"&amp;ROUNDUP(MONTH(D2)/3,0)</calculatedColumnFormula>
    </tableColumn>
    <tableColumn id="11" xr3:uid="{EBA6B5C2-0DFD-4449-9684-0A42896BF1EF}" name="Joining_Year" dataDxfId="10">
      <calculatedColumnFormula>YEAR(D2)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7BC10A-93D4-4550-AFA7-ABA805DAF538}" name="Table2" displayName="Table2" ref="A1:L2538" totalsRowShown="0">
  <autoFilter ref="A1:L2538" xr:uid="{457BC10A-93D4-4550-AFA7-ABA805DAF538}"/>
  <tableColumns count="12">
    <tableColumn id="1" xr3:uid="{10EA6EA2-8AF4-4499-B60F-2647FD3013AB}" name="Interview_ID"/>
    <tableColumn id="2" xr3:uid="{452BDBB1-359C-4EB2-AE30-6A96CB4DF6DC}" name="Candidate_ID"/>
    <tableColumn id="3" xr3:uid="{A225F89A-D1E9-47C2-BA36-07AC675BEE10}" name="Job_ID"/>
    <tableColumn id="4" xr3:uid="{27C847C3-39E5-44CA-99D6-437289B59713}" name="Round"/>
    <tableColumn id="5" xr3:uid="{E4A85DC6-94C6-4C26-9D28-A234FE8D9460}" name="Interview_Date" dataDxfId="28"/>
    <tableColumn id="6" xr3:uid="{43878649-0DCC-4564-BB34-B63D7AB3D162}" name="Interviewer"/>
    <tableColumn id="7" xr3:uid="{606C283A-E299-49EA-9F99-49DF5FD0E10C}" name="Feedback_Score"/>
    <tableColumn id="8" xr3:uid="{C752B7B5-1068-45D2-8A71-235316616950}" name="Recommendation"/>
    <tableColumn id="9" xr3:uid="{EC3E2AC1-327A-4236-9B53-78E7AF449406}" name="Status"/>
    <tableColumn id="10" xr3:uid="{C1F99BE4-09E3-4B21-80E4-F4B485A8611D}" name="Interview_Month" dataDxfId="17">
      <calculatedColumnFormula>TEXT(E2,"mmmm")</calculatedColumnFormula>
    </tableColumn>
    <tableColumn id="11" xr3:uid="{766884C9-C004-4913-9F78-F785A8476384}" name="Interview_Quarter" dataDxfId="16">
      <calculatedColumnFormula>"Q"&amp;ROUNDUP(MONTH(E2)/3,0)</calculatedColumnFormula>
    </tableColumn>
    <tableColumn id="12" xr3:uid="{3D5C805E-4902-4637-9CCD-BE3AE2E72C77}" name="Interview_Year" dataDxfId="15">
      <calculatedColumnFormula>YEAR(E2)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7D143C-67EB-4C87-A2EC-7C153AEE7AC6}" name="Table3" displayName="Table3" ref="A1:M49" totalsRowShown="0">
  <autoFilter ref="A1:M49" xr:uid="{DC7D143C-67EB-4C87-A2EC-7C153AEE7AC6}"/>
  <tableColumns count="13">
    <tableColumn id="1" xr3:uid="{EEB2BE96-6619-40BE-B010-71CBEEA8857A}" name="Job_ID"/>
    <tableColumn id="2" xr3:uid="{653F7CAD-C4DA-42E4-A332-8B4EC107DE39}" name="Department"/>
    <tableColumn id="3" xr3:uid="{9D0B9CAB-9834-41AB-9B46-D1F1D5275827}" name="Role"/>
    <tableColumn id="4" xr3:uid="{2E5253AF-E3AB-4126-BDC7-45153A00F74E}" name="Hiring_Manager"/>
    <tableColumn id="5" xr3:uid="{7E45B50D-734C-464B-B78F-063C510DA7A5}" name="Recruiter_ID"/>
    <tableColumn id="6" xr3:uid="{AC24C6B1-3BD9-44D9-97AD-8F6DEC68BDB8}" name="Positions_Open"/>
    <tableColumn id="7" xr3:uid="{A27EB506-78E1-4B9F-B810-89F392ABA941}" name="Priority"/>
    <tableColumn id="8" xr3:uid="{5C6F80FF-F1C8-498F-B762-C2C80733899D}" name="Location"/>
    <tableColumn id="9" xr3:uid="{37ED7777-73DD-4B42-936F-32973FB88557}" name="Posted_Date" dataDxfId="27"/>
    <tableColumn id="10" xr3:uid="{ACF26D3E-1C84-4027-958C-F54F3255A0E7}" name="Status"/>
    <tableColumn id="11" xr3:uid="{FA473033-5391-4C38-B806-54ADB9A428CB}" name="Posted_Month" dataDxfId="8">
      <calculatedColumnFormula>TEXT(I2,"mmmm")</calculatedColumnFormula>
    </tableColumn>
    <tableColumn id="12" xr3:uid="{20FAB8D4-7690-4716-9520-63BF958CE5A5}" name="Posted_Quarter" dataDxfId="7">
      <calculatedColumnFormula>"Q"&amp;ROUNDUP(MONTH(I2)/3,0)</calculatedColumnFormula>
    </tableColumn>
    <tableColumn id="13" xr3:uid="{8534998F-5017-44B0-B327-BF2D5206B9AE}" name="Posted_Year" dataDxfId="6">
      <calculatedColumnFormula>YEAR(I2)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5EBB8A-E3E9-4350-860B-FA1F23B8A35B}" name="Table4" displayName="Table4" ref="A1:K232" totalsRowShown="0">
  <autoFilter ref="A1:K232" xr:uid="{1300DCD4-FE26-43DC-8C61-C1F2D3FBF5C3}"/>
  <tableColumns count="11">
    <tableColumn id="1" xr3:uid="{64112E5F-FC36-4B4A-9951-4AB94667F2D6}" name="Offer_ID"/>
    <tableColumn id="2" xr3:uid="{AE9662E1-D53E-4C22-9B20-CE063B149EB5}" name="Candidate_ID"/>
    <tableColumn id="3" xr3:uid="{5E540EF7-4AC0-4523-96C7-0806C4127C75}" name="Job_ID"/>
    <tableColumn id="4" xr3:uid="{2D77D6D0-F4FF-4763-9A38-D543E12D28BE}" name="Offer_Date" dataDxfId="26"/>
    <tableColumn id="5" xr3:uid="{22E1C33C-9B1A-4157-82E9-497BFE75BE1C}" name="Offered_CTC"/>
    <tableColumn id="6" xr3:uid="{C49F9157-D48A-42C1-8AEA-0D2C6F7C79D8}" name="Candidate_Response"/>
    <tableColumn id="7" xr3:uid="{A915046C-0ACC-4EC1-A1A9-346C5CBA8C8B}" name="Joining_Date" dataDxfId="25"/>
    <tableColumn id="8" xr3:uid="{53E6A026-61E4-43C1-ABBA-CC015E214792}" name="Offer_Status"/>
    <tableColumn id="9" xr3:uid="{EBE7DF2A-DBD9-43FE-99C4-E7494A8F5F8E}" name="Offer_Month" dataDxfId="14">
      <calculatedColumnFormula>TEXT(D2,"mmmm")</calculatedColumnFormula>
    </tableColumn>
    <tableColumn id="10" xr3:uid="{4027A50D-6B6B-453B-809B-27C7B5B45401}" name="Offer_Quarter" dataDxfId="13">
      <calculatedColumnFormula>"Q"&amp;ROUNDUP(MONTH(D2)/3,0)</calculatedColumnFormula>
    </tableColumn>
    <tableColumn id="11" xr3:uid="{2235A4F9-D1D5-4362-9FDB-9D880F3668A6}" name="Offer_Year" dataDxfId="12">
      <calculatedColumnFormula>YEAR(D2)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41038D-EFD9-48EA-8CA9-F8B6A7C9C604}" name="Table5" displayName="Table5" ref="A1:E11" totalsRowShown="0">
  <autoFilter ref="A1:E11" xr:uid="{6541038D-EFD9-48EA-8CA9-F8B6A7C9C604}"/>
  <tableColumns count="5">
    <tableColumn id="1" xr3:uid="{1D8302E9-EC77-4886-AB1C-4BC75D3336DC}" name="Department"/>
    <tableColumn id="2" xr3:uid="{47188522-FE97-463D-B6AD-72EF99170281}" name="Monthly_Target"/>
    <tableColumn id="3" xr3:uid="{696F85E4-86F8-4267-802D-030B1077BF88}" name="Annual_Target"/>
    <tableColumn id="4" xr3:uid="{12D7BA52-5279-46A1-B66B-48047F9E8804}" name="Monthly_Target2" dataDxfId="3">
      <calculatedColumnFormula>C2/12</calculatedColumnFormula>
    </tableColumn>
    <tableColumn id="5" xr3:uid="{9AA0F64C-BCC6-44B0-BE4F-097E2F4E71EB}" name="Quarterly_Target" dataDxfId="4">
      <calculatedColumnFormula>C2/4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2BA8E3-112E-4E06-965A-6F21FA277EEE}" name="Table8" displayName="Table8" ref="A1:G16" totalsRowShown="0">
  <autoFilter ref="A1:G16" xr:uid="{E42BA8E3-112E-4E06-965A-6F21FA277EEE}"/>
  <tableColumns count="7">
    <tableColumn id="1" xr3:uid="{4AC82CDF-BA58-4FBD-B467-BD136392074E}" name="Recruiter_ID"/>
    <tableColumn id="2" xr3:uid="{8E70892C-5F6A-42A2-BBF6-0BDBAE77117D}" name="Recruiter_Name"/>
    <tableColumn id="3" xr3:uid="{6544339C-7BCB-441A-8504-11219510D9B2}" name="Department"/>
    <tableColumn id="4" xr3:uid="{C72B0BA5-E4A7-47B7-AB13-3A6175D90503}" name="Experience_Years"/>
    <tableColumn id="5" xr3:uid="{875CFB06-06AD-4BBD-AB6B-C2EB9991B6CC}" name="Hiring_Target"/>
    <tableColumn id="6" xr3:uid="{C8BF1094-2F28-4223-BEA4-776431FB7DFE}" name="Email"/>
    <tableColumn id="7" xr3:uid="{ACF4D8C0-27B4-425A-B4C6-0D2D609A000A}" name="Target_Status" dataDxfId="5">
      <calculatedColumnFormula>IF(E2&gt;=10,"High Target","Normal Target")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8F4ED5-6678-4372-B21A-2C206741275A}" name="Table6" displayName="Table6" ref="A1:I366" totalsRowShown="0">
  <autoFilter ref="A1:I366" xr:uid="{788F4ED5-6678-4372-B21A-2C206741275A}"/>
  <tableColumns count="9">
    <tableColumn id="1" xr3:uid="{73F92CF7-D08E-45F6-BEEE-CBFF77DD1DA8}" name="Date" dataDxfId="24"/>
    <tableColumn id="2" xr3:uid="{DECFFFE6-F52C-450F-B8E6-C5E54AF4F4B1}" name="Month"/>
    <tableColumn id="3" xr3:uid="{42AD8F72-AD07-4816-829D-FCDE562BBEFB}" name="Quarter"/>
    <tableColumn id="4" xr3:uid="{BD62DFDE-CDCB-42D8-9C87-68D55EDA9B21}" name="Year"/>
    <tableColumn id="5" xr3:uid="{A5B95325-DC6B-45DF-9077-481C0CD2BD43}" name="Month_Name"/>
    <tableColumn id="6" xr3:uid="{28B23960-8115-466E-9372-B92769456243}" name="Week_Number"/>
    <tableColumn id="7" xr3:uid="{BD349549-9593-476F-AF6E-C7C34BAD6BB5}" name="Month2" dataDxfId="2">
      <calculatedColumnFormula>TEXT(A2,"mmmm")</calculatedColumnFormula>
    </tableColumn>
    <tableColumn id="8" xr3:uid="{A435579B-A993-404A-AB26-0E7280DE4276}" name="Quarter2" dataDxfId="1">
      <calculatedColumnFormula>"Q"&amp;ROUNDUP(MONTH(A2)/3,0)</calculatedColumnFormula>
    </tableColumn>
    <tableColumn id="9" xr3:uid="{5B6BD41E-DE31-4F21-BAC3-980D25095861}" name="Year2" dataDxfId="0">
      <calculatedColumnFormula>YEAR(A2)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E9CAE9-6E3E-4494-A314-8D9BE1186144}" name="Table7" displayName="Table7" ref="A1:U1201" totalsRowShown="0">
  <autoFilter ref="A1:U1201" xr:uid="{54E9CAE9-6E3E-4494-A314-8D9BE1186144}"/>
  <tableColumns count="21">
    <tableColumn id="1" xr3:uid="{DF4A91DC-75E0-4D72-AABD-1E7216C031E8}" name="Candidate_ID"/>
    <tableColumn id="2" xr3:uid="{FA66E7E8-819D-4576-B8B4-F904E7C49BD4}" name="First_Name"/>
    <tableColumn id="3" xr3:uid="{03805552-A5D5-4904-A813-091871804B68}" name="Last_Name"/>
    <tableColumn id="4" xr3:uid="{ABF75276-7FD9-4BBB-9EE7-50345B7C55D2}" name="Gender"/>
    <tableColumn id="5" xr3:uid="{1A70E3C7-C804-4E0A-B1C9-3F70A1F936FB}" name="Age"/>
    <tableColumn id="6" xr3:uid="{A00DA3F0-E601-4D97-AF99-975D93E7E2A4}" name="Email"/>
    <tableColumn id="7" xr3:uid="{1125FAA2-CD48-444E-A354-522D71CBF425}" name="Phone"/>
    <tableColumn id="8" xr3:uid="{FF821C86-667A-4630-9D0E-EA2E69FAE686}" name="City"/>
    <tableColumn id="9" xr3:uid="{A4BEAEF1-F2AD-4CF1-861F-C9FE7D74C8F9}" name="State"/>
    <tableColumn id="10" xr3:uid="{EC540229-EA4E-40C1-AE8A-31DB2706AEFD}" name="Highest_Education"/>
    <tableColumn id="11" xr3:uid="{371597A0-0358-4116-ABA3-51A3B2789EC6}" name="Experience_Years"/>
    <tableColumn id="12" xr3:uid="{990BB7D3-96A5-412E-BA24-A491776B92D1}" name="Current_CTC"/>
    <tableColumn id="13" xr3:uid="{0D2D485D-8D6B-4F75-BD29-BCB95EC156F8}" name="Expected_CTC"/>
    <tableColumn id="14" xr3:uid="{E2B56FC2-11DD-4393-9FC2-807E9869567B}" name="Notice_Period"/>
    <tableColumn id="15" xr3:uid="{E675B028-CFD6-4BB9-81F4-8F4968A96C8A}" name="Source"/>
    <tableColumn id="16" xr3:uid="{0D6F1907-06E9-41C1-9C72-16968EF85F62}" name="Applied_Date" dataDxfId="23"/>
    <tableColumn id="17" xr3:uid="{498FE777-7095-4EF4-8758-6A1555ED8AEC}" name="Expereince_Band" dataDxfId="22">
      <calculatedColumnFormula>IF(P2&lt;=2,"0-2 Years",IF(P2&lt;=5,"3-5 Years",IF(P2&lt;=10,"6-10 Years","10+ Years")))</calculatedColumnFormula>
    </tableColumn>
    <tableColumn id="18" xr3:uid="{57DE9EB9-E7CD-4E89-A2DB-216B5DD596D1}" name="Age_Group" dataDxfId="21">
      <calculatedColumnFormula>IF(Table7[[#This Row],[Age]]&lt;=25,"20-25",IF(Table7[[#This Row],[Age]]&lt;=30,"26-30",IF(Table7[[#This Row],[Age]]&lt;=35,"31-35","36+")))</calculatedColumnFormula>
    </tableColumn>
    <tableColumn id="19" xr3:uid="{32FF5425-9F4D-4A51-BA38-CE3B85292765}" name="Application_Month" dataDxfId="20">
      <calculatedColumnFormula>TEXT(P2,"mmmm")</calculatedColumnFormula>
    </tableColumn>
    <tableColumn id="20" xr3:uid="{8013C98B-D630-4BDC-90B8-103C6FE6513F}" name="Application_Quarter" dataDxfId="19">
      <calculatedColumnFormula>"Q"&amp;ROUNDUP(MONTH(P2)/3,0)</calculatedColumnFormula>
    </tableColumn>
    <tableColumn id="21" xr3:uid="{D4EF2220-F645-44DE-976A-35DC8ABCF086}" name="Application_year" dataDxfId="18">
      <calculatedColumnFormula>YEAR(P2)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84E1-DE6A-4840-A33B-14E7595FCE48}">
  <dimension ref="A1:K231"/>
  <sheetViews>
    <sheetView topLeftCell="A2" workbookViewId="0">
      <selection activeCell="I19" sqref="I19"/>
    </sheetView>
  </sheetViews>
  <sheetFormatPr defaultRowHeight="14.4" x14ac:dyDescent="0.3"/>
  <cols>
    <col min="1" max="1" width="13.6640625" customWidth="1"/>
    <col min="2" max="2" width="14.109375" customWidth="1"/>
    <col min="5" max="5" width="12.88671875" customWidth="1"/>
    <col min="6" max="6" width="12.6640625" customWidth="1"/>
    <col min="8" max="8" width="19.5546875" customWidth="1"/>
  </cols>
  <sheetData>
    <row r="1" spans="1:11" x14ac:dyDescent="0.3">
      <c r="A1" t="s">
        <v>0</v>
      </c>
      <c r="B1" t="s">
        <v>1</v>
      </c>
      <c r="C1" t="s">
        <v>2</v>
      </c>
      <c r="D1" t="s">
        <v>3</v>
      </c>
      <c r="E1" t="s">
        <v>4</v>
      </c>
      <c r="F1" t="s">
        <v>5</v>
      </c>
      <c r="G1" t="s">
        <v>6</v>
      </c>
      <c r="H1" t="s">
        <v>7</v>
      </c>
      <c r="I1" t="s">
        <v>6628</v>
      </c>
      <c r="J1" t="s">
        <v>6629</v>
      </c>
      <c r="K1" t="s">
        <v>6630</v>
      </c>
    </row>
    <row r="2" spans="1:11" x14ac:dyDescent="0.3">
      <c r="A2" t="s">
        <v>8</v>
      </c>
      <c r="B2" t="s">
        <v>9</v>
      </c>
      <c r="C2" t="s">
        <v>10</v>
      </c>
      <c r="D2" s="1">
        <v>45989</v>
      </c>
      <c r="E2" t="s">
        <v>11</v>
      </c>
      <c r="F2" t="s">
        <v>12</v>
      </c>
      <c r="G2">
        <v>15.3</v>
      </c>
      <c r="H2" t="s">
        <v>13</v>
      </c>
      <c r="I2" t="str">
        <f t="shared" ref="I2:I65" si="0">TEXT(D2,"mmmm")</f>
        <v>November</v>
      </c>
      <c r="J2" t="str">
        <f t="shared" ref="J2:J65" si="1">"Q"&amp;ROUNDUP(MONTH(D2)/3,0)</f>
        <v>Q4</v>
      </c>
      <c r="K2">
        <f t="shared" ref="K2:K65" si="2">YEAR(D2)</f>
        <v>2025</v>
      </c>
    </row>
    <row r="3" spans="1:11" x14ac:dyDescent="0.3">
      <c r="A3" t="s">
        <v>14</v>
      </c>
      <c r="B3" t="s">
        <v>15</v>
      </c>
      <c r="C3" t="s">
        <v>16</v>
      </c>
      <c r="D3" s="1">
        <v>45805</v>
      </c>
      <c r="E3" t="s">
        <v>17</v>
      </c>
      <c r="F3" t="s">
        <v>18</v>
      </c>
      <c r="G3">
        <v>11.8</v>
      </c>
      <c r="H3" t="s">
        <v>19</v>
      </c>
      <c r="I3" t="str">
        <f t="shared" si="0"/>
        <v>May</v>
      </c>
      <c r="J3" t="str">
        <f t="shared" si="1"/>
        <v>Q2</v>
      </c>
      <c r="K3">
        <f t="shared" si="2"/>
        <v>2025</v>
      </c>
    </row>
    <row r="4" spans="1:11" x14ac:dyDescent="0.3">
      <c r="A4" t="s">
        <v>20</v>
      </c>
      <c r="B4" t="s">
        <v>21</v>
      </c>
      <c r="C4" t="s">
        <v>22</v>
      </c>
      <c r="D4" s="1">
        <v>45891</v>
      </c>
      <c r="E4" t="s">
        <v>23</v>
      </c>
      <c r="F4" t="s">
        <v>24</v>
      </c>
      <c r="G4">
        <v>6.5</v>
      </c>
      <c r="H4" t="s">
        <v>19</v>
      </c>
      <c r="I4" t="str">
        <f t="shared" si="0"/>
        <v>August</v>
      </c>
      <c r="J4" t="str">
        <f t="shared" si="1"/>
        <v>Q3</v>
      </c>
      <c r="K4">
        <f t="shared" si="2"/>
        <v>2025</v>
      </c>
    </row>
    <row r="5" spans="1:11" x14ac:dyDescent="0.3">
      <c r="A5" t="s">
        <v>25</v>
      </c>
      <c r="B5" t="s">
        <v>26</v>
      </c>
      <c r="C5" t="s">
        <v>27</v>
      </c>
      <c r="D5" s="1">
        <v>45936</v>
      </c>
      <c r="E5" t="s">
        <v>28</v>
      </c>
      <c r="F5" t="s">
        <v>29</v>
      </c>
      <c r="G5">
        <v>5.9</v>
      </c>
      <c r="H5" t="s">
        <v>13</v>
      </c>
      <c r="I5" t="str">
        <f t="shared" si="0"/>
        <v>October</v>
      </c>
      <c r="J5" t="str">
        <f t="shared" si="1"/>
        <v>Q4</v>
      </c>
      <c r="K5">
        <f t="shared" si="2"/>
        <v>2025</v>
      </c>
    </row>
    <row r="6" spans="1:11" x14ac:dyDescent="0.3">
      <c r="A6" t="s">
        <v>30</v>
      </c>
      <c r="B6" t="s">
        <v>31</v>
      </c>
      <c r="C6" t="s">
        <v>32</v>
      </c>
      <c r="D6" s="1">
        <v>45806</v>
      </c>
      <c r="E6" t="s">
        <v>33</v>
      </c>
      <c r="F6" t="s">
        <v>34</v>
      </c>
      <c r="G6">
        <v>11.5</v>
      </c>
      <c r="H6" t="s">
        <v>19</v>
      </c>
      <c r="I6" t="str">
        <f t="shared" si="0"/>
        <v>May</v>
      </c>
      <c r="J6" t="str">
        <f t="shared" si="1"/>
        <v>Q2</v>
      </c>
      <c r="K6">
        <f t="shared" si="2"/>
        <v>2025</v>
      </c>
    </row>
    <row r="7" spans="1:11" x14ac:dyDescent="0.3">
      <c r="A7" t="s">
        <v>35</v>
      </c>
      <c r="B7" t="s">
        <v>36</v>
      </c>
      <c r="C7" t="s">
        <v>37</v>
      </c>
      <c r="D7" s="1">
        <v>45756</v>
      </c>
      <c r="E7" t="s">
        <v>11</v>
      </c>
      <c r="F7" t="s">
        <v>38</v>
      </c>
      <c r="G7">
        <v>6.9</v>
      </c>
      <c r="H7" t="s">
        <v>19</v>
      </c>
      <c r="I7" t="str">
        <f t="shared" si="0"/>
        <v>April</v>
      </c>
      <c r="J7" t="str">
        <f t="shared" si="1"/>
        <v>Q2</v>
      </c>
      <c r="K7">
        <f t="shared" si="2"/>
        <v>2025</v>
      </c>
    </row>
    <row r="8" spans="1:11" x14ac:dyDescent="0.3">
      <c r="A8" t="s">
        <v>39</v>
      </c>
      <c r="B8" t="s">
        <v>40</v>
      </c>
      <c r="C8" t="s">
        <v>41</v>
      </c>
      <c r="D8" s="1">
        <v>45875</v>
      </c>
      <c r="E8" t="s">
        <v>23</v>
      </c>
      <c r="F8" t="s">
        <v>42</v>
      </c>
      <c r="G8">
        <v>15.7</v>
      </c>
      <c r="H8" t="s">
        <v>19</v>
      </c>
      <c r="I8" t="str">
        <f t="shared" si="0"/>
        <v>August</v>
      </c>
      <c r="J8" t="str">
        <f t="shared" si="1"/>
        <v>Q3</v>
      </c>
      <c r="K8">
        <f t="shared" si="2"/>
        <v>2025</v>
      </c>
    </row>
    <row r="9" spans="1:11" x14ac:dyDescent="0.3">
      <c r="A9" t="s">
        <v>43</v>
      </c>
      <c r="B9" t="s">
        <v>44</v>
      </c>
      <c r="C9" t="s">
        <v>45</v>
      </c>
      <c r="D9" s="1">
        <v>45892</v>
      </c>
      <c r="E9" t="s">
        <v>46</v>
      </c>
      <c r="F9" t="s">
        <v>47</v>
      </c>
      <c r="G9">
        <v>9.5</v>
      </c>
      <c r="H9" t="s">
        <v>48</v>
      </c>
      <c r="I9" t="str">
        <f t="shared" si="0"/>
        <v>August</v>
      </c>
      <c r="J9" t="str">
        <f t="shared" si="1"/>
        <v>Q3</v>
      </c>
      <c r="K9">
        <f t="shared" si="2"/>
        <v>2025</v>
      </c>
    </row>
    <row r="10" spans="1:11" x14ac:dyDescent="0.3">
      <c r="A10" t="s">
        <v>49</v>
      </c>
      <c r="B10" t="s">
        <v>50</v>
      </c>
      <c r="C10" t="s">
        <v>51</v>
      </c>
      <c r="D10" s="1">
        <v>45983</v>
      </c>
      <c r="E10" t="s">
        <v>11</v>
      </c>
      <c r="F10" t="s">
        <v>52</v>
      </c>
      <c r="G10">
        <v>15.3</v>
      </c>
      <c r="H10" t="s">
        <v>19</v>
      </c>
      <c r="I10" t="str">
        <f t="shared" si="0"/>
        <v>November</v>
      </c>
      <c r="J10" t="str">
        <f t="shared" si="1"/>
        <v>Q4</v>
      </c>
      <c r="K10">
        <f t="shared" si="2"/>
        <v>2025</v>
      </c>
    </row>
    <row r="11" spans="1:11" x14ac:dyDescent="0.3">
      <c r="A11" t="s">
        <v>53</v>
      </c>
      <c r="B11" t="s">
        <v>54</v>
      </c>
      <c r="C11" t="s">
        <v>55</v>
      </c>
      <c r="D11" s="1">
        <v>45953</v>
      </c>
      <c r="E11" t="s">
        <v>11</v>
      </c>
      <c r="F11" t="s">
        <v>38</v>
      </c>
      <c r="G11">
        <v>42.2</v>
      </c>
      <c r="H11" t="s">
        <v>13</v>
      </c>
      <c r="I11" t="str">
        <f t="shared" si="0"/>
        <v>October</v>
      </c>
      <c r="J11" t="str">
        <f t="shared" si="1"/>
        <v>Q4</v>
      </c>
      <c r="K11">
        <f t="shared" si="2"/>
        <v>2025</v>
      </c>
    </row>
    <row r="12" spans="1:11" x14ac:dyDescent="0.3">
      <c r="A12" t="s">
        <v>56</v>
      </c>
      <c r="B12" t="s">
        <v>57</v>
      </c>
      <c r="C12" t="s">
        <v>58</v>
      </c>
      <c r="D12" s="1">
        <v>45849</v>
      </c>
      <c r="E12" t="s">
        <v>23</v>
      </c>
      <c r="F12" t="s">
        <v>59</v>
      </c>
      <c r="G12">
        <v>18.5</v>
      </c>
      <c r="H12" t="s">
        <v>13</v>
      </c>
      <c r="I12" t="str">
        <f t="shared" si="0"/>
        <v>July</v>
      </c>
      <c r="J12" t="str">
        <f t="shared" si="1"/>
        <v>Q3</v>
      </c>
      <c r="K12">
        <f t="shared" si="2"/>
        <v>2025</v>
      </c>
    </row>
    <row r="13" spans="1:11" x14ac:dyDescent="0.3">
      <c r="A13" t="s">
        <v>60</v>
      </c>
      <c r="B13" t="s">
        <v>61</v>
      </c>
      <c r="C13" t="s">
        <v>62</v>
      </c>
      <c r="D13" s="1">
        <v>45730</v>
      </c>
      <c r="E13" t="s">
        <v>23</v>
      </c>
      <c r="F13" t="s">
        <v>24</v>
      </c>
      <c r="G13">
        <v>13.4</v>
      </c>
      <c r="H13" t="s">
        <v>19</v>
      </c>
      <c r="I13" t="str">
        <f t="shared" si="0"/>
        <v>March</v>
      </c>
      <c r="J13" t="str">
        <f t="shared" si="1"/>
        <v>Q1</v>
      </c>
      <c r="K13">
        <f t="shared" si="2"/>
        <v>2025</v>
      </c>
    </row>
    <row r="14" spans="1:11" x14ac:dyDescent="0.3">
      <c r="A14" t="s">
        <v>63</v>
      </c>
      <c r="B14" t="s">
        <v>64</v>
      </c>
      <c r="C14" t="s">
        <v>65</v>
      </c>
      <c r="D14" s="1">
        <v>45997</v>
      </c>
      <c r="E14" t="s">
        <v>11</v>
      </c>
      <c r="F14" t="s">
        <v>12</v>
      </c>
      <c r="G14">
        <v>15.1</v>
      </c>
      <c r="H14" t="s">
        <v>13</v>
      </c>
      <c r="I14" t="str">
        <f t="shared" si="0"/>
        <v>December</v>
      </c>
      <c r="J14" t="str">
        <f t="shared" si="1"/>
        <v>Q4</v>
      </c>
      <c r="K14">
        <f t="shared" si="2"/>
        <v>2025</v>
      </c>
    </row>
    <row r="15" spans="1:11" x14ac:dyDescent="0.3">
      <c r="A15" t="s">
        <v>66</v>
      </c>
      <c r="B15" t="s">
        <v>67</v>
      </c>
      <c r="C15" t="s">
        <v>68</v>
      </c>
      <c r="D15" s="1">
        <v>45784</v>
      </c>
      <c r="E15" t="s">
        <v>69</v>
      </c>
      <c r="F15" t="s">
        <v>70</v>
      </c>
      <c r="G15">
        <v>11.3</v>
      </c>
      <c r="H15" t="s">
        <v>19</v>
      </c>
      <c r="I15" t="str">
        <f t="shared" si="0"/>
        <v>May</v>
      </c>
      <c r="J15" t="str">
        <f t="shared" si="1"/>
        <v>Q2</v>
      </c>
      <c r="K15">
        <f t="shared" si="2"/>
        <v>2025</v>
      </c>
    </row>
    <row r="16" spans="1:11" x14ac:dyDescent="0.3">
      <c r="A16" t="s">
        <v>71</v>
      </c>
      <c r="B16" t="s">
        <v>72</v>
      </c>
      <c r="C16" t="s">
        <v>73</v>
      </c>
      <c r="D16" s="1">
        <v>45880</v>
      </c>
      <c r="E16" t="s">
        <v>74</v>
      </c>
      <c r="F16" t="s">
        <v>75</v>
      </c>
      <c r="G16">
        <v>16.3</v>
      </c>
      <c r="H16" t="s">
        <v>19</v>
      </c>
      <c r="I16" t="str">
        <f t="shared" si="0"/>
        <v>August</v>
      </c>
      <c r="J16" t="str">
        <f t="shared" si="1"/>
        <v>Q3</v>
      </c>
      <c r="K16">
        <f t="shared" si="2"/>
        <v>2025</v>
      </c>
    </row>
    <row r="17" spans="1:11" x14ac:dyDescent="0.3">
      <c r="A17" t="s">
        <v>76</v>
      </c>
      <c r="B17" t="s">
        <v>77</v>
      </c>
      <c r="C17" t="s">
        <v>78</v>
      </c>
      <c r="D17" s="1">
        <v>45978</v>
      </c>
      <c r="E17" t="s">
        <v>11</v>
      </c>
      <c r="F17" t="s">
        <v>38</v>
      </c>
      <c r="G17">
        <v>22.6</v>
      </c>
      <c r="H17" t="s">
        <v>13</v>
      </c>
      <c r="I17" t="str">
        <f t="shared" si="0"/>
        <v>November</v>
      </c>
      <c r="J17" t="str">
        <f t="shared" si="1"/>
        <v>Q4</v>
      </c>
      <c r="K17">
        <f t="shared" si="2"/>
        <v>2025</v>
      </c>
    </row>
    <row r="18" spans="1:11" x14ac:dyDescent="0.3">
      <c r="A18" t="s">
        <v>79</v>
      </c>
      <c r="B18" t="s">
        <v>80</v>
      </c>
      <c r="C18" t="s">
        <v>78</v>
      </c>
      <c r="D18" s="1">
        <v>45967</v>
      </c>
      <c r="E18" t="s">
        <v>11</v>
      </c>
      <c r="F18" t="s">
        <v>38</v>
      </c>
      <c r="G18">
        <v>7.2</v>
      </c>
      <c r="H18" t="s">
        <v>13</v>
      </c>
      <c r="I18" t="str">
        <f t="shared" si="0"/>
        <v>November</v>
      </c>
      <c r="J18" t="str">
        <f t="shared" si="1"/>
        <v>Q4</v>
      </c>
      <c r="K18">
        <f t="shared" si="2"/>
        <v>2025</v>
      </c>
    </row>
    <row r="19" spans="1:11" x14ac:dyDescent="0.3">
      <c r="A19" t="s">
        <v>81</v>
      </c>
      <c r="B19" t="s">
        <v>82</v>
      </c>
      <c r="C19" t="s">
        <v>45</v>
      </c>
      <c r="D19" s="1">
        <v>45897</v>
      </c>
      <c r="E19" t="s">
        <v>46</v>
      </c>
      <c r="F19" t="s">
        <v>47</v>
      </c>
      <c r="G19">
        <v>12.8</v>
      </c>
      <c r="H19" t="s">
        <v>13</v>
      </c>
      <c r="I19" t="str">
        <f t="shared" si="0"/>
        <v>August</v>
      </c>
      <c r="J19" t="str">
        <f t="shared" si="1"/>
        <v>Q3</v>
      </c>
      <c r="K19">
        <f t="shared" si="2"/>
        <v>2025</v>
      </c>
    </row>
    <row r="20" spans="1:11" x14ac:dyDescent="0.3">
      <c r="A20" t="s">
        <v>83</v>
      </c>
      <c r="B20" t="s">
        <v>84</v>
      </c>
      <c r="C20" t="s">
        <v>85</v>
      </c>
      <c r="D20" s="1">
        <v>45871</v>
      </c>
      <c r="E20" t="s">
        <v>11</v>
      </c>
      <c r="F20" t="s">
        <v>52</v>
      </c>
      <c r="G20">
        <v>4.2</v>
      </c>
      <c r="H20" t="s">
        <v>13</v>
      </c>
      <c r="I20" t="str">
        <f t="shared" si="0"/>
        <v>August</v>
      </c>
      <c r="J20" t="str">
        <f t="shared" si="1"/>
        <v>Q3</v>
      </c>
      <c r="K20">
        <f t="shared" si="2"/>
        <v>2025</v>
      </c>
    </row>
    <row r="21" spans="1:11" x14ac:dyDescent="0.3">
      <c r="A21" t="s">
        <v>86</v>
      </c>
      <c r="B21" t="s">
        <v>87</v>
      </c>
      <c r="C21" t="s">
        <v>88</v>
      </c>
      <c r="D21" s="1">
        <v>45786</v>
      </c>
      <c r="E21" t="s">
        <v>33</v>
      </c>
      <c r="F21" t="s">
        <v>89</v>
      </c>
      <c r="G21">
        <v>11.3</v>
      </c>
      <c r="H21" t="s">
        <v>13</v>
      </c>
      <c r="I21" t="str">
        <f t="shared" si="0"/>
        <v>May</v>
      </c>
      <c r="J21" t="str">
        <f t="shared" si="1"/>
        <v>Q2</v>
      </c>
      <c r="K21">
        <f t="shared" si="2"/>
        <v>2025</v>
      </c>
    </row>
    <row r="22" spans="1:11" x14ac:dyDescent="0.3">
      <c r="A22" t="s">
        <v>90</v>
      </c>
      <c r="B22" t="s">
        <v>91</v>
      </c>
      <c r="C22" t="s">
        <v>92</v>
      </c>
      <c r="D22" s="1">
        <v>45823</v>
      </c>
      <c r="E22" t="s">
        <v>23</v>
      </c>
      <c r="F22" t="s">
        <v>93</v>
      </c>
      <c r="G22">
        <v>20.3</v>
      </c>
      <c r="H22" t="s">
        <v>48</v>
      </c>
      <c r="I22" t="str">
        <f t="shared" si="0"/>
        <v>June</v>
      </c>
      <c r="J22" t="str">
        <f t="shared" si="1"/>
        <v>Q2</v>
      </c>
      <c r="K22">
        <f t="shared" si="2"/>
        <v>2025</v>
      </c>
    </row>
    <row r="23" spans="1:11" x14ac:dyDescent="0.3">
      <c r="A23" t="s">
        <v>94</v>
      </c>
      <c r="B23" t="s">
        <v>95</v>
      </c>
      <c r="C23" t="s">
        <v>96</v>
      </c>
      <c r="D23" s="1">
        <v>45925</v>
      </c>
      <c r="E23" t="s">
        <v>23</v>
      </c>
      <c r="F23" t="s">
        <v>59</v>
      </c>
      <c r="G23">
        <v>15.9</v>
      </c>
      <c r="I23" t="str">
        <f t="shared" si="0"/>
        <v>September</v>
      </c>
      <c r="J23" t="str">
        <f t="shared" si="1"/>
        <v>Q3</v>
      </c>
      <c r="K23">
        <f t="shared" si="2"/>
        <v>2025</v>
      </c>
    </row>
    <row r="24" spans="1:11" x14ac:dyDescent="0.3">
      <c r="A24" t="s">
        <v>97</v>
      </c>
      <c r="B24" t="s">
        <v>98</v>
      </c>
      <c r="C24" t="s">
        <v>99</v>
      </c>
      <c r="D24" s="1">
        <v>45883</v>
      </c>
      <c r="E24" t="s">
        <v>100</v>
      </c>
      <c r="F24" t="s">
        <v>101</v>
      </c>
      <c r="G24">
        <v>7.2</v>
      </c>
      <c r="H24" t="s">
        <v>19</v>
      </c>
      <c r="I24" t="str">
        <f t="shared" si="0"/>
        <v>August</v>
      </c>
      <c r="J24" t="str">
        <f t="shared" si="1"/>
        <v>Q3</v>
      </c>
      <c r="K24">
        <f t="shared" si="2"/>
        <v>2025</v>
      </c>
    </row>
    <row r="25" spans="1:11" x14ac:dyDescent="0.3">
      <c r="A25" t="s">
        <v>102</v>
      </c>
      <c r="B25" t="s">
        <v>103</v>
      </c>
      <c r="C25" t="s">
        <v>22</v>
      </c>
      <c r="D25" s="1">
        <v>45869</v>
      </c>
      <c r="E25" t="s">
        <v>23</v>
      </c>
      <c r="F25" t="s">
        <v>24</v>
      </c>
      <c r="G25">
        <v>31.2</v>
      </c>
      <c r="H25" t="s">
        <v>19</v>
      </c>
      <c r="I25" t="str">
        <f t="shared" si="0"/>
        <v>July</v>
      </c>
      <c r="J25" t="str">
        <f t="shared" si="1"/>
        <v>Q3</v>
      </c>
      <c r="K25">
        <f t="shared" si="2"/>
        <v>2025</v>
      </c>
    </row>
    <row r="26" spans="1:11" x14ac:dyDescent="0.3">
      <c r="A26" t="s">
        <v>104</v>
      </c>
      <c r="B26" t="s">
        <v>105</v>
      </c>
      <c r="C26" t="s">
        <v>92</v>
      </c>
      <c r="D26" s="1">
        <v>45835</v>
      </c>
      <c r="E26" t="s">
        <v>23</v>
      </c>
      <c r="F26" t="s">
        <v>93</v>
      </c>
      <c r="G26">
        <v>5</v>
      </c>
      <c r="H26" t="s">
        <v>19</v>
      </c>
      <c r="I26" t="str">
        <f t="shared" si="0"/>
        <v>June</v>
      </c>
      <c r="J26" t="str">
        <f t="shared" si="1"/>
        <v>Q2</v>
      </c>
      <c r="K26">
        <f t="shared" si="2"/>
        <v>2025</v>
      </c>
    </row>
    <row r="27" spans="1:11" x14ac:dyDescent="0.3">
      <c r="A27" t="s">
        <v>106</v>
      </c>
      <c r="B27" t="s">
        <v>107</v>
      </c>
      <c r="C27" t="s">
        <v>108</v>
      </c>
      <c r="D27" s="1">
        <v>45800</v>
      </c>
      <c r="E27" t="s">
        <v>33</v>
      </c>
      <c r="F27" t="s">
        <v>89</v>
      </c>
      <c r="G27">
        <v>10.1</v>
      </c>
      <c r="H27" t="s">
        <v>19</v>
      </c>
      <c r="I27" t="str">
        <f t="shared" si="0"/>
        <v>May</v>
      </c>
      <c r="J27" t="str">
        <f t="shared" si="1"/>
        <v>Q2</v>
      </c>
      <c r="K27">
        <f t="shared" si="2"/>
        <v>2025</v>
      </c>
    </row>
    <row r="28" spans="1:11" x14ac:dyDescent="0.3">
      <c r="A28" t="s">
        <v>109</v>
      </c>
      <c r="B28" t="s">
        <v>110</v>
      </c>
      <c r="C28" t="s">
        <v>58</v>
      </c>
      <c r="D28" s="1">
        <v>45871</v>
      </c>
      <c r="E28" t="s">
        <v>23</v>
      </c>
      <c r="F28" t="s">
        <v>59</v>
      </c>
      <c r="G28">
        <v>11</v>
      </c>
      <c r="H28" t="s">
        <v>19</v>
      </c>
      <c r="I28" t="str">
        <f t="shared" si="0"/>
        <v>August</v>
      </c>
      <c r="J28" t="str">
        <f t="shared" si="1"/>
        <v>Q3</v>
      </c>
      <c r="K28">
        <f t="shared" si="2"/>
        <v>2025</v>
      </c>
    </row>
    <row r="29" spans="1:11" x14ac:dyDescent="0.3">
      <c r="A29" t="s">
        <v>111</v>
      </c>
      <c r="B29" t="s">
        <v>112</v>
      </c>
      <c r="C29" t="s">
        <v>10</v>
      </c>
      <c r="D29" s="1">
        <v>45954</v>
      </c>
      <c r="E29" t="s">
        <v>11</v>
      </c>
      <c r="F29" t="s">
        <v>12</v>
      </c>
      <c r="G29">
        <v>23</v>
      </c>
      <c r="H29" t="s">
        <v>13</v>
      </c>
      <c r="I29" t="str">
        <f t="shared" si="0"/>
        <v>October</v>
      </c>
      <c r="J29" t="str">
        <f t="shared" si="1"/>
        <v>Q4</v>
      </c>
      <c r="K29">
        <f t="shared" si="2"/>
        <v>2025</v>
      </c>
    </row>
    <row r="30" spans="1:11" x14ac:dyDescent="0.3">
      <c r="A30" t="s">
        <v>113</v>
      </c>
      <c r="B30" t="s">
        <v>114</v>
      </c>
      <c r="C30" t="s">
        <v>22</v>
      </c>
      <c r="D30" s="1">
        <v>45876</v>
      </c>
      <c r="E30" t="s">
        <v>23</v>
      </c>
      <c r="F30" t="s">
        <v>24</v>
      </c>
      <c r="G30">
        <v>7.9</v>
      </c>
      <c r="H30" t="s">
        <v>19</v>
      </c>
      <c r="I30" t="str">
        <f t="shared" si="0"/>
        <v>August</v>
      </c>
      <c r="J30" t="str">
        <f t="shared" si="1"/>
        <v>Q3</v>
      </c>
      <c r="K30">
        <f t="shared" si="2"/>
        <v>2025</v>
      </c>
    </row>
    <row r="31" spans="1:11" x14ac:dyDescent="0.3">
      <c r="A31" t="s">
        <v>115</v>
      </c>
      <c r="B31" t="s">
        <v>116</v>
      </c>
      <c r="C31" t="s">
        <v>108</v>
      </c>
      <c r="D31" s="1">
        <v>45791</v>
      </c>
      <c r="E31" t="s">
        <v>33</v>
      </c>
      <c r="F31" t="s">
        <v>89</v>
      </c>
      <c r="G31">
        <v>14.6</v>
      </c>
      <c r="H31" t="s">
        <v>19</v>
      </c>
      <c r="I31" t="str">
        <f t="shared" si="0"/>
        <v>May</v>
      </c>
      <c r="J31" t="str">
        <f t="shared" si="1"/>
        <v>Q2</v>
      </c>
      <c r="K31">
        <f t="shared" si="2"/>
        <v>2025</v>
      </c>
    </row>
    <row r="32" spans="1:11" x14ac:dyDescent="0.3">
      <c r="A32" t="s">
        <v>117</v>
      </c>
      <c r="B32" t="s">
        <v>118</v>
      </c>
      <c r="C32" t="s">
        <v>99</v>
      </c>
      <c r="D32" s="1">
        <v>45929</v>
      </c>
      <c r="E32" t="s">
        <v>100</v>
      </c>
      <c r="F32" t="s">
        <v>101</v>
      </c>
      <c r="G32">
        <v>9.1</v>
      </c>
      <c r="H32" t="s">
        <v>48</v>
      </c>
      <c r="I32" t="str">
        <f t="shared" si="0"/>
        <v>September</v>
      </c>
      <c r="J32" t="str">
        <f t="shared" si="1"/>
        <v>Q3</v>
      </c>
      <c r="K32">
        <f t="shared" si="2"/>
        <v>2025</v>
      </c>
    </row>
    <row r="33" spans="1:11" x14ac:dyDescent="0.3">
      <c r="A33" t="s">
        <v>119</v>
      </c>
      <c r="B33" t="s">
        <v>120</v>
      </c>
      <c r="C33" t="s">
        <v>73</v>
      </c>
      <c r="D33" s="1">
        <v>45841</v>
      </c>
      <c r="E33" t="s">
        <v>74</v>
      </c>
      <c r="F33" t="s">
        <v>75</v>
      </c>
      <c r="G33">
        <v>3.5</v>
      </c>
      <c r="H33" t="s">
        <v>19</v>
      </c>
      <c r="I33" t="str">
        <f t="shared" si="0"/>
        <v>July</v>
      </c>
      <c r="J33" t="str">
        <f t="shared" si="1"/>
        <v>Q3</v>
      </c>
      <c r="K33">
        <f t="shared" si="2"/>
        <v>2025</v>
      </c>
    </row>
    <row r="34" spans="1:11" x14ac:dyDescent="0.3">
      <c r="A34" t="s">
        <v>121</v>
      </c>
      <c r="B34" t="s">
        <v>122</v>
      </c>
      <c r="C34" t="s">
        <v>123</v>
      </c>
      <c r="D34" s="1">
        <v>45860</v>
      </c>
      <c r="E34" t="s">
        <v>28</v>
      </c>
      <c r="F34" t="s">
        <v>124</v>
      </c>
      <c r="G34">
        <v>11</v>
      </c>
      <c r="H34" t="s">
        <v>19</v>
      </c>
      <c r="I34" t="str">
        <f t="shared" si="0"/>
        <v>July</v>
      </c>
      <c r="J34" t="str">
        <f t="shared" si="1"/>
        <v>Q3</v>
      </c>
      <c r="K34">
        <f t="shared" si="2"/>
        <v>2025</v>
      </c>
    </row>
    <row r="35" spans="1:11" x14ac:dyDescent="0.3">
      <c r="A35" t="s">
        <v>125</v>
      </c>
      <c r="B35" t="s">
        <v>126</v>
      </c>
      <c r="C35" t="s">
        <v>127</v>
      </c>
      <c r="D35" s="1">
        <v>45985</v>
      </c>
      <c r="E35" t="s">
        <v>28</v>
      </c>
      <c r="F35" t="s">
        <v>128</v>
      </c>
      <c r="G35">
        <v>6.3</v>
      </c>
      <c r="H35" t="s">
        <v>19</v>
      </c>
      <c r="I35" t="str">
        <f t="shared" si="0"/>
        <v>November</v>
      </c>
      <c r="J35" t="str">
        <f t="shared" si="1"/>
        <v>Q4</v>
      </c>
      <c r="K35">
        <f t="shared" si="2"/>
        <v>2025</v>
      </c>
    </row>
    <row r="36" spans="1:11" x14ac:dyDescent="0.3">
      <c r="A36" t="s">
        <v>129</v>
      </c>
      <c r="B36" t="s">
        <v>130</v>
      </c>
      <c r="C36" t="s">
        <v>37</v>
      </c>
      <c r="D36" s="1">
        <v>45766</v>
      </c>
      <c r="E36" t="s">
        <v>11</v>
      </c>
      <c r="F36" t="s">
        <v>38</v>
      </c>
      <c r="G36">
        <v>16.7</v>
      </c>
      <c r="H36" t="s">
        <v>13</v>
      </c>
      <c r="I36" t="str">
        <f t="shared" si="0"/>
        <v>April</v>
      </c>
      <c r="J36" t="str">
        <f t="shared" si="1"/>
        <v>Q2</v>
      </c>
      <c r="K36">
        <f t="shared" si="2"/>
        <v>2025</v>
      </c>
    </row>
    <row r="37" spans="1:11" x14ac:dyDescent="0.3">
      <c r="A37" t="s">
        <v>131</v>
      </c>
      <c r="B37" t="s">
        <v>132</v>
      </c>
      <c r="C37" t="s">
        <v>133</v>
      </c>
      <c r="D37" s="1">
        <v>45754</v>
      </c>
      <c r="E37" t="s">
        <v>28</v>
      </c>
      <c r="F37" t="s">
        <v>128</v>
      </c>
      <c r="G37">
        <v>16.2</v>
      </c>
      <c r="H37" t="s">
        <v>19</v>
      </c>
      <c r="I37" t="str">
        <f t="shared" si="0"/>
        <v>April</v>
      </c>
      <c r="J37" t="str">
        <f t="shared" si="1"/>
        <v>Q2</v>
      </c>
      <c r="K37">
        <f t="shared" si="2"/>
        <v>2025</v>
      </c>
    </row>
    <row r="38" spans="1:11" x14ac:dyDescent="0.3">
      <c r="A38" t="s">
        <v>134</v>
      </c>
      <c r="B38" t="s">
        <v>135</v>
      </c>
      <c r="C38" t="s">
        <v>133</v>
      </c>
      <c r="D38" s="1">
        <v>45751</v>
      </c>
      <c r="E38" t="s">
        <v>28</v>
      </c>
      <c r="F38" t="s">
        <v>128</v>
      </c>
      <c r="G38">
        <v>11.5</v>
      </c>
      <c r="H38" t="s">
        <v>48</v>
      </c>
      <c r="I38" t="str">
        <f t="shared" si="0"/>
        <v>April</v>
      </c>
      <c r="J38" t="str">
        <f t="shared" si="1"/>
        <v>Q2</v>
      </c>
      <c r="K38">
        <f t="shared" si="2"/>
        <v>2025</v>
      </c>
    </row>
    <row r="39" spans="1:11" x14ac:dyDescent="0.3">
      <c r="A39" t="s">
        <v>136</v>
      </c>
      <c r="B39" t="s">
        <v>137</v>
      </c>
      <c r="C39" t="s">
        <v>58</v>
      </c>
      <c r="D39" s="1">
        <v>45846</v>
      </c>
      <c r="E39" t="s">
        <v>23</v>
      </c>
      <c r="F39" t="s">
        <v>59</v>
      </c>
      <c r="G39">
        <v>20.7</v>
      </c>
      <c r="H39" t="s">
        <v>19</v>
      </c>
      <c r="I39" t="str">
        <f t="shared" si="0"/>
        <v>July</v>
      </c>
      <c r="J39" t="str">
        <f t="shared" si="1"/>
        <v>Q3</v>
      </c>
      <c r="K39">
        <f t="shared" si="2"/>
        <v>2025</v>
      </c>
    </row>
    <row r="40" spans="1:11" x14ac:dyDescent="0.3">
      <c r="A40" t="s">
        <v>138</v>
      </c>
      <c r="B40" t="s">
        <v>139</v>
      </c>
      <c r="C40" t="s">
        <v>140</v>
      </c>
      <c r="D40" s="1">
        <v>45961</v>
      </c>
      <c r="E40" t="s">
        <v>141</v>
      </c>
      <c r="F40" t="s">
        <v>142</v>
      </c>
      <c r="G40">
        <v>17.7</v>
      </c>
      <c r="H40" t="s">
        <v>13</v>
      </c>
      <c r="I40" t="str">
        <f t="shared" si="0"/>
        <v>October</v>
      </c>
      <c r="J40" t="str">
        <f t="shared" si="1"/>
        <v>Q4</v>
      </c>
      <c r="K40">
        <f t="shared" si="2"/>
        <v>2025</v>
      </c>
    </row>
    <row r="41" spans="1:11" x14ac:dyDescent="0.3">
      <c r="A41" t="s">
        <v>143</v>
      </c>
      <c r="B41" t="s">
        <v>144</v>
      </c>
      <c r="C41" t="s">
        <v>45</v>
      </c>
      <c r="D41" s="1">
        <v>45914</v>
      </c>
      <c r="E41" t="s">
        <v>46</v>
      </c>
      <c r="F41" t="s">
        <v>47</v>
      </c>
      <c r="G41">
        <v>13.1</v>
      </c>
      <c r="H41" t="s">
        <v>19</v>
      </c>
      <c r="I41" t="str">
        <f t="shared" si="0"/>
        <v>September</v>
      </c>
      <c r="J41" t="str">
        <f t="shared" si="1"/>
        <v>Q3</v>
      </c>
      <c r="K41">
        <f t="shared" si="2"/>
        <v>2025</v>
      </c>
    </row>
    <row r="42" spans="1:11" x14ac:dyDescent="0.3">
      <c r="A42" t="s">
        <v>145</v>
      </c>
      <c r="B42" t="s">
        <v>146</v>
      </c>
      <c r="C42" t="s">
        <v>147</v>
      </c>
      <c r="D42" s="1">
        <v>45868</v>
      </c>
      <c r="E42" t="s">
        <v>11</v>
      </c>
      <c r="F42" t="s">
        <v>38</v>
      </c>
      <c r="G42">
        <v>6.2</v>
      </c>
      <c r="H42" t="s">
        <v>13</v>
      </c>
      <c r="I42" t="str">
        <f t="shared" si="0"/>
        <v>July</v>
      </c>
      <c r="J42" t="str">
        <f t="shared" si="1"/>
        <v>Q3</v>
      </c>
      <c r="K42">
        <f t="shared" si="2"/>
        <v>2025</v>
      </c>
    </row>
    <row r="43" spans="1:11" x14ac:dyDescent="0.3">
      <c r="A43" t="s">
        <v>148</v>
      </c>
      <c r="B43" t="s">
        <v>149</v>
      </c>
      <c r="C43" t="s">
        <v>41</v>
      </c>
      <c r="D43" s="1">
        <v>45862</v>
      </c>
      <c r="E43" t="s">
        <v>23</v>
      </c>
      <c r="F43" t="s">
        <v>42</v>
      </c>
      <c r="G43">
        <v>8</v>
      </c>
      <c r="H43" t="s">
        <v>13</v>
      </c>
      <c r="I43" t="str">
        <f t="shared" si="0"/>
        <v>July</v>
      </c>
      <c r="J43" t="str">
        <f t="shared" si="1"/>
        <v>Q3</v>
      </c>
      <c r="K43">
        <f t="shared" si="2"/>
        <v>2025</v>
      </c>
    </row>
    <row r="44" spans="1:11" x14ac:dyDescent="0.3">
      <c r="A44" t="s">
        <v>150</v>
      </c>
      <c r="B44" t="s">
        <v>151</v>
      </c>
      <c r="C44" t="s">
        <v>65</v>
      </c>
      <c r="D44" s="1">
        <v>46000</v>
      </c>
      <c r="E44" t="s">
        <v>11</v>
      </c>
      <c r="F44" t="s">
        <v>12</v>
      </c>
      <c r="G44">
        <v>12.3</v>
      </c>
      <c r="H44" t="s">
        <v>13</v>
      </c>
      <c r="I44" t="str">
        <f t="shared" si="0"/>
        <v>December</v>
      </c>
      <c r="J44" t="str">
        <f t="shared" si="1"/>
        <v>Q4</v>
      </c>
      <c r="K44">
        <f t="shared" si="2"/>
        <v>2025</v>
      </c>
    </row>
    <row r="45" spans="1:11" x14ac:dyDescent="0.3">
      <c r="A45" t="s">
        <v>152</v>
      </c>
      <c r="B45" t="s">
        <v>153</v>
      </c>
      <c r="C45" t="s">
        <v>99</v>
      </c>
      <c r="D45" s="1">
        <v>45893</v>
      </c>
      <c r="E45" t="s">
        <v>100</v>
      </c>
      <c r="F45" t="s">
        <v>101</v>
      </c>
      <c r="G45">
        <v>9.6</v>
      </c>
      <c r="H45" t="s">
        <v>19</v>
      </c>
      <c r="I45" t="str">
        <f t="shared" si="0"/>
        <v>August</v>
      </c>
      <c r="J45" t="str">
        <f t="shared" si="1"/>
        <v>Q3</v>
      </c>
      <c r="K45">
        <f t="shared" si="2"/>
        <v>2025</v>
      </c>
    </row>
    <row r="46" spans="1:11" x14ac:dyDescent="0.3">
      <c r="A46" t="s">
        <v>154</v>
      </c>
      <c r="B46" t="s">
        <v>155</v>
      </c>
      <c r="C46" t="s">
        <v>156</v>
      </c>
      <c r="D46" s="1">
        <v>45778</v>
      </c>
      <c r="E46" t="s">
        <v>46</v>
      </c>
      <c r="F46" t="s">
        <v>157</v>
      </c>
      <c r="G46">
        <v>16.8</v>
      </c>
      <c r="H46" t="s">
        <v>19</v>
      </c>
      <c r="I46" t="str">
        <f t="shared" si="0"/>
        <v>May</v>
      </c>
      <c r="J46" t="str">
        <f t="shared" si="1"/>
        <v>Q2</v>
      </c>
      <c r="K46">
        <f t="shared" si="2"/>
        <v>2025</v>
      </c>
    </row>
    <row r="47" spans="1:11" x14ac:dyDescent="0.3">
      <c r="A47" t="s">
        <v>158</v>
      </c>
      <c r="B47" t="s">
        <v>159</v>
      </c>
      <c r="C47" t="s">
        <v>37</v>
      </c>
      <c r="D47" s="1">
        <v>45761</v>
      </c>
      <c r="E47" t="s">
        <v>11</v>
      </c>
      <c r="F47" t="s">
        <v>38</v>
      </c>
      <c r="G47">
        <v>15.3</v>
      </c>
      <c r="H47" t="s">
        <v>19</v>
      </c>
      <c r="I47" t="str">
        <f t="shared" si="0"/>
        <v>April</v>
      </c>
      <c r="J47" t="str">
        <f t="shared" si="1"/>
        <v>Q2</v>
      </c>
      <c r="K47">
        <f t="shared" si="2"/>
        <v>2025</v>
      </c>
    </row>
    <row r="48" spans="1:11" x14ac:dyDescent="0.3">
      <c r="A48" t="s">
        <v>160</v>
      </c>
      <c r="B48" t="s">
        <v>161</v>
      </c>
      <c r="C48" t="s">
        <v>133</v>
      </c>
      <c r="D48" s="1">
        <v>45755</v>
      </c>
      <c r="E48" t="s">
        <v>28</v>
      </c>
      <c r="F48" t="s">
        <v>128</v>
      </c>
      <c r="G48">
        <v>24</v>
      </c>
      <c r="H48" t="s">
        <v>13</v>
      </c>
      <c r="I48" t="str">
        <f t="shared" si="0"/>
        <v>April</v>
      </c>
      <c r="J48" t="str">
        <f t="shared" si="1"/>
        <v>Q2</v>
      </c>
      <c r="K48">
        <f t="shared" si="2"/>
        <v>2025</v>
      </c>
    </row>
    <row r="49" spans="1:11" x14ac:dyDescent="0.3">
      <c r="A49" t="s">
        <v>162</v>
      </c>
      <c r="B49" t="s">
        <v>163</v>
      </c>
      <c r="C49" t="s">
        <v>99</v>
      </c>
      <c r="D49" s="1">
        <v>45902</v>
      </c>
      <c r="E49" t="s">
        <v>100</v>
      </c>
      <c r="F49" t="s">
        <v>101</v>
      </c>
      <c r="G49">
        <v>6.3</v>
      </c>
      <c r="H49" t="s">
        <v>19</v>
      </c>
      <c r="I49" t="str">
        <f t="shared" si="0"/>
        <v>September</v>
      </c>
      <c r="J49" t="str">
        <f t="shared" si="1"/>
        <v>Q3</v>
      </c>
      <c r="K49">
        <f t="shared" si="2"/>
        <v>2025</v>
      </c>
    </row>
    <row r="50" spans="1:11" x14ac:dyDescent="0.3">
      <c r="A50" t="s">
        <v>164</v>
      </c>
      <c r="B50" t="s">
        <v>165</v>
      </c>
      <c r="C50" t="s">
        <v>166</v>
      </c>
      <c r="D50" s="1">
        <v>45838</v>
      </c>
      <c r="E50" t="s">
        <v>33</v>
      </c>
      <c r="F50" t="s">
        <v>167</v>
      </c>
      <c r="G50">
        <v>13.2</v>
      </c>
      <c r="H50" t="s">
        <v>19</v>
      </c>
      <c r="I50" t="str">
        <f t="shared" si="0"/>
        <v>June</v>
      </c>
      <c r="J50" t="str">
        <f t="shared" si="1"/>
        <v>Q2</v>
      </c>
      <c r="K50">
        <f t="shared" si="2"/>
        <v>2025</v>
      </c>
    </row>
    <row r="51" spans="1:11" x14ac:dyDescent="0.3">
      <c r="A51" t="s">
        <v>168</v>
      </c>
      <c r="B51" t="s">
        <v>169</v>
      </c>
      <c r="C51" t="s">
        <v>58</v>
      </c>
      <c r="D51" s="1">
        <v>45882</v>
      </c>
      <c r="E51" t="s">
        <v>23</v>
      </c>
      <c r="F51" t="s">
        <v>59</v>
      </c>
      <c r="G51">
        <v>3.7</v>
      </c>
      <c r="H51" t="s">
        <v>19</v>
      </c>
      <c r="I51" t="str">
        <f t="shared" si="0"/>
        <v>August</v>
      </c>
      <c r="J51" t="str">
        <f t="shared" si="1"/>
        <v>Q3</v>
      </c>
      <c r="K51">
        <f t="shared" si="2"/>
        <v>2025</v>
      </c>
    </row>
    <row r="52" spans="1:11" x14ac:dyDescent="0.3">
      <c r="A52" t="s">
        <v>170</v>
      </c>
      <c r="B52" t="s">
        <v>171</v>
      </c>
      <c r="C52" t="s">
        <v>51</v>
      </c>
      <c r="D52" s="1">
        <v>46003</v>
      </c>
      <c r="E52" t="s">
        <v>11</v>
      </c>
      <c r="F52" t="s">
        <v>52</v>
      </c>
      <c r="G52">
        <v>10</v>
      </c>
      <c r="H52" t="s">
        <v>19</v>
      </c>
      <c r="I52" t="str">
        <f t="shared" si="0"/>
        <v>December</v>
      </c>
      <c r="J52" t="str">
        <f t="shared" si="1"/>
        <v>Q4</v>
      </c>
      <c r="K52">
        <f t="shared" si="2"/>
        <v>2025</v>
      </c>
    </row>
    <row r="53" spans="1:11" x14ac:dyDescent="0.3">
      <c r="A53" t="s">
        <v>172</v>
      </c>
      <c r="B53" t="s">
        <v>173</v>
      </c>
      <c r="C53" t="s">
        <v>37</v>
      </c>
      <c r="D53" s="1">
        <v>45766</v>
      </c>
      <c r="E53" t="s">
        <v>11</v>
      </c>
      <c r="F53" t="s">
        <v>38</v>
      </c>
      <c r="G53">
        <v>11.1</v>
      </c>
      <c r="H53" t="s">
        <v>13</v>
      </c>
      <c r="I53" t="str">
        <f t="shared" si="0"/>
        <v>April</v>
      </c>
      <c r="J53" t="str">
        <f t="shared" si="1"/>
        <v>Q2</v>
      </c>
      <c r="K53">
        <f t="shared" si="2"/>
        <v>2025</v>
      </c>
    </row>
    <row r="54" spans="1:11" x14ac:dyDescent="0.3">
      <c r="A54" t="s">
        <v>174</v>
      </c>
      <c r="B54" t="s">
        <v>175</v>
      </c>
      <c r="C54" t="s">
        <v>176</v>
      </c>
      <c r="D54" s="1">
        <v>45768</v>
      </c>
      <c r="E54" t="s">
        <v>33</v>
      </c>
      <c r="F54" t="s">
        <v>34</v>
      </c>
      <c r="G54">
        <v>23.7</v>
      </c>
      <c r="H54" t="s">
        <v>19</v>
      </c>
      <c r="I54" t="str">
        <f t="shared" si="0"/>
        <v>April</v>
      </c>
      <c r="J54" t="str">
        <f t="shared" si="1"/>
        <v>Q2</v>
      </c>
      <c r="K54">
        <f t="shared" si="2"/>
        <v>2025</v>
      </c>
    </row>
    <row r="55" spans="1:11" x14ac:dyDescent="0.3">
      <c r="A55" t="s">
        <v>177</v>
      </c>
      <c r="B55" t="s">
        <v>178</v>
      </c>
      <c r="C55" t="s">
        <v>92</v>
      </c>
      <c r="D55" s="1">
        <v>45802</v>
      </c>
      <c r="E55" t="s">
        <v>23</v>
      </c>
      <c r="F55" t="s">
        <v>93</v>
      </c>
      <c r="G55">
        <v>12.8</v>
      </c>
      <c r="H55" t="s">
        <v>48</v>
      </c>
      <c r="I55" t="str">
        <f t="shared" si="0"/>
        <v>May</v>
      </c>
      <c r="J55" t="str">
        <f t="shared" si="1"/>
        <v>Q2</v>
      </c>
      <c r="K55">
        <f t="shared" si="2"/>
        <v>2025</v>
      </c>
    </row>
    <row r="56" spans="1:11" x14ac:dyDescent="0.3">
      <c r="A56" t="s">
        <v>179</v>
      </c>
      <c r="B56" t="s">
        <v>180</v>
      </c>
      <c r="C56" t="s">
        <v>51</v>
      </c>
      <c r="D56" s="1">
        <v>46003</v>
      </c>
      <c r="E56" t="s">
        <v>11</v>
      </c>
      <c r="F56" t="s">
        <v>52</v>
      </c>
      <c r="G56">
        <v>7.6</v>
      </c>
      <c r="H56" t="s">
        <v>13</v>
      </c>
      <c r="I56" t="str">
        <f t="shared" si="0"/>
        <v>December</v>
      </c>
      <c r="J56" t="str">
        <f t="shared" si="1"/>
        <v>Q4</v>
      </c>
      <c r="K56">
        <f t="shared" si="2"/>
        <v>2025</v>
      </c>
    </row>
    <row r="57" spans="1:11" x14ac:dyDescent="0.3">
      <c r="A57" t="s">
        <v>181</v>
      </c>
      <c r="B57" t="s">
        <v>182</v>
      </c>
      <c r="C57" t="s">
        <v>183</v>
      </c>
      <c r="D57" s="1">
        <v>45881</v>
      </c>
      <c r="E57" t="s">
        <v>100</v>
      </c>
      <c r="F57" t="s">
        <v>184</v>
      </c>
      <c r="G57">
        <v>14.1</v>
      </c>
      <c r="H57" t="s">
        <v>19</v>
      </c>
      <c r="I57" t="str">
        <f t="shared" si="0"/>
        <v>August</v>
      </c>
      <c r="J57" t="str">
        <f t="shared" si="1"/>
        <v>Q3</v>
      </c>
      <c r="K57">
        <f t="shared" si="2"/>
        <v>2025</v>
      </c>
    </row>
    <row r="58" spans="1:11" x14ac:dyDescent="0.3">
      <c r="A58" t="s">
        <v>185</v>
      </c>
      <c r="B58" t="s">
        <v>186</v>
      </c>
      <c r="C58" t="s">
        <v>187</v>
      </c>
      <c r="D58" s="1">
        <v>45873</v>
      </c>
      <c r="E58" t="s">
        <v>33</v>
      </c>
      <c r="F58" t="s">
        <v>188</v>
      </c>
      <c r="G58">
        <v>16.8</v>
      </c>
      <c r="H58" t="s">
        <v>19</v>
      </c>
      <c r="I58" t="str">
        <f t="shared" si="0"/>
        <v>August</v>
      </c>
      <c r="J58" t="str">
        <f t="shared" si="1"/>
        <v>Q3</v>
      </c>
      <c r="K58">
        <f t="shared" si="2"/>
        <v>2025</v>
      </c>
    </row>
    <row r="59" spans="1:11" x14ac:dyDescent="0.3">
      <c r="A59" t="s">
        <v>189</v>
      </c>
      <c r="B59" t="s">
        <v>190</v>
      </c>
      <c r="C59" t="s">
        <v>191</v>
      </c>
      <c r="D59" s="1">
        <v>45710</v>
      </c>
      <c r="E59" t="s">
        <v>74</v>
      </c>
      <c r="F59" t="s">
        <v>192</v>
      </c>
      <c r="G59">
        <v>13.4</v>
      </c>
      <c r="H59" t="s">
        <v>13</v>
      </c>
      <c r="I59" t="str">
        <f t="shared" si="0"/>
        <v>February</v>
      </c>
      <c r="J59" t="str">
        <f t="shared" si="1"/>
        <v>Q1</v>
      </c>
      <c r="K59">
        <f t="shared" si="2"/>
        <v>2025</v>
      </c>
    </row>
    <row r="60" spans="1:11" x14ac:dyDescent="0.3">
      <c r="A60" t="s">
        <v>193</v>
      </c>
      <c r="B60" t="s">
        <v>194</v>
      </c>
      <c r="C60" t="s">
        <v>195</v>
      </c>
      <c r="D60" s="1">
        <v>45919</v>
      </c>
      <c r="E60" t="s">
        <v>69</v>
      </c>
      <c r="F60" t="s">
        <v>196</v>
      </c>
      <c r="G60">
        <v>8.8000000000000007</v>
      </c>
      <c r="H60" t="s">
        <v>19</v>
      </c>
      <c r="I60" t="str">
        <f t="shared" si="0"/>
        <v>September</v>
      </c>
      <c r="J60" t="str">
        <f t="shared" si="1"/>
        <v>Q3</v>
      </c>
      <c r="K60">
        <f t="shared" si="2"/>
        <v>2025</v>
      </c>
    </row>
    <row r="61" spans="1:11" x14ac:dyDescent="0.3">
      <c r="A61" t="s">
        <v>197</v>
      </c>
      <c r="B61" t="s">
        <v>198</v>
      </c>
      <c r="C61" t="s">
        <v>85</v>
      </c>
      <c r="D61" s="1">
        <v>45884</v>
      </c>
      <c r="E61" t="s">
        <v>11</v>
      </c>
      <c r="F61" t="s">
        <v>52</v>
      </c>
      <c r="G61">
        <v>20.100000000000001</v>
      </c>
      <c r="H61" t="s">
        <v>48</v>
      </c>
      <c r="I61" t="str">
        <f t="shared" si="0"/>
        <v>August</v>
      </c>
      <c r="J61" t="str">
        <f t="shared" si="1"/>
        <v>Q3</v>
      </c>
      <c r="K61">
        <f t="shared" si="2"/>
        <v>2025</v>
      </c>
    </row>
    <row r="62" spans="1:11" x14ac:dyDescent="0.3">
      <c r="A62" t="s">
        <v>199</v>
      </c>
      <c r="B62" t="s">
        <v>200</v>
      </c>
      <c r="C62" t="s">
        <v>201</v>
      </c>
      <c r="D62" s="1">
        <v>46009</v>
      </c>
      <c r="E62" t="s">
        <v>23</v>
      </c>
      <c r="F62" t="s">
        <v>93</v>
      </c>
      <c r="G62">
        <v>7.8</v>
      </c>
      <c r="H62" t="s">
        <v>13</v>
      </c>
      <c r="I62" t="str">
        <f t="shared" si="0"/>
        <v>December</v>
      </c>
      <c r="J62" t="str">
        <f t="shared" si="1"/>
        <v>Q4</v>
      </c>
      <c r="K62">
        <f t="shared" si="2"/>
        <v>2025</v>
      </c>
    </row>
    <row r="63" spans="1:11" x14ac:dyDescent="0.3">
      <c r="A63" t="s">
        <v>202</v>
      </c>
      <c r="B63" t="s">
        <v>203</v>
      </c>
      <c r="C63" t="s">
        <v>156</v>
      </c>
      <c r="D63" s="1">
        <v>45757</v>
      </c>
      <c r="E63" t="s">
        <v>46</v>
      </c>
      <c r="F63" t="s">
        <v>157</v>
      </c>
      <c r="G63">
        <v>3.9</v>
      </c>
      <c r="H63" t="s">
        <v>19</v>
      </c>
      <c r="I63" t="str">
        <f t="shared" si="0"/>
        <v>April</v>
      </c>
      <c r="J63" t="str">
        <f t="shared" si="1"/>
        <v>Q2</v>
      </c>
      <c r="K63">
        <f t="shared" si="2"/>
        <v>2025</v>
      </c>
    </row>
    <row r="64" spans="1:11" x14ac:dyDescent="0.3">
      <c r="A64" t="s">
        <v>204</v>
      </c>
      <c r="B64" t="s">
        <v>205</v>
      </c>
      <c r="C64" t="s">
        <v>92</v>
      </c>
      <c r="D64" s="1">
        <v>45823</v>
      </c>
      <c r="E64" t="s">
        <v>23</v>
      </c>
      <c r="F64" t="s">
        <v>93</v>
      </c>
      <c r="G64">
        <v>14.1</v>
      </c>
      <c r="H64" t="s">
        <v>13</v>
      </c>
      <c r="I64" t="str">
        <f t="shared" si="0"/>
        <v>June</v>
      </c>
      <c r="J64" t="str">
        <f t="shared" si="1"/>
        <v>Q2</v>
      </c>
      <c r="K64">
        <f t="shared" si="2"/>
        <v>2025</v>
      </c>
    </row>
    <row r="65" spans="1:11" x14ac:dyDescent="0.3">
      <c r="A65" t="s">
        <v>206</v>
      </c>
      <c r="B65" t="s">
        <v>207</v>
      </c>
      <c r="C65" t="s">
        <v>208</v>
      </c>
      <c r="D65" s="1">
        <v>45854</v>
      </c>
      <c r="E65" t="s">
        <v>46</v>
      </c>
      <c r="F65" t="s">
        <v>209</v>
      </c>
      <c r="G65">
        <v>22.1</v>
      </c>
      <c r="H65" t="s">
        <v>19</v>
      </c>
      <c r="I65" t="str">
        <f t="shared" si="0"/>
        <v>July</v>
      </c>
      <c r="J65" t="str">
        <f t="shared" si="1"/>
        <v>Q3</v>
      </c>
      <c r="K65">
        <f t="shared" si="2"/>
        <v>2025</v>
      </c>
    </row>
    <row r="66" spans="1:11" x14ac:dyDescent="0.3">
      <c r="A66" t="s">
        <v>210</v>
      </c>
      <c r="B66" t="s">
        <v>211</v>
      </c>
      <c r="C66" t="s">
        <v>96</v>
      </c>
      <c r="D66" s="1">
        <v>45951</v>
      </c>
      <c r="E66" t="s">
        <v>23</v>
      </c>
      <c r="F66" t="s">
        <v>59</v>
      </c>
      <c r="G66">
        <v>4.5</v>
      </c>
      <c r="H66" t="s">
        <v>13</v>
      </c>
      <c r="I66" t="str">
        <f t="shared" ref="I66:I129" si="3">TEXT(D66,"mmmm")</f>
        <v>October</v>
      </c>
      <c r="J66" t="str">
        <f t="shared" ref="J66:J129" si="4">"Q"&amp;ROUNDUP(MONTH(D66)/3,0)</f>
        <v>Q4</v>
      </c>
      <c r="K66">
        <f t="shared" ref="K66:K129" si="5">YEAR(D66)</f>
        <v>2025</v>
      </c>
    </row>
    <row r="67" spans="1:11" x14ac:dyDescent="0.3">
      <c r="A67" t="s">
        <v>212</v>
      </c>
      <c r="B67" t="s">
        <v>213</v>
      </c>
      <c r="C67" t="s">
        <v>78</v>
      </c>
      <c r="D67" s="1">
        <v>45962</v>
      </c>
      <c r="E67" t="s">
        <v>11</v>
      </c>
      <c r="F67" t="s">
        <v>38</v>
      </c>
      <c r="G67">
        <v>15</v>
      </c>
      <c r="H67" t="s">
        <v>13</v>
      </c>
      <c r="I67" t="str">
        <f t="shared" si="3"/>
        <v>November</v>
      </c>
      <c r="J67" t="str">
        <f t="shared" si="4"/>
        <v>Q4</v>
      </c>
      <c r="K67">
        <f t="shared" si="5"/>
        <v>2025</v>
      </c>
    </row>
    <row r="68" spans="1:11" x14ac:dyDescent="0.3">
      <c r="A68" t="s">
        <v>214</v>
      </c>
      <c r="B68" t="s">
        <v>215</v>
      </c>
      <c r="C68" t="s">
        <v>10</v>
      </c>
      <c r="D68" s="1">
        <v>45991</v>
      </c>
      <c r="E68" t="s">
        <v>11</v>
      </c>
      <c r="F68" t="s">
        <v>12</v>
      </c>
      <c r="G68">
        <v>4.9000000000000004</v>
      </c>
      <c r="H68" t="s">
        <v>13</v>
      </c>
      <c r="I68" t="str">
        <f t="shared" si="3"/>
        <v>November</v>
      </c>
      <c r="J68" t="str">
        <f t="shared" si="4"/>
        <v>Q4</v>
      </c>
      <c r="K68">
        <f t="shared" si="5"/>
        <v>2025</v>
      </c>
    </row>
    <row r="69" spans="1:11" x14ac:dyDescent="0.3">
      <c r="A69" t="s">
        <v>216</v>
      </c>
      <c r="B69" t="s">
        <v>217</v>
      </c>
      <c r="C69" t="s">
        <v>176</v>
      </c>
      <c r="D69" s="1">
        <v>45745</v>
      </c>
      <c r="E69" t="s">
        <v>33</v>
      </c>
      <c r="F69" t="s">
        <v>34</v>
      </c>
      <c r="G69">
        <v>10.199999999999999</v>
      </c>
      <c r="H69" t="s">
        <v>19</v>
      </c>
      <c r="I69" t="str">
        <f t="shared" si="3"/>
        <v>March</v>
      </c>
      <c r="J69" t="str">
        <f t="shared" si="4"/>
        <v>Q1</v>
      </c>
      <c r="K69">
        <f t="shared" si="5"/>
        <v>2025</v>
      </c>
    </row>
    <row r="70" spans="1:11" x14ac:dyDescent="0.3">
      <c r="A70" t="s">
        <v>218</v>
      </c>
      <c r="B70" t="s">
        <v>219</v>
      </c>
      <c r="C70" t="s">
        <v>10</v>
      </c>
      <c r="D70" s="1">
        <v>45969</v>
      </c>
      <c r="E70" t="s">
        <v>11</v>
      </c>
      <c r="F70" t="s">
        <v>12</v>
      </c>
      <c r="G70">
        <v>7.5</v>
      </c>
      <c r="H70" t="s">
        <v>19</v>
      </c>
      <c r="I70" t="str">
        <f t="shared" si="3"/>
        <v>November</v>
      </c>
      <c r="J70" t="str">
        <f t="shared" si="4"/>
        <v>Q4</v>
      </c>
      <c r="K70">
        <f t="shared" si="5"/>
        <v>2025</v>
      </c>
    </row>
    <row r="71" spans="1:11" x14ac:dyDescent="0.3">
      <c r="A71" t="s">
        <v>220</v>
      </c>
      <c r="B71" t="s">
        <v>221</v>
      </c>
      <c r="C71" t="s">
        <v>96</v>
      </c>
      <c r="D71" s="1">
        <v>45916</v>
      </c>
      <c r="E71" t="s">
        <v>23</v>
      </c>
      <c r="F71" t="s">
        <v>59</v>
      </c>
      <c r="G71">
        <v>8.9</v>
      </c>
      <c r="H71" t="s">
        <v>19</v>
      </c>
      <c r="I71" t="str">
        <f t="shared" si="3"/>
        <v>September</v>
      </c>
      <c r="J71" t="str">
        <f t="shared" si="4"/>
        <v>Q3</v>
      </c>
      <c r="K71">
        <f t="shared" si="5"/>
        <v>2025</v>
      </c>
    </row>
    <row r="72" spans="1:11" x14ac:dyDescent="0.3">
      <c r="A72" t="s">
        <v>222</v>
      </c>
      <c r="B72" t="s">
        <v>223</v>
      </c>
      <c r="C72" t="s">
        <v>45</v>
      </c>
      <c r="D72" s="1">
        <v>45888</v>
      </c>
      <c r="E72" t="s">
        <v>46</v>
      </c>
      <c r="F72" t="s">
        <v>47</v>
      </c>
      <c r="G72">
        <v>17.7</v>
      </c>
      <c r="H72" t="s">
        <v>19</v>
      </c>
      <c r="I72" t="str">
        <f t="shared" si="3"/>
        <v>August</v>
      </c>
      <c r="J72" t="str">
        <f t="shared" si="4"/>
        <v>Q3</v>
      </c>
      <c r="K72">
        <f t="shared" si="5"/>
        <v>2025</v>
      </c>
    </row>
    <row r="73" spans="1:11" x14ac:dyDescent="0.3">
      <c r="A73" t="s">
        <v>224</v>
      </c>
      <c r="B73" t="s">
        <v>225</v>
      </c>
      <c r="C73" t="s">
        <v>37</v>
      </c>
      <c r="D73" s="1">
        <v>45785</v>
      </c>
      <c r="E73" t="s">
        <v>11</v>
      </c>
      <c r="F73" t="s">
        <v>38</v>
      </c>
      <c r="G73">
        <v>19.899999999999999</v>
      </c>
      <c r="H73" t="s">
        <v>19</v>
      </c>
      <c r="I73" t="str">
        <f t="shared" si="3"/>
        <v>May</v>
      </c>
      <c r="J73" t="str">
        <f t="shared" si="4"/>
        <v>Q2</v>
      </c>
      <c r="K73">
        <f t="shared" si="5"/>
        <v>2025</v>
      </c>
    </row>
    <row r="74" spans="1:11" x14ac:dyDescent="0.3">
      <c r="A74" t="s">
        <v>226</v>
      </c>
      <c r="B74" t="s">
        <v>227</v>
      </c>
      <c r="C74" t="s">
        <v>16</v>
      </c>
      <c r="D74" s="1">
        <v>45818</v>
      </c>
      <c r="E74" t="s">
        <v>17</v>
      </c>
      <c r="F74" t="s">
        <v>18</v>
      </c>
      <c r="G74">
        <v>13.9</v>
      </c>
      <c r="H74" t="s">
        <v>19</v>
      </c>
      <c r="I74" t="str">
        <f t="shared" si="3"/>
        <v>June</v>
      </c>
      <c r="J74" t="str">
        <f t="shared" si="4"/>
        <v>Q2</v>
      </c>
      <c r="K74">
        <f t="shared" si="5"/>
        <v>2025</v>
      </c>
    </row>
    <row r="75" spans="1:11" x14ac:dyDescent="0.3">
      <c r="A75" t="s">
        <v>228</v>
      </c>
      <c r="B75" t="s">
        <v>229</v>
      </c>
      <c r="C75" t="s">
        <v>133</v>
      </c>
      <c r="D75" s="1">
        <v>45758</v>
      </c>
      <c r="E75" t="s">
        <v>28</v>
      </c>
      <c r="F75" t="s">
        <v>128</v>
      </c>
      <c r="G75">
        <v>20.3</v>
      </c>
      <c r="H75" t="s">
        <v>19</v>
      </c>
      <c r="I75" t="str">
        <f t="shared" si="3"/>
        <v>April</v>
      </c>
      <c r="J75" t="str">
        <f t="shared" si="4"/>
        <v>Q2</v>
      </c>
      <c r="K75">
        <f t="shared" si="5"/>
        <v>2025</v>
      </c>
    </row>
    <row r="76" spans="1:11" x14ac:dyDescent="0.3">
      <c r="A76" t="s">
        <v>230</v>
      </c>
      <c r="B76" t="s">
        <v>231</v>
      </c>
      <c r="C76" t="s">
        <v>22</v>
      </c>
      <c r="D76" s="1">
        <v>45871</v>
      </c>
      <c r="E76" t="s">
        <v>23</v>
      </c>
      <c r="F76" t="s">
        <v>24</v>
      </c>
      <c r="G76">
        <v>4.9000000000000004</v>
      </c>
      <c r="H76" t="s">
        <v>19</v>
      </c>
      <c r="I76" t="str">
        <f t="shared" si="3"/>
        <v>August</v>
      </c>
      <c r="J76" t="str">
        <f t="shared" si="4"/>
        <v>Q3</v>
      </c>
      <c r="K76">
        <f t="shared" si="5"/>
        <v>2025</v>
      </c>
    </row>
    <row r="77" spans="1:11" x14ac:dyDescent="0.3">
      <c r="A77" t="s">
        <v>232</v>
      </c>
      <c r="B77" t="s">
        <v>233</v>
      </c>
      <c r="C77" t="s">
        <v>51</v>
      </c>
      <c r="D77" s="1">
        <v>46000</v>
      </c>
      <c r="E77" t="s">
        <v>11</v>
      </c>
      <c r="F77" t="s">
        <v>52</v>
      </c>
      <c r="G77">
        <v>5.7</v>
      </c>
      <c r="H77" t="s">
        <v>13</v>
      </c>
      <c r="I77" t="str">
        <f t="shared" si="3"/>
        <v>December</v>
      </c>
      <c r="J77" t="str">
        <f t="shared" si="4"/>
        <v>Q4</v>
      </c>
      <c r="K77">
        <f t="shared" si="5"/>
        <v>2025</v>
      </c>
    </row>
    <row r="78" spans="1:11" x14ac:dyDescent="0.3">
      <c r="A78" t="s">
        <v>234</v>
      </c>
      <c r="B78" t="s">
        <v>235</v>
      </c>
      <c r="C78" t="s">
        <v>65</v>
      </c>
      <c r="D78" s="1">
        <v>45965</v>
      </c>
      <c r="E78" t="s">
        <v>11</v>
      </c>
      <c r="F78" t="s">
        <v>12</v>
      </c>
      <c r="G78">
        <v>14.3</v>
      </c>
      <c r="H78" t="s">
        <v>48</v>
      </c>
      <c r="I78" t="str">
        <f t="shared" si="3"/>
        <v>November</v>
      </c>
      <c r="J78" t="str">
        <f t="shared" si="4"/>
        <v>Q4</v>
      </c>
      <c r="K78">
        <f t="shared" si="5"/>
        <v>2025</v>
      </c>
    </row>
    <row r="79" spans="1:11" x14ac:dyDescent="0.3">
      <c r="A79" t="s">
        <v>236</v>
      </c>
      <c r="B79" t="s">
        <v>237</v>
      </c>
      <c r="C79" t="s">
        <v>37</v>
      </c>
      <c r="D79" s="1">
        <v>45749</v>
      </c>
      <c r="E79" t="s">
        <v>11</v>
      </c>
      <c r="F79" t="s">
        <v>38</v>
      </c>
      <c r="G79">
        <v>14.4</v>
      </c>
      <c r="H79" t="s">
        <v>19</v>
      </c>
      <c r="I79" t="str">
        <f t="shared" si="3"/>
        <v>April</v>
      </c>
      <c r="J79" t="str">
        <f t="shared" si="4"/>
        <v>Q2</v>
      </c>
      <c r="K79">
        <f t="shared" si="5"/>
        <v>2025</v>
      </c>
    </row>
    <row r="80" spans="1:11" x14ac:dyDescent="0.3">
      <c r="A80" t="s">
        <v>238</v>
      </c>
      <c r="B80" t="s">
        <v>239</v>
      </c>
      <c r="C80" t="s">
        <v>240</v>
      </c>
      <c r="D80" s="1">
        <v>46022</v>
      </c>
      <c r="E80" t="s">
        <v>11</v>
      </c>
      <c r="F80" t="s">
        <v>241</v>
      </c>
      <c r="G80">
        <v>13.8</v>
      </c>
      <c r="H80" t="s">
        <v>19</v>
      </c>
      <c r="I80" t="str">
        <f t="shared" si="3"/>
        <v>December</v>
      </c>
      <c r="J80" t="str">
        <f t="shared" si="4"/>
        <v>Q4</v>
      </c>
      <c r="K80">
        <f t="shared" si="5"/>
        <v>2025</v>
      </c>
    </row>
    <row r="81" spans="1:11" x14ac:dyDescent="0.3">
      <c r="A81" t="s">
        <v>242</v>
      </c>
      <c r="B81" t="s">
        <v>243</v>
      </c>
      <c r="C81" t="s">
        <v>244</v>
      </c>
      <c r="D81" s="1">
        <v>45688</v>
      </c>
      <c r="E81" t="s">
        <v>11</v>
      </c>
      <c r="F81" t="s">
        <v>12</v>
      </c>
      <c r="G81">
        <v>4.5999999999999996</v>
      </c>
      <c r="H81" t="s">
        <v>19</v>
      </c>
      <c r="I81" t="str">
        <f t="shared" si="3"/>
        <v>January</v>
      </c>
      <c r="J81" t="str">
        <f t="shared" si="4"/>
        <v>Q1</v>
      </c>
      <c r="K81">
        <f t="shared" si="5"/>
        <v>2025</v>
      </c>
    </row>
    <row r="82" spans="1:11" x14ac:dyDescent="0.3">
      <c r="A82" t="s">
        <v>245</v>
      </c>
      <c r="B82" t="s">
        <v>246</v>
      </c>
      <c r="C82" t="s">
        <v>191</v>
      </c>
      <c r="D82" s="1">
        <v>45720</v>
      </c>
      <c r="E82" t="s">
        <v>74</v>
      </c>
      <c r="F82" t="s">
        <v>192</v>
      </c>
      <c r="G82">
        <v>10.8</v>
      </c>
      <c r="H82" t="s">
        <v>13</v>
      </c>
      <c r="I82" t="str">
        <f t="shared" si="3"/>
        <v>March</v>
      </c>
      <c r="J82" t="str">
        <f t="shared" si="4"/>
        <v>Q1</v>
      </c>
      <c r="K82">
        <f t="shared" si="5"/>
        <v>2025</v>
      </c>
    </row>
    <row r="83" spans="1:11" x14ac:dyDescent="0.3">
      <c r="A83" t="s">
        <v>247</v>
      </c>
      <c r="B83" t="s">
        <v>248</v>
      </c>
      <c r="C83" t="s">
        <v>208</v>
      </c>
      <c r="D83" s="1">
        <v>45831</v>
      </c>
      <c r="E83" t="s">
        <v>46</v>
      </c>
      <c r="F83" t="s">
        <v>209</v>
      </c>
      <c r="G83">
        <v>5.2</v>
      </c>
      <c r="I83" t="str">
        <f t="shared" si="3"/>
        <v>June</v>
      </c>
      <c r="J83" t="str">
        <f t="shared" si="4"/>
        <v>Q2</v>
      </c>
      <c r="K83">
        <f t="shared" si="5"/>
        <v>2025</v>
      </c>
    </row>
    <row r="84" spans="1:11" x14ac:dyDescent="0.3">
      <c r="A84" t="s">
        <v>249</v>
      </c>
      <c r="B84" t="s">
        <v>250</v>
      </c>
      <c r="C84" t="s">
        <v>251</v>
      </c>
      <c r="D84" s="1">
        <v>45855</v>
      </c>
      <c r="E84" t="s">
        <v>28</v>
      </c>
      <c r="F84" t="s">
        <v>128</v>
      </c>
      <c r="G84">
        <v>20.8</v>
      </c>
      <c r="H84" t="s">
        <v>19</v>
      </c>
      <c r="I84" t="str">
        <f t="shared" si="3"/>
        <v>July</v>
      </c>
      <c r="J84" t="str">
        <f t="shared" si="4"/>
        <v>Q3</v>
      </c>
      <c r="K84">
        <f t="shared" si="5"/>
        <v>2025</v>
      </c>
    </row>
    <row r="85" spans="1:11" x14ac:dyDescent="0.3">
      <c r="A85" t="s">
        <v>252</v>
      </c>
      <c r="B85" t="s">
        <v>253</v>
      </c>
      <c r="C85" t="s">
        <v>166</v>
      </c>
      <c r="D85" s="1">
        <v>45823</v>
      </c>
      <c r="E85" t="s">
        <v>33</v>
      </c>
      <c r="F85" t="s">
        <v>167</v>
      </c>
      <c r="G85">
        <v>7.8</v>
      </c>
      <c r="H85" t="s">
        <v>19</v>
      </c>
      <c r="I85" t="str">
        <f t="shared" si="3"/>
        <v>June</v>
      </c>
      <c r="J85" t="str">
        <f t="shared" si="4"/>
        <v>Q2</v>
      </c>
      <c r="K85">
        <f t="shared" si="5"/>
        <v>2025</v>
      </c>
    </row>
    <row r="86" spans="1:11" x14ac:dyDescent="0.3">
      <c r="A86" t="s">
        <v>254</v>
      </c>
      <c r="B86" t="s">
        <v>255</v>
      </c>
      <c r="C86" t="s">
        <v>27</v>
      </c>
      <c r="D86" s="1">
        <v>45931</v>
      </c>
      <c r="E86" t="s">
        <v>28</v>
      </c>
      <c r="F86" t="s">
        <v>29</v>
      </c>
      <c r="G86">
        <v>13.5</v>
      </c>
      <c r="H86" t="s">
        <v>19</v>
      </c>
      <c r="I86" t="str">
        <f t="shared" si="3"/>
        <v>October</v>
      </c>
      <c r="J86" t="str">
        <f t="shared" si="4"/>
        <v>Q4</v>
      </c>
      <c r="K86">
        <f t="shared" si="5"/>
        <v>2025</v>
      </c>
    </row>
    <row r="87" spans="1:11" x14ac:dyDescent="0.3">
      <c r="A87" t="s">
        <v>256</v>
      </c>
      <c r="B87" t="s">
        <v>257</v>
      </c>
      <c r="C87" t="s">
        <v>156</v>
      </c>
      <c r="D87" s="1">
        <v>45780</v>
      </c>
      <c r="E87" t="s">
        <v>46</v>
      </c>
      <c r="F87" t="s">
        <v>157</v>
      </c>
      <c r="G87">
        <v>9.1</v>
      </c>
      <c r="H87" t="s">
        <v>13</v>
      </c>
      <c r="I87" t="str">
        <f t="shared" si="3"/>
        <v>May</v>
      </c>
      <c r="J87" t="str">
        <f t="shared" si="4"/>
        <v>Q2</v>
      </c>
      <c r="K87">
        <f t="shared" si="5"/>
        <v>2025</v>
      </c>
    </row>
    <row r="88" spans="1:11" x14ac:dyDescent="0.3">
      <c r="A88" t="s">
        <v>258</v>
      </c>
      <c r="B88" t="s">
        <v>259</v>
      </c>
      <c r="C88" t="s">
        <v>260</v>
      </c>
      <c r="D88" s="1">
        <v>45790</v>
      </c>
      <c r="E88" t="s">
        <v>23</v>
      </c>
      <c r="F88" t="s">
        <v>261</v>
      </c>
      <c r="G88">
        <v>5.2</v>
      </c>
      <c r="H88" t="s">
        <v>19</v>
      </c>
      <c r="I88" t="str">
        <f t="shared" si="3"/>
        <v>May</v>
      </c>
      <c r="J88" t="str">
        <f t="shared" si="4"/>
        <v>Q2</v>
      </c>
      <c r="K88">
        <f t="shared" si="5"/>
        <v>2025</v>
      </c>
    </row>
    <row r="89" spans="1:11" x14ac:dyDescent="0.3">
      <c r="A89" t="s">
        <v>262</v>
      </c>
      <c r="B89" t="s">
        <v>263</v>
      </c>
      <c r="C89" t="s">
        <v>108</v>
      </c>
      <c r="D89" s="1">
        <v>45809</v>
      </c>
      <c r="E89" t="s">
        <v>33</v>
      </c>
      <c r="F89" t="s">
        <v>89</v>
      </c>
      <c r="G89">
        <v>10.8</v>
      </c>
      <c r="H89" t="s">
        <v>19</v>
      </c>
      <c r="I89" t="str">
        <f t="shared" si="3"/>
        <v>June</v>
      </c>
      <c r="J89" t="str">
        <f t="shared" si="4"/>
        <v>Q2</v>
      </c>
      <c r="K89">
        <f t="shared" si="5"/>
        <v>2025</v>
      </c>
    </row>
    <row r="90" spans="1:11" x14ac:dyDescent="0.3">
      <c r="A90" t="s">
        <v>264</v>
      </c>
      <c r="B90" t="s">
        <v>265</v>
      </c>
      <c r="C90" t="s">
        <v>195</v>
      </c>
      <c r="D90" s="1">
        <v>45905</v>
      </c>
      <c r="E90" t="s">
        <v>69</v>
      </c>
      <c r="F90" t="s">
        <v>196</v>
      </c>
      <c r="G90">
        <v>11.1</v>
      </c>
      <c r="H90" t="s">
        <v>19</v>
      </c>
      <c r="I90" t="str">
        <f t="shared" si="3"/>
        <v>September</v>
      </c>
      <c r="J90" t="str">
        <f t="shared" si="4"/>
        <v>Q3</v>
      </c>
      <c r="K90">
        <f t="shared" si="5"/>
        <v>2025</v>
      </c>
    </row>
    <row r="91" spans="1:11" x14ac:dyDescent="0.3">
      <c r="A91" t="s">
        <v>266</v>
      </c>
      <c r="B91" t="s">
        <v>267</v>
      </c>
      <c r="C91" t="s">
        <v>195</v>
      </c>
      <c r="D91" s="1">
        <v>45878</v>
      </c>
      <c r="E91" t="s">
        <v>69</v>
      </c>
      <c r="F91" t="s">
        <v>196</v>
      </c>
      <c r="G91">
        <v>27.3</v>
      </c>
      <c r="H91" t="s">
        <v>13</v>
      </c>
      <c r="I91" t="str">
        <f t="shared" si="3"/>
        <v>August</v>
      </c>
      <c r="J91" t="str">
        <f t="shared" si="4"/>
        <v>Q3</v>
      </c>
      <c r="K91">
        <f t="shared" si="5"/>
        <v>2025</v>
      </c>
    </row>
    <row r="92" spans="1:11" x14ac:dyDescent="0.3">
      <c r="A92" t="s">
        <v>268</v>
      </c>
      <c r="B92" t="s">
        <v>269</v>
      </c>
      <c r="C92" t="s">
        <v>244</v>
      </c>
      <c r="D92" s="1">
        <v>45712</v>
      </c>
      <c r="E92" t="s">
        <v>11</v>
      </c>
      <c r="F92" t="s">
        <v>12</v>
      </c>
      <c r="G92">
        <v>16.600000000000001</v>
      </c>
      <c r="H92" t="s">
        <v>19</v>
      </c>
      <c r="I92" t="str">
        <f t="shared" si="3"/>
        <v>February</v>
      </c>
      <c r="J92" t="str">
        <f t="shared" si="4"/>
        <v>Q1</v>
      </c>
      <c r="K92">
        <f t="shared" si="5"/>
        <v>2025</v>
      </c>
    </row>
    <row r="93" spans="1:11" x14ac:dyDescent="0.3">
      <c r="A93" t="s">
        <v>270</v>
      </c>
      <c r="B93" t="s">
        <v>271</v>
      </c>
      <c r="C93" t="s">
        <v>147</v>
      </c>
      <c r="D93" s="1">
        <v>45858</v>
      </c>
      <c r="E93" t="s">
        <v>11</v>
      </c>
      <c r="F93" t="s">
        <v>38</v>
      </c>
      <c r="G93">
        <v>14.4</v>
      </c>
      <c r="H93" t="s">
        <v>19</v>
      </c>
      <c r="I93" t="str">
        <f t="shared" si="3"/>
        <v>July</v>
      </c>
      <c r="J93" t="str">
        <f t="shared" si="4"/>
        <v>Q3</v>
      </c>
      <c r="K93">
        <f t="shared" si="5"/>
        <v>2025</v>
      </c>
    </row>
    <row r="94" spans="1:11" x14ac:dyDescent="0.3">
      <c r="A94" t="s">
        <v>272</v>
      </c>
      <c r="B94" t="s">
        <v>273</v>
      </c>
      <c r="C94" t="s">
        <v>108</v>
      </c>
      <c r="D94" s="1">
        <v>45801</v>
      </c>
      <c r="E94" t="s">
        <v>33</v>
      </c>
      <c r="F94" t="s">
        <v>89</v>
      </c>
      <c r="G94">
        <v>10.199999999999999</v>
      </c>
      <c r="H94" t="s">
        <v>19</v>
      </c>
      <c r="I94" t="str">
        <f t="shared" si="3"/>
        <v>May</v>
      </c>
      <c r="J94" t="str">
        <f t="shared" si="4"/>
        <v>Q2</v>
      </c>
      <c r="K94">
        <f t="shared" si="5"/>
        <v>2025</v>
      </c>
    </row>
    <row r="95" spans="1:11" x14ac:dyDescent="0.3">
      <c r="A95" t="s">
        <v>274</v>
      </c>
      <c r="B95" t="s">
        <v>275</v>
      </c>
      <c r="C95" t="s">
        <v>16</v>
      </c>
      <c r="D95" s="1">
        <v>45790</v>
      </c>
      <c r="E95" t="s">
        <v>17</v>
      </c>
      <c r="F95" t="s">
        <v>18</v>
      </c>
      <c r="G95">
        <v>3.2</v>
      </c>
      <c r="H95" t="s">
        <v>13</v>
      </c>
      <c r="I95" t="str">
        <f t="shared" si="3"/>
        <v>May</v>
      </c>
      <c r="J95" t="str">
        <f t="shared" si="4"/>
        <v>Q2</v>
      </c>
      <c r="K95">
        <f t="shared" si="5"/>
        <v>2025</v>
      </c>
    </row>
    <row r="96" spans="1:11" x14ac:dyDescent="0.3">
      <c r="A96" t="s">
        <v>276</v>
      </c>
      <c r="B96" t="s">
        <v>277</v>
      </c>
      <c r="C96" t="s">
        <v>156</v>
      </c>
      <c r="D96" s="1">
        <v>45754</v>
      </c>
      <c r="E96" t="s">
        <v>46</v>
      </c>
      <c r="F96" t="s">
        <v>157</v>
      </c>
      <c r="G96">
        <v>43.9</v>
      </c>
      <c r="H96" t="s">
        <v>19</v>
      </c>
      <c r="I96" t="str">
        <f t="shared" si="3"/>
        <v>April</v>
      </c>
      <c r="J96" t="str">
        <f t="shared" si="4"/>
        <v>Q2</v>
      </c>
      <c r="K96">
        <f t="shared" si="5"/>
        <v>2025</v>
      </c>
    </row>
    <row r="97" spans="1:11" x14ac:dyDescent="0.3">
      <c r="A97" t="s">
        <v>278</v>
      </c>
      <c r="B97" t="s">
        <v>279</v>
      </c>
      <c r="C97" t="s">
        <v>240</v>
      </c>
      <c r="D97" s="1">
        <v>45983</v>
      </c>
      <c r="E97" t="s">
        <v>11</v>
      </c>
      <c r="F97" t="s">
        <v>241</v>
      </c>
      <c r="G97">
        <v>16.100000000000001</v>
      </c>
      <c r="H97" t="s">
        <v>13</v>
      </c>
      <c r="I97" t="str">
        <f t="shared" si="3"/>
        <v>November</v>
      </c>
      <c r="J97" t="str">
        <f t="shared" si="4"/>
        <v>Q4</v>
      </c>
      <c r="K97">
        <f t="shared" si="5"/>
        <v>2025</v>
      </c>
    </row>
    <row r="98" spans="1:11" x14ac:dyDescent="0.3">
      <c r="A98" t="s">
        <v>280</v>
      </c>
      <c r="B98" t="s">
        <v>281</v>
      </c>
      <c r="C98" t="s">
        <v>244</v>
      </c>
      <c r="D98" s="1">
        <v>45692</v>
      </c>
      <c r="E98" t="s">
        <v>11</v>
      </c>
      <c r="F98" t="s">
        <v>12</v>
      </c>
      <c r="G98">
        <v>4.5999999999999996</v>
      </c>
      <c r="H98" t="s">
        <v>48</v>
      </c>
      <c r="I98" t="str">
        <f t="shared" si="3"/>
        <v>February</v>
      </c>
      <c r="J98" t="str">
        <f t="shared" si="4"/>
        <v>Q1</v>
      </c>
      <c r="K98">
        <f t="shared" si="5"/>
        <v>2025</v>
      </c>
    </row>
    <row r="99" spans="1:11" x14ac:dyDescent="0.3">
      <c r="A99" t="s">
        <v>282</v>
      </c>
      <c r="B99" t="s">
        <v>283</v>
      </c>
      <c r="C99" t="s">
        <v>62</v>
      </c>
      <c r="D99" s="1">
        <v>45750</v>
      </c>
      <c r="E99" t="s">
        <v>23</v>
      </c>
      <c r="F99" t="s">
        <v>24</v>
      </c>
      <c r="G99">
        <v>12.4</v>
      </c>
      <c r="H99" t="s">
        <v>19</v>
      </c>
      <c r="I99" t="str">
        <f t="shared" si="3"/>
        <v>April</v>
      </c>
      <c r="J99" t="str">
        <f t="shared" si="4"/>
        <v>Q2</v>
      </c>
      <c r="K99">
        <f t="shared" si="5"/>
        <v>2025</v>
      </c>
    </row>
    <row r="100" spans="1:11" x14ac:dyDescent="0.3">
      <c r="A100" t="s">
        <v>284</v>
      </c>
      <c r="B100" t="s">
        <v>285</v>
      </c>
      <c r="C100" t="s">
        <v>99</v>
      </c>
      <c r="D100" s="1">
        <v>45908</v>
      </c>
      <c r="E100" t="s">
        <v>100</v>
      </c>
      <c r="F100" t="s">
        <v>101</v>
      </c>
      <c r="G100">
        <v>11.5</v>
      </c>
      <c r="H100" t="s">
        <v>19</v>
      </c>
      <c r="I100" t="str">
        <f t="shared" si="3"/>
        <v>September</v>
      </c>
      <c r="J100" t="str">
        <f t="shared" si="4"/>
        <v>Q3</v>
      </c>
      <c r="K100">
        <f t="shared" si="5"/>
        <v>2025</v>
      </c>
    </row>
    <row r="101" spans="1:11" x14ac:dyDescent="0.3">
      <c r="A101" t="s">
        <v>286</v>
      </c>
      <c r="B101" t="s">
        <v>287</v>
      </c>
      <c r="C101" t="s">
        <v>176</v>
      </c>
      <c r="D101" s="1">
        <v>45761</v>
      </c>
      <c r="E101" t="s">
        <v>33</v>
      </c>
      <c r="F101" t="s">
        <v>34</v>
      </c>
      <c r="G101">
        <v>8.8000000000000007</v>
      </c>
      <c r="H101" t="s">
        <v>19</v>
      </c>
      <c r="I101" t="str">
        <f t="shared" si="3"/>
        <v>April</v>
      </c>
      <c r="J101" t="str">
        <f t="shared" si="4"/>
        <v>Q2</v>
      </c>
      <c r="K101">
        <f t="shared" si="5"/>
        <v>2025</v>
      </c>
    </row>
    <row r="102" spans="1:11" x14ac:dyDescent="0.3">
      <c r="A102" t="s">
        <v>288</v>
      </c>
      <c r="B102" t="s">
        <v>289</v>
      </c>
      <c r="C102" t="s">
        <v>16</v>
      </c>
      <c r="D102" s="1">
        <v>45784</v>
      </c>
      <c r="E102" t="s">
        <v>17</v>
      </c>
      <c r="F102" t="s">
        <v>18</v>
      </c>
      <c r="G102">
        <v>18.5</v>
      </c>
      <c r="H102" t="s">
        <v>19</v>
      </c>
      <c r="I102" t="str">
        <f t="shared" si="3"/>
        <v>May</v>
      </c>
      <c r="J102" t="str">
        <f t="shared" si="4"/>
        <v>Q2</v>
      </c>
      <c r="K102">
        <f t="shared" si="5"/>
        <v>2025</v>
      </c>
    </row>
    <row r="103" spans="1:11" x14ac:dyDescent="0.3">
      <c r="A103" t="s">
        <v>290</v>
      </c>
      <c r="B103" t="s">
        <v>291</v>
      </c>
      <c r="C103" t="s">
        <v>292</v>
      </c>
      <c r="D103" s="1">
        <v>45785</v>
      </c>
      <c r="E103" t="s">
        <v>11</v>
      </c>
      <c r="F103" t="s">
        <v>293</v>
      </c>
      <c r="G103">
        <v>15</v>
      </c>
      <c r="H103" t="s">
        <v>19</v>
      </c>
      <c r="I103" t="str">
        <f t="shared" si="3"/>
        <v>May</v>
      </c>
      <c r="J103" t="str">
        <f t="shared" si="4"/>
        <v>Q2</v>
      </c>
      <c r="K103">
        <f t="shared" si="5"/>
        <v>2025</v>
      </c>
    </row>
    <row r="104" spans="1:11" x14ac:dyDescent="0.3">
      <c r="A104" t="s">
        <v>294</v>
      </c>
      <c r="B104" t="s">
        <v>295</v>
      </c>
      <c r="C104" t="s">
        <v>41</v>
      </c>
      <c r="D104" s="1">
        <v>45858</v>
      </c>
      <c r="E104" t="s">
        <v>23</v>
      </c>
      <c r="F104" t="s">
        <v>42</v>
      </c>
      <c r="G104">
        <v>21.6</v>
      </c>
      <c r="H104" t="s">
        <v>48</v>
      </c>
      <c r="I104" t="str">
        <f t="shared" si="3"/>
        <v>July</v>
      </c>
      <c r="J104" t="str">
        <f t="shared" si="4"/>
        <v>Q3</v>
      </c>
      <c r="K104">
        <f t="shared" si="5"/>
        <v>2025</v>
      </c>
    </row>
    <row r="105" spans="1:11" x14ac:dyDescent="0.3">
      <c r="A105" t="s">
        <v>296</v>
      </c>
      <c r="B105" t="s">
        <v>297</v>
      </c>
      <c r="C105" t="s">
        <v>298</v>
      </c>
      <c r="D105" s="1">
        <v>45928</v>
      </c>
      <c r="E105" t="s">
        <v>100</v>
      </c>
      <c r="F105" t="s">
        <v>299</v>
      </c>
      <c r="G105">
        <v>19.3</v>
      </c>
      <c r="H105" t="s">
        <v>48</v>
      </c>
      <c r="I105" t="str">
        <f t="shared" si="3"/>
        <v>September</v>
      </c>
      <c r="J105" t="str">
        <f t="shared" si="4"/>
        <v>Q3</v>
      </c>
      <c r="K105">
        <f t="shared" si="5"/>
        <v>2025</v>
      </c>
    </row>
    <row r="106" spans="1:11" x14ac:dyDescent="0.3">
      <c r="A106" t="s">
        <v>300</v>
      </c>
      <c r="B106" t="s">
        <v>301</v>
      </c>
      <c r="C106" t="s">
        <v>37</v>
      </c>
      <c r="D106" s="1">
        <v>45767</v>
      </c>
      <c r="E106" t="s">
        <v>11</v>
      </c>
      <c r="F106" t="s">
        <v>38</v>
      </c>
      <c r="G106">
        <v>10.9</v>
      </c>
      <c r="H106" t="s">
        <v>19</v>
      </c>
      <c r="I106" t="str">
        <f t="shared" si="3"/>
        <v>April</v>
      </c>
      <c r="J106" t="str">
        <f t="shared" si="4"/>
        <v>Q2</v>
      </c>
      <c r="K106">
        <f t="shared" si="5"/>
        <v>2025</v>
      </c>
    </row>
    <row r="107" spans="1:11" x14ac:dyDescent="0.3">
      <c r="A107" t="s">
        <v>302</v>
      </c>
      <c r="B107" t="s">
        <v>303</v>
      </c>
      <c r="C107" t="s">
        <v>292</v>
      </c>
      <c r="D107" s="1">
        <v>45762</v>
      </c>
      <c r="E107" t="s">
        <v>11</v>
      </c>
      <c r="F107" t="s">
        <v>293</v>
      </c>
      <c r="G107">
        <v>11</v>
      </c>
      <c r="H107" t="s">
        <v>19</v>
      </c>
      <c r="I107" t="str">
        <f t="shared" si="3"/>
        <v>April</v>
      </c>
      <c r="J107" t="str">
        <f t="shared" si="4"/>
        <v>Q2</v>
      </c>
      <c r="K107">
        <f t="shared" si="5"/>
        <v>2025</v>
      </c>
    </row>
    <row r="108" spans="1:11" x14ac:dyDescent="0.3">
      <c r="A108" t="s">
        <v>304</v>
      </c>
      <c r="B108" t="s">
        <v>305</v>
      </c>
      <c r="C108" t="s">
        <v>99</v>
      </c>
      <c r="D108" s="1">
        <v>45910</v>
      </c>
      <c r="E108" t="s">
        <v>100</v>
      </c>
      <c r="F108" t="s">
        <v>101</v>
      </c>
      <c r="G108">
        <v>9.3000000000000007</v>
      </c>
      <c r="H108" t="s">
        <v>19</v>
      </c>
      <c r="I108" t="str">
        <f t="shared" si="3"/>
        <v>September</v>
      </c>
      <c r="J108" t="str">
        <f t="shared" si="4"/>
        <v>Q3</v>
      </c>
      <c r="K108">
        <f t="shared" si="5"/>
        <v>2025</v>
      </c>
    </row>
    <row r="109" spans="1:11" x14ac:dyDescent="0.3">
      <c r="A109" t="s">
        <v>306</v>
      </c>
      <c r="B109" t="s">
        <v>307</v>
      </c>
      <c r="C109" t="s">
        <v>156</v>
      </c>
      <c r="D109" s="1">
        <v>45789</v>
      </c>
      <c r="E109" t="s">
        <v>46</v>
      </c>
      <c r="F109" t="s">
        <v>157</v>
      </c>
      <c r="G109">
        <v>24.2</v>
      </c>
      <c r="H109" t="s">
        <v>19</v>
      </c>
      <c r="I109" t="str">
        <f t="shared" si="3"/>
        <v>May</v>
      </c>
      <c r="J109" t="str">
        <f t="shared" si="4"/>
        <v>Q2</v>
      </c>
      <c r="K109">
        <f t="shared" si="5"/>
        <v>2025</v>
      </c>
    </row>
    <row r="110" spans="1:11" x14ac:dyDescent="0.3">
      <c r="A110" t="s">
        <v>308</v>
      </c>
      <c r="B110" t="s">
        <v>309</v>
      </c>
      <c r="C110" t="s">
        <v>78</v>
      </c>
      <c r="D110" s="1">
        <v>45958</v>
      </c>
      <c r="E110" t="s">
        <v>11</v>
      </c>
      <c r="F110" t="s">
        <v>38</v>
      </c>
      <c r="G110">
        <v>19.399999999999999</v>
      </c>
      <c r="H110" t="s">
        <v>19</v>
      </c>
      <c r="I110" t="str">
        <f t="shared" si="3"/>
        <v>October</v>
      </c>
      <c r="J110" t="str">
        <f t="shared" si="4"/>
        <v>Q4</v>
      </c>
      <c r="K110">
        <f t="shared" si="5"/>
        <v>2025</v>
      </c>
    </row>
    <row r="111" spans="1:11" x14ac:dyDescent="0.3">
      <c r="A111" t="s">
        <v>310</v>
      </c>
      <c r="B111" t="s">
        <v>311</v>
      </c>
      <c r="C111" t="s">
        <v>127</v>
      </c>
      <c r="D111" s="1">
        <v>46007</v>
      </c>
      <c r="E111" t="s">
        <v>28</v>
      </c>
      <c r="F111" t="s">
        <v>128</v>
      </c>
      <c r="G111">
        <v>6.7</v>
      </c>
      <c r="H111" t="s">
        <v>13</v>
      </c>
      <c r="I111" t="str">
        <f t="shared" si="3"/>
        <v>December</v>
      </c>
      <c r="J111" t="str">
        <f t="shared" si="4"/>
        <v>Q4</v>
      </c>
      <c r="K111">
        <f t="shared" si="5"/>
        <v>2025</v>
      </c>
    </row>
    <row r="112" spans="1:11" x14ac:dyDescent="0.3">
      <c r="A112" t="s">
        <v>312</v>
      </c>
      <c r="B112" t="s">
        <v>313</v>
      </c>
      <c r="C112" t="s">
        <v>96</v>
      </c>
      <c r="D112" s="1">
        <v>45924</v>
      </c>
      <c r="E112" t="s">
        <v>23</v>
      </c>
      <c r="F112" t="s">
        <v>59</v>
      </c>
      <c r="G112">
        <v>16.8</v>
      </c>
      <c r="H112" t="s">
        <v>13</v>
      </c>
      <c r="I112" t="str">
        <f t="shared" si="3"/>
        <v>September</v>
      </c>
      <c r="J112" t="str">
        <f t="shared" si="4"/>
        <v>Q3</v>
      </c>
      <c r="K112">
        <f t="shared" si="5"/>
        <v>2025</v>
      </c>
    </row>
    <row r="113" spans="1:11" x14ac:dyDescent="0.3">
      <c r="A113" t="s">
        <v>314</v>
      </c>
      <c r="B113" t="s">
        <v>315</v>
      </c>
      <c r="C113" t="s">
        <v>96</v>
      </c>
      <c r="D113" s="1">
        <v>45905</v>
      </c>
      <c r="E113" t="s">
        <v>23</v>
      </c>
      <c r="F113" t="s">
        <v>59</v>
      </c>
      <c r="G113">
        <v>26</v>
      </c>
      <c r="H113" t="s">
        <v>19</v>
      </c>
      <c r="I113" t="str">
        <f t="shared" si="3"/>
        <v>September</v>
      </c>
      <c r="J113" t="str">
        <f t="shared" si="4"/>
        <v>Q3</v>
      </c>
      <c r="K113">
        <f t="shared" si="5"/>
        <v>2025</v>
      </c>
    </row>
    <row r="114" spans="1:11" x14ac:dyDescent="0.3">
      <c r="A114" t="s">
        <v>316</v>
      </c>
      <c r="B114" t="s">
        <v>317</v>
      </c>
      <c r="C114" t="s">
        <v>240</v>
      </c>
      <c r="D114" s="1">
        <v>46005</v>
      </c>
      <c r="E114" t="s">
        <v>11</v>
      </c>
      <c r="F114" t="s">
        <v>241</v>
      </c>
      <c r="G114">
        <v>13.8</v>
      </c>
      <c r="H114" t="s">
        <v>13</v>
      </c>
      <c r="I114" t="str">
        <f t="shared" si="3"/>
        <v>December</v>
      </c>
      <c r="J114" t="str">
        <f t="shared" si="4"/>
        <v>Q4</v>
      </c>
      <c r="K114">
        <f t="shared" si="5"/>
        <v>2025</v>
      </c>
    </row>
    <row r="115" spans="1:11" x14ac:dyDescent="0.3">
      <c r="A115" t="s">
        <v>318</v>
      </c>
      <c r="B115" t="s">
        <v>319</v>
      </c>
      <c r="C115" t="s">
        <v>92</v>
      </c>
      <c r="D115" s="1">
        <v>45812</v>
      </c>
      <c r="E115" t="s">
        <v>23</v>
      </c>
      <c r="F115" t="s">
        <v>93</v>
      </c>
      <c r="G115">
        <v>16.5</v>
      </c>
      <c r="H115" t="s">
        <v>19</v>
      </c>
      <c r="I115" t="str">
        <f t="shared" si="3"/>
        <v>June</v>
      </c>
      <c r="J115" t="str">
        <f t="shared" si="4"/>
        <v>Q2</v>
      </c>
      <c r="K115">
        <f t="shared" si="5"/>
        <v>2025</v>
      </c>
    </row>
    <row r="116" spans="1:11" x14ac:dyDescent="0.3">
      <c r="A116" t="s">
        <v>320</v>
      </c>
      <c r="B116" t="s">
        <v>321</v>
      </c>
      <c r="C116" t="s">
        <v>147</v>
      </c>
      <c r="D116" s="1">
        <v>45876</v>
      </c>
      <c r="E116" t="s">
        <v>11</v>
      </c>
      <c r="F116" t="s">
        <v>38</v>
      </c>
      <c r="G116">
        <v>12.3</v>
      </c>
      <c r="H116" t="s">
        <v>13</v>
      </c>
      <c r="I116" t="str">
        <f t="shared" si="3"/>
        <v>August</v>
      </c>
      <c r="J116" t="str">
        <f t="shared" si="4"/>
        <v>Q3</v>
      </c>
      <c r="K116">
        <f t="shared" si="5"/>
        <v>2025</v>
      </c>
    </row>
    <row r="117" spans="1:11" x14ac:dyDescent="0.3">
      <c r="A117" t="s">
        <v>322</v>
      </c>
      <c r="B117" t="s">
        <v>323</v>
      </c>
      <c r="C117" t="s">
        <v>65</v>
      </c>
      <c r="D117" s="1">
        <v>45971</v>
      </c>
      <c r="E117" t="s">
        <v>11</v>
      </c>
      <c r="F117" t="s">
        <v>12</v>
      </c>
      <c r="G117">
        <v>6.8</v>
      </c>
      <c r="H117" t="s">
        <v>13</v>
      </c>
      <c r="I117" t="str">
        <f t="shared" si="3"/>
        <v>November</v>
      </c>
      <c r="J117" t="str">
        <f t="shared" si="4"/>
        <v>Q4</v>
      </c>
      <c r="K117">
        <f t="shared" si="5"/>
        <v>2025</v>
      </c>
    </row>
    <row r="118" spans="1:11" x14ac:dyDescent="0.3">
      <c r="A118" t="s">
        <v>324</v>
      </c>
      <c r="B118" t="s">
        <v>325</v>
      </c>
      <c r="C118" t="s">
        <v>326</v>
      </c>
      <c r="D118" s="1">
        <v>45810</v>
      </c>
      <c r="E118" t="s">
        <v>33</v>
      </c>
      <c r="F118" t="s">
        <v>34</v>
      </c>
      <c r="G118">
        <v>13.5</v>
      </c>
      <c r="H118" t="s">
        <v>19</v>
      </c>
      <c r="I118" t="str">
        <f t="shared" si="3"/>
        <v>June</v>
      </c>
      <c r="J118" t="str">
        <f t="shared" si="4"/>
        <v>Q2</v>
      </c>
      <c r="K118">
        <f t="shared" si="5"/>
        <v>2025</v>
      </c>
    </row>
    <row r="119" spans="1:11" x14ac:dyDescent="0.3">
      <c r="A119" t="s">
        <v>327</v>
      </c>
      <c r="B119" t="s">
        <v>328</v>
      </c>
      <c r="C119" t="s">
        <v>108</v>
      </c>
      <c r="D119" s="1">
        <v>45819</v>
      </c>
      <c r="E119" t="s">
        <v>33</v>
      </c>
      <c r="F119" t="s">
        <v>89</v>
      </c>
      <c r="G119">
        <v>15.9</v>
      </c>
      <c r="H119" t="s">
        <v>19</v>
      </c>
      <c r="I119" t="str">
        <f t="shared" si="3"/>
        <v>June</v>
      </c>
      <c r="J119" t="str">
        <f t="shared" si="4"/>
        <v>Q2</v>
      </c>
      <c r="K119">
        <f t="shared" si="5"/>
        <v>2025</v>
      </c>
    </row>
    <row r="120" spans="1:11" x14ac:dyDescent="0.3">
      <c r="A120" t="s">
        <v>329</v>
      </c>
      <c r="B120" t="s">
        <v>330</v>
      </c>
      <c r="C120" t="s">
        <v>41</v>
      </c>
      <c r="D120" s="1">
        <v>45848</v>
      </c>
      <c r="E120" t="s">
        <v>23</v>
      </c>
      <c r="F120" t="s">
        <v>42</v>
      </c>
      <c r="G120">
        <v>16.399999999999999</v>
      </c>
      <c r="H120" t="s">
        <v>19</v>
      </c>
      <c r="I120" t="str">
        <f t="shared" si="3"/>
        <v>July</v>
      </c>
      <c r="J120" t="str">
        <f t="shared" si="4"/>
        <v>Q3</v>
      </c>
      <c r="K120">
        <f t="shared" si="5"/>
        <v>2025</v>
      </c>
    </row>
    <row r="121" spans="1:11" x14ac:dyDescent="0.3">
      <c r="A121" t="s">
        <v>331</v>
      </c>
      <c r="B121" t="s">
        <v>332</v>
      </c>
      <c r="C121" t="s">
        <v>183</v>
      </c>
      <c r="D121" s="1">
        <v>45905</v>
      </c>
      <c r="E121" t="s">
        <v>100</v>
      </c>
      <c r="F121" t="s">
        <v>184</v>
      </c>
      <c r="G121">
        <v>7.1</v>
      </c>
      <c r="H121" t="s">
        <v>13</v>
      </c>
      <c r="I121" t="str">
        <f t="shared" si="3"/>
        <v>September</v>
      </c>
      <c r="J121" t="str">
        <f t="shared" si="4"/>
        <v>Q3</v>
      </c>
      <c r="K121">
        <f t="shared" si="5"/>
        <v>2025</v>
      </c>
    </row>
    <row r="122" spans="1:11" x14ac:dyDescent="0.3">
      <c r="A122" t="s">
        <v>333</v>
      </c>
      <c r="B122" t="s">
        <v>334</v>
      </c>
      <c r="C122" t="s">
        <v>240</v>
      </c>
      <c r="D122" s="1">
        <v>45997</v>
      </c>
      <c r="E122" t="s">
        <v>11</v>
      </c>
      <c r="F122" t="s">
        <v>241</v>
      </c>
      <c r="G122">
        <v>4.5999999999999996</v>
      </c>
      <c r="H122" t="s">
        <v>13</v>
      </c>
      <c r="I122" t="str">
        <f t="shared" si="3"/>
        <v>December</v>
      </c>
      <c r="J122" t="str">
        <f t="shared" si="4"/>
        <v>Q4</v>
      </c>
      <c r="K122">
        <f t="shared" si="5"/>
        <v>2025</v>
      </c>
    </row>
    <row r="123" spans="1:11" x14ac:dyDescent="0.3">
      <c r="A123" t="s">
        <v>335</v>
      </c>
      <c r="B123" t="s">
        <v>336</v>
      </c>
      <c r="C123" t="s">
        <v>337</v>
      </c>
      <c r="D123" s="1">
        <v>45885</v>
      </c>
      <c r="E123" t="s">
        <v>33</v>
      </c>
      <c r="F123" t="s">
        <v>167</v>
      </c>
      <c r="G123">
        <v>20.2</v>
      </c>
      <c r="H123" t="s">
        <v>13</v>
      </c>
      <c r="I123" t="str">
        <f t="shared" si="3"/>
        <v>August</v>
      </c>
      <c r="J123" t="str">
        <f t="shared" si="4"/>
        <v>Q3</v>
      </c>
      <c r="K123">
        <f t="shared" si="5"/>
        <v>2025</v>
      </c>
    </row>
    <row r="124" spans="1:11" x14ac:dyDescent="0.3">
      <c r="A124" t="s">
        <v>338</v>
      </c>
      <c r="B124" t="s">
        <v>339</v>
      </c>
      <c r="C124" t="s">
        <v>340</v>
      </c>
      <c r="D124" s="1">
        <v>45737</v>
      </c>
      <c r="E124" t="s">
        <v>74</v>
      </c>
      <c r="F124" t="s">
        <v>341</v>
      </c>
      <c r="G124">
        <v>20.6</v>
      </c>
      <c r="H124" t="s">
        <v>19</v>
      </c>
      <c r="I124" t="str">
        <f t="shared" si="3"/>
        <v>March</v>
      </c>
      <c r="J124" t="str">
        <f t="shared" si="4"/>
        <v>Q1</v>
      </c>
      <c r="K124">
        <f t="shared" si="5"/>
        <v>2025</v>
      </c>
    </row>
    <row r="125" spans="1:11" x14ac:dyDescent="0.3">
      <c r="A125" t="s">
        <v>342</v>
      </c>
      <c r="B125" t="s">
        <v>343</v>
      </c>
      <c r="C125" t="s">
        <v>22</v>
      </c>
      <c r="D125" s="1">
        <v>45858</v>
      </c>
      <c r="E125" t="s">
        <v>23</v>
      </c>
      <c r="F125" t="s">
        <v>24</v>
      </c>
      <c r="G125">
        <v>11.3</v>
      </c>
      <c r="H125" t="s">
        <v>19</v>
      </c>
      <c r="I125" t="str">
        <f t="shared" si="3"/>
        <v>July</v>
      </c>
      <c r="J125" t="str">
        <f t="shared" si="4"/>
        <v>Q3</v>
      </c>
      <c r="K125">
        <f t="shared" si="5"/>
        <v>2025</v>
      </c>
    </row>
    <row r="126" spans="1:11" x14ac:dyDescent="0.3">
      <c r="A126" t="s">
        <v>344</v>
      </c>
      <c r="B126" t="s">
        <v>345</v>
      </c>
      <c r="C126" t="s">
        <v>240</v>
      </c>
      <c r="D126" s="1">
        <v>46022</v>
      </c>
      <c r="E126" t="s">
        <v>11</v>
      </c>
      <c r="F126" t="s">
        <v>241</v>
      </c>
      <c r="G126">
        <v>10.199999999999999</v>
      </c>
      <c r="H126" t="s">
        <v>13</v>
      </c>
      <c r="I126" t="str">
        <f t="shared" si="3"/>
        <v>December</v>
      </c>
      <c r="J126" t="str">
        <f t="shared" si="4"/>
        <v>Q4</v>
      </c>
      <c r="K126">
        <f t="shared" si="5"/>
        <v>2025</v>
      </c>
    </row>
    <row r="127" spans="1:11" x14ac:dyDescent="0.3">
      <c r="A127" t="s">
        <v>346</v>
      </c>
      <c r="B127" t="s">
        <v>347</v>
      </c>
      <c r="C127" t="s">
        <v>195</v>
      </c>
      <c r="D127" s="1">
        <v>45916</v>
      </c>
      <c r="E127" t="s">
        <v>69</v>
      </c>
      <c r="F127" t="s">
        <v>196</v>
      </c>
      <c r="G127">
        <v>7.7</v>
      </c>
      <c r="H127" t="s">
        <v>19</v>
      </c>
      <c r="I127" t="str">
        <f t="shared" si="3"/>
        <v>September</v>
      </c>
      <c r="J127" t="str">
        <f t="shared" si="4"/>
        <v>Q3</v>
      </c>
      <c r="K127">
        <f t="shared" si="5"/>
        <v>2025</v>
      </c>
    </row>
    <row r="128" spans="1:11" x14ac:dyDescent="0.3">
      <c r="A128" t="s">
        <v>348</v>
      </c>
      <c r="B128" t="s">
        <v>349</v>
      </c>
      <c r="C128" t="s">
        <v>16</v>
      </c>
      <c r="D128" s="1">
        <v>45801</v>
      </c>
      <c r="E128" t="s">
        <v>17</v>
      </c>
      <c r="F128" t="s">
        <v>18</v>
      </c>
      <c r="G128">
        <v>8</v>
      </c>
      <c r="H128" t="s">
        <v>19</v>
      </c>
      <c r="I128" t="str">
        <f t="shared" si="3"/>
        <v>May</v>
      </c>
      <c r="J128" t="str">
        <f t="shared" si="4"/>
        <v>Q2</v>
      </c>
      <c r="K128">
        <f t="shared" si="5"/>
        <v>2025</v>
      </c>
    </row>
    <row r="129" spans="1:11" x14ac:dyDescent="0.3">
      <c r="A129" t="s">
        <v>350</v>
      </c>
      <c r="B129" t="s">
        <v>351</v>
      </c>
      <c r="C129" t="s">
        <v>88</v>
      </c>
      <c r="D129" s="1">
        <v>45793</v>
      </c>
      <c r="E129" t="s">
        <v>33</v>
      </c>
      <c r="F129" t="s">
        <v>89</v>
      </c>
      <c r="G129">
        <v>10.7</v>
      </c>
      <c r="H129" t="s">
        <v>13</v>
      </c>
      <c r="I129" t="str">
        <f t="shared" si="3"/>
        <v>May</v>
      </c>
      <c r="J129" t="str">
        <f t="shared" si="4"/>
        <v>Q2</v>
      </c>
      <c r="K129">
        <f t="shared" si="5"/>
        <v>2025</v>
      </c>
    </row>
    <row r="130" spans="1:11" x14ac:dyDescent="0.3">
      <c r="A130" t="s">
        <v>352</v>
      </c>
      <c r="B130" t="s">
        <v>353</v>
      </c>
      <c r="C130" t="s">
        <v>73</v>
      </c>
      <c r="D130" s="1">
        <v>45873</v>
      </c>
      <c r="E130" t="s">
        <v>74</v>
      </c>
      <c r="F130" t="s">
        <v>75</v>
      </c>
      <c r="G130">
        <v>28.7</v>
      </c>
      <c r="H130" t="s">
        <v>13</v>
      </c>
      <c r="I130" t="str">
        <f t="shared" ref="I130:I193" si="6">TEXT(D130,"mmmm")</f>
        <v>August</v>
      </c>
      <c r="J130" t="str">
        <f t="shared" ref="J130:J193" si="7">"Q"&amp;ROUNDUP(MONTH(D130)/3,0)</f>
        <v>Q3</v>
      </c>
      <c r="K130">
        <f t="shared" ref="K130:K193" si="8">YEAR(D130)</f>
        <v>2025</v>
      </c>
    </row>
    <row r="131" spans="1:11" x14ac:dyDescent="0.3">
      <c r="A131" t="s">
        <v>354</v>
      </c>
      <c r="B131" t="s">
        <v>355</v>
      </c>
      <c r="C131" t="s">
        <v>187</v>
      </c>
      <c r="D131" s="1">
        <v>45862</v>
      </c>
      <c r="E131" t="s">
        <v>33</v>
      </c>
      <c r="F131" t="s">
        <v>188</v>
      </c>
      <c r="G131">
        <v>15.9</v>
      </c>
      <c r="H131" t="s">
        <v>19</v>
      </c>
      <c r="I131" t="str">
        <f t="shared" si="6"/>
        <v>July</v>
      </c>
      <c r="J131" t="str">
        <f t="shared" si="7"/>
        <v>Q3</v>
      </c>
      <c r="K131">
        <f t="shared" si="8"/>
        <v>2025</v>
      </c>
    </row>
    <row r="132" spans="1:11" x14ac:dyDescent="0.3">
      <c r="A132" t="s">
        <v>356</v>
      </c>
      <c r="B132" t="s">
        <v>357</v>
      </c>
      <c r="C132" t="s">
        <v>187</v>
      </c>
      <c r="D132" s="1">
        <v>45873</v>
      </c>
      <c r="E132" t="s">
        <v>33</v>
      </c>
      <c r="F132" t="s">
        <v>188</v>
      </c>
      <c r="G132">
        <v>10.3</v>
      </c>
      <c r="H132" t="s">
        <v>19</v>
      </c>
      <c r="I132" t="str">
        <f t="shared" si="6"/>
        <v>August</v>
      </c>
      <c r="J132" t="str">
        <f t="shared" si="7"/>
        <v>Q3</v>
      </c>
      <c r="K132">
        <f t="shared" si="8"/>
        <v>2025</v>
      </c>
    </row>
    <row r="133" spans="1:11" x14ac:dyDescent="0.3">
      <c r="A133" t="s">
        <v>358</v>
      </c>
      <c r="B133" t="s">
        <v>359</v>
      </c>
      <c r="C133" t="s">
        <v>240</v>
      </c>
      <c r="D133" s="1">
        <v>46022</v>
      </c>
      <c r="E133" t="s">
        <v>11</v>
      </c>
      <c r="F133" t="s">
        <v>241</v>
      </c>
      <c r="G133">
        <v>10.5</v>
      </c>
      <c r="H133" t="s">
        <v>13</v>
      </c>
      <c r="I133" t="str">
        <f t="shared" si="6"/>
        <v>December</v>
      </c>
      <c r="J133" t="str">
        <f t="shared" si="7"/>
        <v>Q4</v>
      </c>
      <c r="K133">
        <f t="shared" si="8"/>
        <v>2025</v>
      </c>
    </row>
    <row r="134" spans="1:11" x14ac:dyDescent="0.3">
      <c r="A134" t="s">
        <v>360</v>
      </c>
      <c r="B134" t="s">
        <v>361</v>
      </c>
      <c r="C134" t="s">
        <v>183</v>
      </c>
      <c r="D134" s="1">
        <v>45908</v>
      </c>
      <c r="E134" t="s">
        <v>100</v>
      </c>
      <c r="F134" t="s">
        <v>184</v>
      </c>
      <c r="G134">
        <v>9</v>
      </c>
      <c r="H134" t="s">
        <v>19</v>
      </c>
      <c r="I134" t="str">
        <f t="shared" si="6"/>
        <v>September</v>
      </c>
      <c r="J134" t="str">
        <f t="shared" si="7"/>
        <v>Q3</v>
      </c>
      <c r="K134">
        <f t="shared" si="8"/>
        <v>2025</v>
      </c>
    </row>
    <row r="135" spans="1:11" x14ac:dyDescent="0.3">
      <c r="A135" t="s">
        <v>362</v>
      </c>
      <c r="B135" t="s">
        <v>363</v>
      </c>
      <c r="C135" t="s">
        <v>187</v>
      </c>
      <c r="D135" s="1">
        <v>45879</v>
      </c>
      <c r="E135" t="s">
        <v>33</v>
      </c>
      <c r="F135" t="s">
        <v>188</v>
      </c>
      <c r="G135">
        <v>6.4</v>
      </c>
      <c r="H135" t="s">
        <v>19</v>
      </c>
      <c r="I135" t="str">
        <f t="shared" si="6"/>
        <v>August</v>
      </c>
      <c r="J135" t="str">
        <f t="shared" si="7"/>
        <v>Q3</v>
      </c>
      <c r="K135">
        <f t="shared" si="8"/>
        <v>2025</v>
      </c>
    </row>
    <row r="136" spans="1:11" x14ac:dyDescent="0.3">
      <c r="A136" t="s">
        <v>364</v>
      </c>
      <c r="B136" t="s">
        <v>365</v>
      </c>
      <c r="C136" t="s">
        <v>108</v>
      </c>
      <c r="D136" s="1">
        <v>45800</v>
      </c>
      <c r="E136" t="s">
        <v>33</v>
      </c>
      <c r="F136" t="s">
        <v>89</v>
      </c>
      <c r="G136">
        <v>8.6</v>
      </c>
      <c r="H136" t="s">
        <v>13</v>
      </c>
      <c r="I136" t="str">
        <f t="shared" si="6"/>
        <v>May</v>
      </c>
      <c r="J136" t="str">
        <f t="shared" si="7"/>
        <v>Q2</v>
      </c>
      <c r="K136">
        <f t="shared" si="8"/>
        <v>2025</v>
      </c>
    </row>
    <row r="137" spans="1:11" x14ac:dyDescent="0.3">
      <c r="A137" t="s">
        <v>366</v>
      </c>
      <c r="B137" t="s">
        <v>367</v>
      </c>
      <c r="C137" t="s">
        <v>176</v>
      </c>
      <c r="D137" s="1">
        <v>45778</v>
      </c>
      <c r="E137" t="s">
        <v>33</v>
      </c>
      <c r="F137" t="s">
        <v>34</v>
      </c>
      <c r="G137">
        <v>10.3</v>
      </c>
      <c r="H137" t="s">
        <v>19</v>
      </c>
      <c r="I137" t="str">
        <f t="shared" si="6"/>
        <v>May</v>
      </c>
      <c r="J137" t="str">
        <f t="shared" si="7"/>
        <v>Q2</v>
      </c>
      <c r="K137">
        <f t="shared" si="8"/>
        <v>2025</v>
      </c>
    </row>
    <row r="138" spans="1:11" x14ac:dyDescent="0.3">
      <c r="A138" t="s">
        <v>368</v>
      </c>
      <c r="B138" t="s">
        <v>369</v>
      </c>
      <c r="C138" t="s">
        <v>156</v>
      </c>
      <c r="D138" s="1">
        <v>45768</v>
      </c>
      <c r="E138" t="s">
        <v>46</v>
      </c>
      <c r="F138" t="s">
        <v>157</v>
      </c>
      <c r="G138">
        <v>10.8</v>
      </c>
      <c r="H138" t="s">
        <v>13</v>
      </c>
      <c r="I138" t="str">
        <f t="shared" si="6"/>
        <v>April</v>
      </c>
      <c r="J138" t="str">
        <f t="shared" si="7"/>
        <v>Q2</v>
      </c>
      <c r="K138">
        <f t="shared" si="8"/>
        <v>2025</v>
      </c>
    </row>
    <row r="139" spans="1:11" x14ac:dyDescent="0.3">
      <c r="A139" t="s">
        <v>370</v>
      </c>
      <c r="B139" t="s">
        <v>371</v>
      </c>
      <c r="C139" t="s">
        <v>85</v>
      </c>
      <c r="D139" s="1">
        <v>45912</v>
      </c>
      <c r="E139" t="s">
        <v>11</v>
      </c>
      <c r="F139" t="s">
        <v>52</v>
      </c>
      <c r="G139">
        <v>9.1</v>
      </c>
      <c r="H139" t="s">
        <v>19</v>
      </c>
      <c r="I139" t="str">
        <f t="shared" si="6"/>
        <v>September</v>
      </c>
      <c r="J139" t="str">
        <f t="shared" si="7"/>
        <v>Q3</v>
      </c>
      <c r="K139">
        <f t="shared" si="8"/>
        <v>2025</v>
      </c>
    </row>
    <row r="140" spans="1:11" x14ac:dyDescent="0.3">
      <c r="A140" t="s">
        <v>372</v>
      </c>
      <c r="B140" t="s">
        <v>373</v>
      </c>
      <c r="C140" t="s">
        <v>374</v>
      </c>
      <c r="D140" s="1">
        <v>45793</v>
      </c>
      <c r="E140" t="s">
        <v>17</v>
      </c>
      <c r="F140" t="s">
        <v>18</v>
      </c>
      <c r="G140">
        <v>13.9</v>
      </c>
      <c r="H140" t="s">
        <v>19</v>
      </c>
      <c r="I140" t="str">
        <f t="shared" si="6"/>
        <v>May</v>
      </c>
      <c r="J140" t="str">
        <f t="shared" si="7"/>
        <v>Q2</v>
      </c>
      <c r="K140">
        <f t="shared" si="8"/>
        <v>2025</v>
      </c>
    </row>
    <row r="141" spans="1:11" x14ac:dyDescent="0.3">
      <c r="A141" t="s">
        <v>375</v>
      </c>
      <c r="B141" t="s">
        <v>376</v>
      </c>
      <c r="C141" t="s">
        <v>208</v>
      </c>
      <c r="D141" s="1">
        <v>45847</v>
      </c>
      <c r="E141" t="s">
        <v>46</v>
      </c>
      <c r="F141" t="s">
        <v>209</v>
      </c>
      <c r="G141">
        <v>11</v>
      </c>
      <c r="H141" t="s">
        <v>19</v>
      </c>
      <c r="I141" t="str">
        <f t="shared" si="6"/>
        <v>July</v>
      </c>
      <c r="J141" t="str">
        <f t="shared" si="7"/>
        <v>Q3</v>
      </c>
      <c r="K141">
        <f t="shared" si="8"/>
        <v>2025</v>
      </c>
    </row>
    <row r="142" spans="1:11" x14ac:dyDescent="0.3">
      <c r="A142" t="s">
        <v>377</v>
      </c>
      <c r="B142" t="s">
        <v>378</v>
      </c>
      <c r="C142" t="s">
        <v>176</v>
      </c>
      <c r="D142" s="1">
        <v>45754</v>
      </c>
      <c r="E142" t="s">
        <v>33</v>
      </c>
      <c r="F142" t="s">
        <v>34</v>
      </c>
      <c r="G142">
        <v>13.2</v>
      </c>
      <c r="H142" t="s">
        <v>19</v>
      </c>
      <c r="I142" t="str">
        <f t="shared" si="6"/>
        <v>April</v>
      </c>
      <c r="J142" t="str">
        <f t="shared" si="7"/>
        <v>Q2</v>
      </c>
      <c r="K142">
        <f t="shared" si="8"/>
        <v>2025</v>
      </c>
    </row>
    <row r="143" spans="1:11" x14ac:dyDescent="0.3">
      <c r="A143" t="s">
        <v>379</v>
      </c>
      <c r="B143" t="s">
        <v>380</v>
      </c>
      <c r="C143" t="s">
        <v>78</v>
      </c>
      <c r="D143" s="1">
        <v>45939</v>
      </c>
      <c r="E143" t="s">
        <v>11</v>
      </c>
      <c r="F143" t="s">
        <v>38</v>
      </c>
      <c r="G143">
        <v>9.8000000000000007</v>
      </c>
      <c r="H143" t="s">
        <v>19</v>
      </c>
      <c r="I143" t="str">
        <f t="shared" si="6"/>
        <v>October</v>
      </c>
      <c r="J143" t="str">
        <f t="shared" si="7"/>
        <v>Q4</v>
      </c>
      <c r="K143">
        <f t="shared" si="8"/>
        <v>2025</v>
      </c>
    </row>
    <row r="144" spans="1:11" x14ac:dyDescent="0.3">
      <c r="A144" t="s">
        <v>381</v>
      </c>
      <c r="B144" t="s">
        <v>382</v>
      </c>
      <c r="C144" t="s">
        <v>147</v>
      </c>
      <c r="D144" s="1">
        <v>45870</v>
      </c>
      <c r="E144" t="s">
        <v>11</v>
      </c>
      <c r="F144" t="s">
        <v>38</v>
      </c>
      <c r="G144">
        <v>10.5</v>
      </c>
      <c r="H144" t="s">
        <v>13</v>
      </c>
      <c r="I144" t="str">
        <f t="shared" si="6"/>
        <v>August</v>
      </c>
      <c r="J144" t="str">
        <f t="shared" si="7"/>
        <v>Q3</v>
      </c>
      <c r="K144">
        <f t="shared" si="8"/>
        <v>2025</v>
      </c>
    </row>
    <row r="145" spans="1:11" x14ac:dyDescent="0.3">
      <c r="A145" t="s">
        <v>383</v>
      </c>
      <c r="B145" t="s">
        <v>384</v>
      </c>
      <c r="C145" t="s">
        <v>183</v>
      </c>
      <c r="D145" s="1">
        <v>45906</v>
      </c>
      <c r="E145" t="s">
        <v>100</v>
      </c>
      <c r="F145" t="s">
        <v>184</v>
      </c>
      <c r="G145">
        <v>11.4</v>
      </c>
      <c r="H145" t="s">
        <v>13</v>
      </c>
      <c r="I145" t="str">
        <f t="shared" si="6"/>
        <v>September</v>
      </c>
      <c r="J145" t="str">
        <f t="shared" si="7"/>
        <v>Q3</v>
      </c>
      <c r="K145">
        <f t="shared" si="8"/>
        <v>2025</v>
      </c>
    </row>
    <row r="146" spans="1:11" x14ac:dyDescent="0.3">
      <c r="A146" t="s">
        <v>385</v>
      </c>
      <c r="B146" t="s">
        <v>386</v>
      </c>
      <c r="C146" t="s">
        <v>65</v>
      </c>
      <c r="D146" s="1">
        <v>45988</v>
      </c>
      <c r="E146" t="s">
        <v>11</v>
      </c>
      <c r="F146" t="s">
        <v>12</v>
      </c>
      <c r="G146">
        <v>20.8</v>
      </c>
      <c r="H146" t="s">
        <v>19</v>
      </c>
      <c r="I146" t="str">
        <f t="shared" si="6"/>
        <v>November</v>
      </c>
      <c r="J146" t="str">
        <f t="shared" si="7"/>
        <v>Q4</v>
      </c>
      <c r="K146">
        <f t="shared" si="8"/>
        <v>2025</v>
      </c>
    </row>
    <row r="147" spans="1:11" x14ac:dyDescent="0.3">
      <c r="A147" t="s">
        <v>387</v>
      </c>
      <c r="B147" t="s">
        <v>388</v>
      </c>
      <c r="C147" t="s">
        <v>260</v>
      </c>
      <c r="D147" s="1">
        <v>45784</v>
      </c>
      <c r="E147" t="s">
        <v>23</v>
      </c>
      <c r="F147" t="s">
        <v>261</v>
      </c>
      <c r="G147">
        <v>9.3000000000000007</v>
      </c>
      <c r="H147" t="s">
        <v>13</v>
      </c>
      <c r="I147" t="str">
        <f t="shared" si="6"/>
        <v>May</v>
      </c>
      <c r="J147" t="str">
        <f t="shared" si="7"/>
        <v>Q2</v>
      </c>
      <c r="K147">
        <f t="shared" si="8"/>
        <v>2025</v>
      </c>
    </row>
    <row r="148" spans="1:11" x14ac:dyDescent="0.3">
      <c r="A148" t="s">
        <v>389</v>
      </c>
      <c r="B148" t="s">
        <v>390</v>
      </c>
      <c r="C148" t="s">
        <v>337</v>
      </c>
      <c r="D148" s="1">
        <v>45915</v>
      </c>
      <c r="E148" t="s">
        <v>33</v>
      </c>
      <c r="F148" t="s">
        <v>167</v>
      </c>
      <c r="G148">
        <v>12.2</v>
      </c>
      <c r="H148" t="s">
        <v>19</v>
      </c>
      <c r="I148" t="str">
        <f t="shared" si="6"/>
        <v>September</v>
      </c>
      <c r="J148" t="str">
        <f t="shared" si="7"/>
        <v>Q3</v>
      </c>
      <c r="K148">
        <f t="shared" si="8"/>
        <v>2025</v>
      </c>
    </row>
    <row r="149" spans="1:11" x14ac:dyDescent="0.3">
      <c r="A149" t="s">
        <v>391</v>
      </c>
      <c r="B149" t="s">
        <v>392</v>
      </c>
      <c r="C149" t="s">
        <v>41</v>
      </c>
      <c r="D149" s="1">
        <v>45863</v>
      </c>
      <c r="E149" t="s">
        <v>23</v>
      </c>
      <c r="F149" t="s">
        <v>42</v>
      </c>
      <c r="G149">
        <v>18.5</v>
      </c>
      <c r="H149" t="s">
        <v>19</v>
      </c>
      <c r="I149" t="str">
        <f t="shared" si="6"/>
        <v>July</v>
      </c>
      <c r="J149" t="str">
        <f t="shared" si="7"/>
        <v>Q3</v>
      </c>
      <c r="K149">
        <f t="shared" si="8"/>
        <v>2025</v>
      </c>
    </row>
    <row r="150" spans="1:11" x14ac:dyDescent="0.3">
      <c r="A150" t="s">
        <v>393</v>
      </c>
      <c r="B150" t="s">
        <v>394</v>
      </c>
      <c r="C150" t="s">
        <v>108</v>
      </c>
      <c r="D150" s="1">
        <v>45805</v>
      </c>
      <c r="E150" t="s">
        <v>33</v>
      </c>
      <c r="F150" t="s">
        <v>89</v>
      </c>
      <c r="G150">
        <v>9.8000000000000007</v>
      </c>
      <c r="I150" t="str">
        <f t="shared" si="6"/>
        <v>May</v>
      </c>
      <c r="J150" t="str">
        <f t="shared" si="7"/>
        <v>Q2</v>
      </c>
      <c r="K150">
        <f t="shared" si="8"/>
        <v>2025</v>
      </c>
    </row>
    <row r="151" spans="1:11" x14ac:dyDescent="0.3">
      <c r="A151" t="s">
        <v>395</v>
      </c>
      <c r="B151" t="s">
        <v>396</v>
      </c>
      <c r="C151" t="s">
        <v>298</v>
      </c>
      <c r="D151" s="1">
        <v>45925</v>
      </c>
      <c r="E151" t="s">
        <v>100</v>
      </c>
      <c r="F151" t="s">
        <v>299</v>
      </c>
      <c r="G151">
        <v>10.7</v>
      </c>
      <c r="H151" t="s">
        <v>19</v>
      </c>
      <c r="I151" t="str">
        <f t="shared" si="6"/>
        <v>September</v>
      </c>
      <c r="J151" t="str">
        <f t="shared" si="7"/>
        <v>Q3</v>
      </c>
      <c r="K151">
        <f t="shared" si="8"/>
        <v>2025</v>
      </c>
    </row>
    <row r="152" spans="1:11" x14ac:dyDescent="0.3">
      <c r="A152" t="s">
        <v>397</v>
      </c>
      <c r="B152" t="s">
        <v>398</v>
      </c>
      <c r="C152" t="s">
        <v>133</v>
      </c>
      <c r="D152" s="1">
        <v>45730</v>
      </c>
      <c r="E152" t="s">
        <v>28</v>
      </c>
      <c r="F152" t="s">
        <v>128</v>
      </c>
      <c r="G152">
        <v>12.2</v>
      </c>
      <c r="H152" t="s">
        <v>19</v>
      </c>
      <c r="I152" t="str">
        <f t="shared" si="6"/>
        <v>March</v>
      </c>
      <c r="J152" t="str">
        <f t="shared" si="7"/>
        <v>Q1</v>
      </c>
      <c r="K152">
        <f t="shared" si="8"/>
        <v>2025</v>
      </c>
    </row>
    <row r="153" spans="1:11" x14ac:dyDescent="0.3">
      <c r="A153" t="s">
        <v>399</v>
      </c>
      <c r="B153" t="s">
        <v>400</v>
      </c>
      <c r="C153" t="s">
        <v>92</v>
      </c>
      <c r="D153" s="1">
        <v>45845</v>
      </c>
      <c r="E153" t="s">
        <v>23</v>
      </c>
      <c r="F153" t="s">
        <v>93</v>
      </c>
      <c r="G153">
        <v>13</v>
      </c>
      <c r="H153" t="s">
        <v>13</v>
      </c>
      <c r="I153" t="str">
        <f t="shared" si="6"/>
        <v>July</v>
      </c>
      <c r="J153" t="str">
        <f t="shared" si="7"/>
        <v>Q3</v>
      </c>
      <c r="K153">
        <f t="shared" si="8"/>
        <v>2025</v>
      </c>
    </row>
    <row r="154" spans="1:11" x14ac:dyDescent="0.3">
      <c r="A154" t="s">
        <v>401</v>
      </c>
      <c r="B154" t="s">
        <v>402</v>
      </c>
      <c r="C154" t="s">
        <v>99</v>
      </c>
      <c r="D154" s="1">
        <v>45907</v>
      </c>
      <c r="E154" t="s">
        <v>100</v>
      </c>
      <c r="F154" t="s">
        <v>101</v>
      </c>
      <c r="G154">
        <v>14.5</v>
      </c>
      <c r="H154" t="s">
        <v>19</v>
      </c>
      <c r="I154" t="str">
        <f t="shared" si="6"/>
        <v>September</v>
      </c>
      <c r="J154" t="str">
        <f t="shared" si="7"/>
        <v>Q3</v>
      </c>
      <c r="K154">
        <f t="shared" si="8"/>
        <v>2025</v>
      </c>
    </row>
    <row r="155" spans="1:11" x14ac:dyDescent="0.3">
      <c r="A155" t="s">
        <v>403</v>
      </c>
      <c r="B155" t="s">
        <v>404</v>
      </c>
      <c r="C155" t="s">
        <v>10</v>
      </c>
      <c r="D155" s="1">
        <v>45962</v>
      </c>
      <c r="E155" t="s">
        <v>11</v>
      </c>
      <c r="F155" t="s">
        <v>12</v>
      </c>
      <c r="G155">
        <v>9.1999999999999993</v>
      </c>
      <c r="H155" t="s">
        <v>13</v>
      </c>
      <c r="I155" t="str">
        <f t="shared" si="6"/>
        <v>November</v>
      </c>
      <c r="J155" t="str">
        <f t="shared" si="7"/>
        <v>Q4</v>
      </c>
      <c r="K155">
        <f t="shared" si="8"/>
        <v>2025</v>
      </c>
    </row>
    <row r="156" spans="1:11" x14ac:dyDescent="0.3">
      <c r="A156" t="s">
        <v>405</v>
      </c>
      <c r="B156" t="s">
        <v>406</v>
      </c>
      <c r="C156" t="s">
        <v>45</v>
      </c>
      <c r="D156" s="1">
        <v>45905</v>
      </c>
      <c r="E156" t="s">
        <v>46</v>
      </c>
      <c r="F156" t="s">
        <v>47</v>
      </c>
      <c r="G156">
        <v>17.2</v>
      </c>
      <c r="H156" t="s">
        <v>19</v>
      </c>
      <c r="I156" t="str">
        <f t="shared" si="6"/>
        <v>September</v>
      </c>
      <c r="J156" t="str">
        <f t="shared" si="7"/>
        <v>Q3</v>
      </c>
      <c r="K156">
        <f t="shared" si="8"/>
        <v>2025</v>
      </c>
    </row>
    <row r="157" spans="1:11" x14ac:dyDescent="0.3">
      <c r="A157" t="s">
        <v>407</v>
      </c>
      <c r="B157" t="s">
        <v>408</v>
      </c>
      <c r="C157" t="s">
        <v>16</v>
      </c>
      <c r="D157" s="1">
        <v>45791</v>
      </c>
      <c r="E157" t="s">
        <v>17</v>
      </c>
      <c r="F157" t="s">
        <v>18</v>
      </c>
      <c r="G157">
        <v>10.9</v>
      </c>
      <c r="I157" t="str">
        <f t="shared" si="6"/>
        <v>May</v>
      </c>
      <c r="J157" t="str">
        <f t="shared" si="7"/>
        <v>Q2</v>
      </c>
      <c r="K157">
        <f t="shared" si="8"/>
        <v>2025</v>
      </c>
    </row>
    <row r="158" spans="1:11" x14ac:dyDescent="0.3">
      <c r="A158" t="s">
        <v>409</v>
      </c>
      <c r="B158" t="s">
        <v>410</v>
      </c>
      <c r="C158" t="s">
        <v>251</v>
      </c>
      <c r="D158" s="1">
        <v>45871</v>
      </c>
      <c r="E158" t="s">
        <v>28</v>
      </c>
      <c r="F158" t="s">
        <v>128</v>
      </c>
      <c r="G158">
        <v>20.399999999999999</v>
      </c>
      <c r="H158" t="s">
        <v>13</v>
      </c>
      <c r="I158" t="str">
        <f t="shared" si="6"/>
        <v>August</v>
      </c>
      <c r="J158" t="str">
        <f t="shared" si="7"/>
        <v>Q3</v>
      </c>
      <c r="K158">
        <f t="shared" si="8"/>
        <v>2025</v>
      </c>
    </row>
    <row r="159" spans="1:11" x14ac:dyDescent="0.3">
      <c r="A159" t="s">
        <v>411</v>
      </c>
      <c r="B159" t="s">
        <v>412</v>
      </c>
      <c r="C159" t="s">
        <v>58</v>
      </c>
      <c r="D159" s="1">
        <v>45861</v>
      </c>
      <c r="E159" t="s">
        <v>23</v>
      </c>
      <c r="F159" t="s">
        <v>59</v>
      </c>
      <c r="G159">
        <v>11.3</v>
      </c>
      <c r="H159" t="s">
        <v>19</v>
      </c>
      <c r="I159" t="str">
        <f t="shared" si="6"/>
        <v>July</v>
      </c>
      <c r="J159" t="str">
        <f t="shared" si="7"/>
        <v>Q3</v>
      </c>
      <c r="K159">
        <f t="shared" si="8"/>
        <v>2025</v>
      </c>
    </row>
    <row r="160" spans="1:11" x14ac:dyDescent="0.3">
      <c r="A160" t="s">
        <v>413</v>
      </c>
      <c r="B160" t="s">
        <v>414</v>
      </c>
      <c r="C160" t="s">
        <v>156</v>
      </c>
      <c r="D160" s="1">
        <v>45788</v>
      </c>
      <c r="E160" t="s">
        <v>46</v>
      </c>
      <c r="F160" t="s">
        <v>157</v>
      </c>
      <c r="G160">
        <v>10.9</v>
      </c>
      <c r="H160" t="s">
        <v>19</v>
      </c>
      <c r="I160" t="str">
        <f t="shared" si="6"/>
        <v>May</v>
      </c>
      <c r="J160" t="str">
        <f t="shared" si="7"/>
        <v>Q2</v>
      </c>
      <c r="K160">
        <f t="shared" si="8"/>
        <v>2025</v>
      </c>
    </row>
    <row r="161" spans="1:11" x14ac:dyDescent="0.3">
      <c r="A161" t="s">
        <v>415</v>
      </c>
      <c r="B161" t="s">
        <v>416</v>
      </c>
      <c r="C161" t="s">
        <v>41</v>
      </c>
      <c r="D161" s="1">
        <v>45865</v>
      </c>
      <c r="E161" t="s">
        <v>23</v>
      </c>
      <c r="F161" t="s">
        <v>42</v>
      </c>
      <c r="G161">
        <v>22.5</v>
      </c>
      <c r="H161" t="s">
        <v>19</v>
      </c>
      <c r="I161" t="str">
        <f t="shared" si="6"/>
        <v>July</v>
      </c>
      <c r="J161" t="str">
        <f t="shared" si="7"/>
        <v>Q3</v>
      </c>
      <c r="K161">
        <f t="shared" si="8"/>
        <v>2025</v>
      </c>
    </row>
    <row r="162" spans="1:11" x14ac:dyDescent="0.3">
      <c r="A162" t="s">
        <v>417</v>
      </c>
      <c r="B162" t="s">
        <v>418</v>
      </c>
      <c r="C162" t="s">
        <v>166</v>
      </c>
      <c r="D162" s="1">
        <v>45833</v>
      </c>
      <c r="E162" t="s">
        <v>33</v>
      </c>
      <c r="F162" t="s">
        <v>167</v>
      </c>
      <c r="G162">
        <v>15.1</v>
      </c>
      <c r="H162" t="s">
        <v>19</v>
      </c>
      <c r="I162" t="str">
        <f t="shared" si="6"/>
        <v>June</v>
      </c>
      <c r="J162" t="str">
        <f t="shared" si="7"/>
        <v>Q2</v>
      </c>
      <c r="K162">
        <f t="shared" si="8"/>
        <v>2025</v>
      </c>
    </row>
    <row r="163" spans="1:11" x14ac:dyDescent="0.3">
      <c r="A163" t="s">
        <v>419</v>
      </c>
      <c r="B163" t="s">
        <v>420</v>
      </c>
      <c r="C163" t="s">
        <v>201</v>
      </c>
      <c r="D163" s="1">
        <v>46022</v>
      </c>
      <c r="E163" t="s">
        <v>23</v>
      </c>
      <c r="F163" t="s">
        <v>93</v>
      </c>
      <c r="G163">
        <v>11.9</v>
      </c>
      <c r="H163" t="s">
        <v>13</v>
      </c>
      <c r="I163" t="str">
        <f t="shared" si="6"/>
        <v>December</v>
      </c>
      <c r="J163" t="str">
        <f t="shared" si="7"/>
        <v>Q4</v>
      </c>
      <c r="K163">
        <f t="shared" si="8"/>
        <v>2025</v>
      </c>
    </row>
    <row r="164" spans="1:11" x14ac:dyDescent="0.3">
      <c r="A164" t="s">
        <v>421</v>
      </c>
      <c r="B164" t="s">
        <v>422</v>
      </c>
      <c r="C164" t="s">
        <v>41</v>
      </c>
      <c r="D164" s="1">
        <v>45879</v>
      </c>
      <c r="E164" t="s">
        <v>23</v>
      </c>
      <c r="F164" t="s">
        <v>42</v>
      </c>
      <c r="G164">
        <v>22.1</v>
      </c>
      <c r="H164" t="s">
        <v>19</v>
      </c>
      <c r="I164" t="str">
        <f t="shared" si="6"/>
        <v>August</v>
      </c>
      <c r="J164" t="str">
        <f t="shared" si="7"/>
        <v>Q3</v>
      </c>
      <c r="K164">
        <f t="shared" si="8"/>
        <v>2025</v>
      </c>
    </row>
    <row r="165" spans="1:11" x14ac:dyDescent="0.3">
      <c r="A165" t="s">
        <v>423</v>
      </c>
      <c r="B165" t="s">
        <v>424</v>
      </c>
      <c r="C165" t="s">
        <v>292</v>
      </c>
      <c r="D165" s="1">
        <v>45760</v>
      </c>
      <c r="E165" t="s">
        <v>11</v>
      </c>
      <c r="F165" t="s">
        <v>293</v>
      </c>
      <c r="G165">
        <v>9.5</v>
      </c>
      <c r="H165" t="s">
        <v>19</v>
      </c>
      <c r="I165" t="str">
        <f t="shared" si="6"/>
        <v>April</v>
      </c>
      <c r="J165" t="str">
        <f t="shared" si="7"/>
        <v>Q2</v>
      </c>
      <c r="K165">
        <f t="shared" si="8"/>
        <v>2025</v>
      </c>
    </row>
    <row r="166" spans="1:11" x14ac:dyDescent="0.3">
      <c r="A166" t="s">
        <v>425</v>
      </c>
      <c r="B166" t="s">
        <v>426</v>
      </c>
      <c r="C166" t="s">
        <v>374</v>
      </c>
      <c r="D166" s="1">
        <v>45793</v>
      </c>
      <c r="E166" t="s">
        <v>17</v>
      </c>
      <c r="F166" t="s">
        <v>18</v>
      </c>
      <c r="G166">
        <v>16.5</v>
      </c>
      <c r="H166" t="s">
        <v>19</v>
      </c>
      <c r="I166" t="str">
        <f t="shared" si="6"/>
        <v>May</v>
      </c>
      <c r="J166" t="str">
        <f t="shared" si="7"/>
        <v>Q2</v>
      </c>
      <c r="K166">
        <f t="shared" si="8"/>
        <v>2025</v>
      </c>
    </row>
    <row r="167" spans="1:11" x14ac:dyDescent="0.3">
      <c r="A167" t="s">
        <v>427</v>
      </c>
      <c r="B167" t="s">
        <v>428</v>
      </c>
      <c r="C167" t="s">
        <v>429</v>
      </c>
      <c r="D167" s="1">
        <v>45829</v>
      </c>
      <c r="E167" t="s">
        <v>46</v>
      </c>
      <c r="F167" t="s">
        <v>47</v>
      </c>
      <c r="G167">
        <v>15.1</v>
      </c>
      <c r="H167" t="s">
        <v>19</v>
      </c>
      <c r="I167" t="str">
        <f t="shared" si="6"/>
        <v>June</v>
      </c>
      <c r="J167" t="str">
        <f t="shared" si="7"/>
        <v>Q2</v>
      </c>
      <c r="K167">
        <f t="shared" si="8"/>
        <v>2025</v>
      </c>
    </row>
    <row r="168" spans="1:11" x14ac:dyDescent="0.3">
      <c r="A168" t="s">
        <v>430</v>
      </c>
      <c r="B168" t="s">
        <v>431</v>
      </c>
      <c r="C168" t="s">
        <v>73</v>
      </c>
      <c r="D168" s="1">
        <v>45851</v>
      </c>
      <c r="E168" t="s">
        <v>74</v>
      </c>
      <c r="F168" t="s">
        <v>75</v>
      </c>
      <c r="G168">
        <v>20.9</v>
      </c>
      <c r="H168" t="s">
        <v>19</v>
      </c>
      <c r="I168" t="str">
        <f t="shared" si="6"/>
        <v>July</v>
      </c>
      <c r="J168" t="str">
        <f t="shared" si="7"/>
        <v>Q3</v>
      </c>
      <c r="K168">
        <f t="shared" si="8"/>
        <v>2025</v>
      </c>
    </row>
    <row r="169" spans="1:11" x14ac:dyDescent="0.3">
      <c r="A169" t="s">
        <v>432</v>
      </c>
      <c r="B169" t="s">
        <v>433</v>
      </c>
      <c r="C169" t="s">
        <v>99</v>
      </c>
      <c r="D169" s="1">
        <v>45909</v>
      </c>
      <c r="E169" t="s">
        <v>100</v>
      </c>
      <c r="F169" t="s">
        <v>101</v>
      </c>
      <c r="G169">
        <v>3</v>
      </c>
      <c r="H169" t="s">
        <v>19</v>
      </c>
      <c r="I169" t="str">
        <f t="shared" si="6"/>
        <v>September</v>
      </c>
      <c r="J169" t="str">
        <f t="shared" si="7"/>
        <v>Q3</v>
      </c>
      <c r="K169">
        <f t="shared" si="8"/>
        <v>2025</v>
      </c>
    </row>
    <row r="170" spans="1:11" x14ac:dyDescent="0.3">
      <c r="A170" t="s">
        <v>434</v>
      </c>
      <c r="B170" t="s">
        <v>435</v>
      </c>
      <c r="C170" t="s">
        <v>37</v>
      </c>
      <c r="D170" s="1">
        <v>45778</v>
      </c>
      <c r="E170" t="s">
        <v>11</v>
      </c>
      <c r="F170" t="s">
        <v>38</v>
      </c>
      <c r="G170">
        <v>15.1</v>
      </c>
      <c r="H170" t="s">
        <v>19</v>
      </c>
      <c r="I170" t="str">
        <f t="shared" si="6"/>
        <v>May</v>
      </c>
      <c r="J170" t="str">
        <f t="shared" si="7"/>
        <v>Q2</v>
      </c>
      <c r="K170">
        <f t="shared" si="8"/>
        <v>2025</v>
      </c>
    </row>
    <row r="171" spans="1:11" x14ac:dyDescent="0.3">
      <c r="A171" t="s">
        <v>436</v>
      </c>
      <c r="B171" t="s">
        <v>437</v>
      </c>
      <c r="C171" t="s">
        <v>208</v>
      </c>
      <c r="D171" s="1">
        <v>45846</v>
      </c>
      <c r="E171" t="s">
        <v>46</v>
      </c>
      <c r="F171" t="s">
        <v>209</v>
      </c>
      <c r="G171">
        <v>11.4</v>
      </c>
      <c r="H171" t="s">
        <v>19</v>
      </c>
      <c r="I171" t="str">
        <f t="shared" si="6"/>
        <v>July</v>
      </c>
      <c r="J171" t="str">
        <f t="shared" si="7"/>
        <v>Q3</v>
      </c>
      <c r="K171">
        <f t="shared" si="8"/>
        <v>2025</v>
      </c>
    </row>
    <row r="172" spans="1:11" x14ac:dyDescent="0.3">
      <c r="A172" t="s">
        <v>438</v>
      </c>
      <c r="B172" t="s">
        <v>439</v>
      </c>
      <c r="C172" t="s">
        <v>73</v>
      </c>
      <c r="D172" s="1">
        <v>45841</v>
      </c>
      <c r="E172" t="s">
        <v>74</v>
      </c>
      <c r="F172" t="s">
        <v>75</v>
      </c>
      <c r="G172">
        <v>9</v>
      </c>
      <c r="H172" t="s">
        <v>19</v>
      </c>
      <c r="I172" t="str">
        <f t="shared" si="6"/>
        <v>July</v>
      </c>
      <c r="J172" t="str">
        <f t="shared" si="7"/>
        <v>Q3</v>
      </c>
      <c r="K172">
        <f t="shared" si="8"/>
        <v>2025</v>
      </c>
    </row>
    <row r="173" spans="1:11" x14ac:dyDescent="0.3">
      <c r="A173" t="s">
        <v>440</v>
      </c>
      <c r="B173" t="s">
        <v>441</v>
      </c>
      <c r="C173" t="s">
        <v>96</v>
      </c>
      <c r="D173" s="1">
        <v>45923</v>
      </c>
      <c r="E173" t="s">
        <v>23</v>
      </c>
      <c r="F173" t="s">
        <v>59</v>
      </c>
      <c r="G173">
        <v>6.2</v>
      </c>
      <c r="H173" t="s">
        <v>13</v>
      </c>
      <c r="I173" t="str">
        <f t="shared" si="6"/>
        <v>September</v>
      </c>
      <c r="J173" t="str">
        <f t="shared" si="7"/>
        <v>Q3</v>
      </c>
      <c r="K173">
        <f t="shared" si="8"/>
        <v>2025</v>
      </c>
    </row>
    <row r="174" spans="1:11" x14ac:dyDescent="0.3">
      <c r="A174" t="s">
        <v>442</v>
      </c>
      <c r="B174" t="s">
        <v>443</v>
      </c>
      <c r="C174" t="s">
        <v>16</v>
      </c>
      <c r="D174" s="1">
        <v>45808</v>
      </c>
      <c r="E174" t="s">
        <v>17</v>
      </c>
      <c r="F174" t="s">
        <v>18</v>
      </c>
      <c r="G174">
        <v>16</v>
      </c>
      <c r="H174" t="s">
        <v>13</v>
      </c>
      <c r="I174" t="str">
        <f t="shared" si="6"/>
        <v>May</v>
      </c>
      <c r="J174" t="str">
        <f t="shared" si="7"/>
        <v>Q2</v>
      </c>
      <c r="K174">
        <f t="shared" si="8"/>
        <v>2025</v>
      </c>
    </row>
    <row r="175" spans="1:11" x14ac:dyDescent="0.3">
      <c r="A175" t="s">
        <v>444</v>
      </c>
      <c r="B175" t="s">
        <v>445</v>
      </c>
      <c r="C175" t="s">
        <v>37</v>
      </c>
      <c r="D175" s="1">
        <v>45771</v>
      </c>
      <c r="E175" t="s">
        <v>11</v>
      </c>
      <c r="F175" t="s">
        <v>38</v>
      </c>
      <c r="G175">
        <v>8.9</v>
      </c>
      <c r="H175" t="s">
        <v>48</v>
      </c>
      <c r="I175" t="str">
        <f t="shared" si="6"/>
        <v>April</v>
      </c>
      <c r="J175" t="str">
        <f t="shared" si="7"/>
        <v>Q2</v>
      </c>
      <c r="K175">
        <f t="shared" si="8"/>
        <v>2025</v>
      </c>
    </row>
    <row r="176" spans="1:11" x14ac:dyDescent="0.3">
      <c r="A176" t="s">
        <v>446</v>
      </c>
      <c r="B176" t="s">
        <v>447</v>
      </c>
      <c r="C176" t="s">
        <v>240</v>
      </c>
      <c r="D176" s="1">
        <v>45998</v>
      </c>
      <c r="E176" t="s">
        <v>11</v>
      </c>
      <c r="F176" t="s">
        <v>241</v>
      </c>
      <c r="G176">
        <v>12.4</v>
      </c>
      <c r="H176" t="s">
        <v>13</v>
      </c>
      <c r="I176" t="str">
        <f t="shared" si="6"/>
        <v>December</v>
      </c>
      <c r="J176" t="str">
        <f t="shared" si="7"/>
        <v>Q4</v>
      </c>
      <c r="K176">
        <f t="shared" si="8"/>
        <v>2025</v>
      </c>
    </row>
    <row r="177" spans="1:11" x14ac:dyDescent="0.3">
      <c r="A177" t="s">
        <v>448</v>
      </c>
      <c r="B177" t="s">
        <v>449</v>
      </c>
      <c r="C177" t="s">
        <v>58</v>
      </c>
      <c r="D177" s="1">
        <v>45874</v>
      </c>
      <c r="E177" t="s">
        <v>23</v>
      </c>
      <c r="F177" t="s">
        <v>59</v>
      </c>
      <c r="G177">
        <v>13</v>
      </c>
      <c r="H177" t="s">
        <v>19</v>
      </c>
      <c r="I177" t="str">
        <f t="shared" si="6"/>
        <v>August</v>
      </c>
      <c r="J177" t="str">
        <f t="shared" si="7"/>
        <v>Q3</v>
      </c>
      <c r="K177">
        <f t="shared" si="8"/>
        <v>2025</v>
      </c>
    </row>
    <row r="178" spans="1:11" x14ac:dyDescent="0.3">
      <c r="A178" t="s">
        <v>450</v>
      </c>
      <c r="B178" t="s">
        <v>451</v>
      </c>
      <c r="C178" t="s">
        <v>88</v>
      </c>
      <c r="D178" s="1">
        <v>45804</v>
      </c>
      <c r="E178" t="s">
        <v>33</v>
      </c>
      <c r="F178" t="s">
        <v>89</v>
      </c>
      <c r="G178">
        <v>11.8</v>
      </c>
      <c r="H178" t="s">
        <v>19</v>
      </c>
      <c r="I178" t="str">
        <f t="shared" si="6"/>
        <v>May</v>
      </c>
      <c r="J178" t="str">
        <f t="shared" si="7"/>
        <v>Q2</v>
      </c>
      <c r="K178">
        <f t="shared" si="8"/>
        <v>2025</v>
      </c>
    </row>
    <row r="179" spans="1:11" x14ac:dyDescent="0.3">
      <c r="A179" t="s">
        <v>452</v>
      </c>
      <c r="B179" t="s">
        <v>453</v>
      </c>
      <c r="C179" t="s">
        <v>51</v>
      </c>
      <c r="D179" s="1">
        <v>45999</v>
      </c>
      <c r="E179" t="s">
        <v>11</v>
      </c>
      <c r="F179" t="s">
        <v>52</v>
      </c>
      <c r="G179">
        <v>12.3</v>
      </c>
      <c r="H179" t="s">
        <v>13</v>
      </c>
      <c r="I179" t="str">
        <f t="shared" si="6"/>
        <v>December</v>
      </c>
      <c r="J179" t="str">
        <f t="shared" si="7"/>
        <v>Q4</v>
      </c>
      <c r="K179">
        <f t="shared" si="8"/>
        <v>2025</v>
      </c>
    </row>
    <row r="180" spans="1:11" x14ac:dyDescent="0.3">
      <c r="A180" t="s">
        <v>454</v>
      </c>
      <c r="B180" t="s">
        <v>455</v>
      </c>
      <c r="C180" t="s">
        <v>32</v>
      </c>
      <c r="D180" s="1">
        <v>45806</v>
      </c>
      <c r="E180" t="s">
        <v>33</v>
      </c>
      <c r="F180" t="s">
        <v>34</v>
      </c>
      <c r="G180">
        <v>10.3</v>
      </c>
      <c r="H180" t="s">
        <v>19</v>
      </c>
      <c r="I180" t="str">
        <f t="shared" si="6"/>
        <v>May</v>
      </c>
      <c r="J180" t="str">
        <f t="shared" si="7"/>
        <v>Q2</v>
      </c>
      <c r="K180">
        <f t="shared" si="8"/>
        <v>2025</v>
      </c>
    </row>
    <row r="181" spans="1:11" x14ac:dyDescent="0.3">
      <c r="A181" t="s">
        <v>456</v>
      </c>
      <c r="B181" t="s">
        <v>457</v>
      </c>
      <c r="C181" t="s">
        <v>32</v>
      </c>
      <c r="D181" s="1">
        <v>45823</v>
      </c>
      <c r="E181" t="s">
        <v>33</v>
      </c>
      <c r="F181" t="s">
        <v>34</v>
      </c>
      <c r="G181">
        <v>16.3</v>
      </c>
      <c r="H181" t="s">
        <v>19</v>
      </c>
      <c r="I181" t="str">
        <f t="shared" si="6"/>
        <v>June</v>
      </c>
      <c r="J181" t="str">
        <f t="shared" si="7"/>
        <v>Q2</v>
      </c>
      <c r="K181">
        <f t="shared" si="8"/>
        <v>2025</v>
      </c>
    </row>
    <row r="182" spans="1:11" x14ac:dyDescent="0.3">
      <c r="A182" t="s">
        <v>458</v>
      </c>
      <c r="B182" t="s">
        <v>459</v>
      </c>
      <c r="C182" t="s">
        <v>156</v>
      </c>
      <c r="D182" s="1">
        <v>45774</v>
      </c>
      <c r="E182" t="s">
        <v>46</v>
      </c>
      <c r="F182" t="s">
        <v>157</v>
      </c>
      <c r="G182">
        <v>10.3</v>
      </c>
      <c r="H182" t="s">
        <v>19</v>
      </c>
      <c r="I182" t="str">
        <f t="shared" si="6"/>
        <v>April</v>
      </c>
      <c r="J182" t="str">
        <f t="shared" si="7"/>
        <v>Q2</v>
      </c>
      <c r="K182">
        <f t="shared" si="8"/>
        <v>2025</v>
      </c>
    </row>
    <row r="183" spans="1:11" x14ac:dyDescent="0.3">
      <c r="A183" t="s">
        <v>460</v>
      </c>
      <c r="B183" t="s">
        <v>461</v>
      </c>
      <c r="C183" t="s">
        <v>27</v>
      </c>
      <c r="D183" s="1">
        <v>45945</v>
      </c>
      <c r="E183" t="s">
        <v>28</v>
      </c>
      <c r="F183" t="s">
        <v>29</v>
      </c>
      <c r="G183">
        <v>18.2</v>
      </c>
      <c r="H183" t="s">
        <v>13</v>
      </c>
      <c r="I183" t="str">
        <f t="shared" si="6"/>
        <v>October</v>
      </c>
      <c r="J183" t="str">
        <f t="shared" si="7"/>
        <v>Q4</v>
      </c>
      <c r="K183">
        <f t="shared" si="8"/>
        <v>2025</v>
      </c>
    </row>
    <row r="184" spans="1:11" x14ac:dyDescent="0.3">
      <c r="A184" t="s">
        <v>462</v>
      </c>
      <c r="B184" t="s">
        <v>463</v>
      </c>
      <c r="C184" t="s">
        <v>429</v>
      </c>
      <c r="D184" s="1">
        <v>45815</v>
      </c>
      <c r="E184" t="s">
        <v>46</v>
      </c>
      <c r="F184" t="s">
        <v>47</v>
      </c>
      <c r="G184">
        <v>11</v>
      </c>
      <c r="H184" t="s">
        <v>19</v>
      </c>
      <c r="I184" t="str">
        <f t="shared" si="6"/>
        <v>June</v>
      </c>
      <c r="J184" t="str">
        <f t="shared" si="7"/>
        <v>Q2</v>
      </c>
      <c r="K184">
        <f t="shared" si="8"/>
        <v>2025</v>
      </c>
    </row>
    <row r="185" spans="1:11" x14ac:dyDescent="0.3">
      <c r="A185" t="s">
        <v>464</v>
      </c>
      <c r="B185" t="s">
        <v>465</v>
      </c>
      <c r="C185" t="s">
        <v>32</v>
      </c>
      <c r="D185" s="1">
        <v>45809</v>
      </c>
      <c r="E185" t="s">
        <v>33</v>
      </c>
      <c r="F185" t="s">
        <v>34</v>
      </c>
      <c r="G185">
        <v>7.1</v>
      </c>
      <c r="H185" t="s">
        <v>19</v>
      </c>
      <c r="I185" t="str">
        <f t="shared" si="6"/>
        <v>June</v>
      </c>
      <c r="J185" t="str">
        <f t="shared" si="7"/>
        <v>Q2</v>
      </c>
      <c r="K185">
        <f t="shared" si="8"/>
        <v>2025</v>
      </c>
    </row>
    <row r="186" spans="1:11" x14ac:dyDescent="0.3">
      <c r="A186" t="s">
        <v>466</v>
      </c>
      <c r="B186" t="s">
        <v>467</v>
      </c>
      <c r="C186" t="s">
        <v>85</v>
      </c>
      <c r="D186" s="1">
        <v>45883</v>
      </c>
      <c r="E186" t="s">
        <v>11</v>
      </c>
      <c r="F186" t="s">
        <v>52</v>
      </c>
      <c r="G186">
        <v>11.1</v>
      </c>
      <c r="H186" t="s">
        <v>48</v>
      </c>
      <c r="I186" t="str">
        <f t="shared" si="6"/>
        <v>August</v>
      </c>
      <c r="J186" t="str">
        <f t="shared" si="7"/>
        <v>Q3</v>
      </c>
      <c r="K186">
        <f t="shared" si="8"/>
        <v>2025</v>
      </c>
    </row>
    <row r="187" spans="1:11" x14ac:dyDescent="0.3">
      <c r="A187" t="s">
        <v>468</v>
      </c>
      <c r="B187" t="s">
        <v>469</v>
      </c>
      <c r="C187" t="s">
        <v>68</v>
      </c>
      <c r="D187" s="1">
        <v>45795</v>
      </c>
      <c r="E187" t="s">
        <v>69</v>
      </c>
      <c r="F187" t="s">
        <v>70</v>
      </c>
      <c r="G187">
        <v>7.1</v>
      </c>
      <c r="H187" t="s">
        <v>19</v>
      </c>
      <c r="I187" t="str">
        <f t="shared" si="6"/>
        <v>May</v>
      </c>
      <c r="J187" t="str">
        <f t="shared" si="7"/>
        <v>Q2</v>
      </c>
      <c r="K187">
        <f t="shared" si="8"/>
        <v>2025</v>
      </c>
    </row>
    <row r="188" spans="1:11" x14ac:dyDescent="0.3">
      <c r="A188" t="s">
        <v>470</v>
      </c>
      <c r="B188" t="s">
        <v>471</v>
      </c>
      <c r="C188" t="s">
        <v>58</v>
      </c>
      <c r="D188" s="1">
        <v>45848</v>
      </c>
      <c r="E188" t="s">
        <v>23</v>
      </c>
      <c r="F188" t="s">
        <v>59</v>
      </c>
      <c r="G188">
        <v>21.7</v>
      </c>
      <c r="H188" t="s">
        <v>48</v>
      </c>
      <c r="I188" t="str">
        <f t="shared" si="6"/>
        <v>July</v>
      </c>
      <c r="J188" t="str">
        <f t="shared" si="7"/>
        <v>Q3</v>
      </c>
      <c r="K188">
        <f t="shared" si="8"/>
        <v>2025</v>
      </c>
    </row>
    <row r="189" spans="1:11" x14ac:dyDescent="0.3">
      <c r="A189" t="s">
        <v>472</v>
      </c>
      <c r="B189" t="s">
        <v>473</v>
      </c>
      <c r="C189" t="s">
        <v>166</v>
      </c>
      <c r="D189" s="1">
        <v>45842</v>
      </c>
      <c r="E189" t="s">
        <v>33</v>
      </c>
      <c r="F189" t="s">
        <v>167</v>
      </c>
      <c r="G189">
        <v>4.5999999999999996</v>
      </c>
      <c r="H189" t="s">
        <v>19</v>
      </c>
      <c r="I189" t="str">
        <f t="shared" si="6"/>
        <v>July</v>
      </c>
      <c r="J189" t="str">
        <f t="shared" si="7"/>
        <v>Q3</v>
      </c>
      <c r="K189">
        <f t="shared" si="8"/>
        <v>2025</v>
      </c>
    </row>
    <row r="190" spans="1:11" x14ac:dyDescent="0.3">
      <c r="A190" t="s">
        <v>474</v>
      </c>
      <c r="B190" t="s">
        <v>475</v>
      </c>
      <c r="C190" t="s">
        <v>156</v>
      </c>
      <c r="D190" s="1">
        <v>45792</v>
      </c>
      <c r="E190" t="s">
        <v>46</v>
      </c>
      <c r="F190" t="s">
        <v>157</v>
      </c>
      <c r="G190">
        <v>11.4</v>
      </c>
      <c r="I190" t="str">
        <f t="shared" si="6"/>
        <v>May</v>
      </c>
      <c r="J190" t="str">
        <f t="shared" si="7"/>
        <v>Q2</v>
      </c>
      <c r="K190">
        <f t="shared" si="8"/>
        <v>2025</v>
      </c>
    </row>
    <row r="191" spans="1:11" x14ac:dyDescent="0.3">
      <c r="A191" t="s">
        <v>476</v>
      </c>
      <c r="B191" t="s">
        <v>477</v>
      </c>
      <c r="C191" t="s">
        <v>156</v>
      </c>
      <c r="D191" s="1">
        <v>45800</v>
      </c>
      <c r="E191" t="s">
        <v>46</v>
      </c>
      <c r="F191" t="s">
        <v>157</v>
      </c>
      <c r="G191">
        <v>11.6</v>
      </c>
      <c r="H191" t="s">
        <v>19</v>
      </c>
      <c r="I191" t="str">
        <f t="shared" si="6"/>
        <v>May</v>
      </c>
      <c r="J191" t="str">
        <f t="shared" si="7"/>
        <v>Q2</v>
      </c>
      <c r="K191">
        <f t="shared" si="8"/>
        <v>2025</v>
      </c>
    </row>
    <row r="192" spans="1:11" x14ac:dyDescent="0.3">
      <c r="A192" t="s">
        <v>478</v>
      </c>
      <c r="B192" t="s">
        <v>479</v>
      </c>
      <c r="C192" t="s">
        <v>62</v>
      </c>
      <c r="D192" s="1">
        <v>45731</v>
      </c>
      <c r="E192" t="s">
        <v>23</v>
      </c>
      <c r="F192" t="s">
        <v>24</v>
      </c>
      <c r="G192">
        <v>6.2</v>
      </c>
      <c r="H192" t="s">
        <v>19</v>
      </c>
      <c r="I192" t="str">
        <f t="shared" si="6"/>
        <v>March</v>
      </c>
      <c r="J192" t="str">
        <f t="shared" si="7"/>
        <v>Q1</v>
      </c>
      <c r="K192">
        <f t="shared" si="8"/>
        <v>2025</v>
      </c>
    </row>
    <row r="193" spans="1:11" x14ac:dyDescent="0.3">
      <c r="A193" t="s">
        <v>480</v>
      </c>
      <c r="B193" t="s">
        <v>481</v>
      </c>
      <c r="C193" t="s">
        <v>22</v>
      </c>
      <c r="D193" s="1">
        <v>45881</v>
      </c>
      <c r="E193" t="s">
        <v>23</v>
      </c>
      <c r="F193" t="s">
        <v>24</v>
      </c>
      <c r="G193">
        <v>3.3</v>
      </c>
      <c r="H193" t="s">
        <v>19</v>
      </c>
      <c r="I193" t="str">
        <f t="shared" si="6"/>
        <v>August</v>
      </c>
      <c r="J193" t="str">
        <f t="shared" si="7"/>
        <v>Q3</v>
      </c>
      <c r="K193">
        <f t="shared" si="8"/>
        <v>2025</v>
      </c>
    </row>
    <row r="194" spans="1:11" x14ac:dyDescent="0.3">
      <c r="A194" t="s">
        <v>482</v>
      </c>
      <c r="B194" t="s">
        <v>483</v>
      </c>
      <c r="C194" t="s">
        <v>37</v>
      </c>
      <c r="D194" s="1">
        <v>45768</v>
      </c>
      <c r="E194" t="s">
        <v>11</v>
      </c>
      <c r="F194" t="s">
        <v>38</v>
      </c>
      <c r="G194">
        <v>12.1</v>
      </c>
      <c r="H194" t="s">
        <v>19</v>
      </c>
      <c r="I194" t="str">
        <f t="shared" ref="I194:I231" si="9">TEXT(D194,"mmmm")</f>
        <v>April</v>
      </c>
      <c r="J194" t="str">
        <f t="shared" ref="J194:J231" si="10">"Q"&amp;ROUNDUP(MONTH(D194)/3,0)</f>
        <v>Q2</v>
      </c>
      <c r="K194">
        <f t="shared" ref="K194:K231" si="11">YEAR(D194)</f>
        <v>2025</v>
      </c>
    </row>
    <row r="195" spans="1:11" x14ac:dyDescent="0.3">
      <c r="A195" t="s">
        <v>484</v>
      </c>
      <c r="B195" t="s">
        <v>485</v>
      </c>
      <c r="C195" t="s">
        <v>156</v>
      </c>
      <c r="D195" s="1">
        <v>45768</v>
      </c>
      <c r="E195" t="s">
        <v>46</v>
      </c>
      <c r="F195" t="s">
        <v>157</v>
      </c>
      <c r="G195">
        <v>5.8</v>
      </c>
      <c r="H195" t="s">
        <v>19</v>
      </c>
      <c r="I195" t="str">
        <f t="shared" si="9"/>
        <v>April</v>
      </c>
      <c r="J195" t="str">
        <f t="shared" si="10"/>
        <v>Q2</v>
      </c>
      <c r="K195">
        <f t="shared" si="11"/>
        <v>2025</v>
      </c>
    </row>
    <row r="196" spans="1:11" x14ac:dyDescent="0.3">
      <c r="A196" t="s">
        <v>486</v>
      </c>
      <c r="B196" t="s">
        <v>487</v>
      </c>
      <c r="C196" t="s">
        <v>73</v>
      </c>
      <c r="D196" s="1">
        <v>45872</v>
      </c>
      <c r="E196" t="s">
        <v>74</v>
      </c>
      <c r="F196" t="s">
        <v>75</v>
      </c>
      <c r="G196">
        <v>34.299999999999997</v>
      </c>
      <c r="H196" t="s">
        <v>19</v>
      </c>
      <c r="I196" t="str">
        <f t="shared" si="9"/>
        <v>August</v>
      </c>
      <c r="J196" t="str">
        <f t="shared" si="10"/>
        <v>Q3</v>
      </c>
      <c r="K196">
        <f t="shared" si="11"/>
        <v>2025</v>
      </c>
    </row>
    <row r="197" spans="1:11" x14ac:dyDescent="0.3">
      <c r="A197" t="s">
        <v>488</v>
      </c>
      <c r="B197" t="s">
        <v>489</v>
      </c>
      <c r="C197" t="s">
        <v>51</v>
      </c>
      <c r="D197" s="1">
        <v>46008</v>
      </c>
      <c r="E197" t="s">
        <v>11</v>
      </c>
      <c r="F197" t="s">
        <v>52</v>
      </c>
      <c r="G197">
        <v>15.3</v>
      </c>
      <c r="H197" t="s">
        <v>13</v>
      </c>
      <c r="I197" t="str">
        <f t="shared" si="9"/>
        <v>December</v>
      </c>
      <c r="J197" t="str">
        <f t="shared" si="10"/>
        <v>Q4</v>
      </c>
      <c r="K197">
        <f t="shared" si="11"/>
        <v>2025</v>
      </c>
    </row>
    <row r="198" spans="1:11" x14ac:dyDescent="0.3">
      <c r="A198" t="s">
        <v>490</v>
      </c>
      <c r="B198" t="s">
        <v>491</v>
      </c>
      <c r="C198" t="s">
        <v>51</v>
      </c>
      <c r="D198" s="1">
        <v>45994</v>
      </c>
      <c r="E198" t="s">
        <v>11</v>
      </c>
      <c r="F198" t="s">
        <v>52</v>
      </c>
      <c r="G198">
        <v>10.5</v>
      </c>
      <c r="H198" t="s">
        <v>13</v>
      </c>
      <c r="I198" t="str">
        <f t="shared" si="9"/>
        <v>December</v>
      </c>
      <c r="J198" t="str">
        <f t="shared" si="10"/>
        <v>Q4</v>
      </c>
      <c r="K198">
        <f t="shared" si="11"/>
        <v>2025</v>
      </c>
    </row>
    <row r="199" spans="1:11" x14ac:dyDescent="0.3">
      <c r="A199" t="s">
        <v>492</v>
      </c>
      <c r="B199" t="s">
        <v>493</v>
      </c>
      <c r="C199" t="s">
        <v>65</v>
      </c>
      <c r="D199" s="1">
        <v>45958</v>
      </c>
      <c r="E199" t="s">
        <v>11</v>
      </c>
      <c r="F199" t="s">
        <v>12</v>
      </c>
      <c r="G199">
        <v>18.5</v>
      </c>
      <c r="I199" t="str">
        <f t="shared" si="9"/>
        <v>October</v>
      </c>
      <c r="J199" t="str">
        <f t="shared" si="10"/>
        <v>Q4</v>
      </c>
      <c r="K199">
        <f t="shared" si="11"/>
        <v>2025</v>
      </c>
    </row>
    <row r="200" spans="1:11" x14ac:dyDescent="0.3">
      <c r="A200" t="s">
        <v>494</v>
      </c>
      <c r="B200" t="s">
        <v>495</v>
      </c>
      <c r="C200" t="s">
        <v>58</v>
      </c>
      <c r="D200" s="1">
        <v>45862</v>
      </c>
      <c r="E200" t="s">
        <v>23</v>
      </c>
      <c r="F200" t="s">
        <v>59</v>
      </c>
      <c r="G200">
        <v>3.2</v>
      </c>
      <c r="H200" t="s">
        <v>19</v>
      </c>
      <c r="I200" t="str">
        <f t="shared" si="9"/>
        <v>July</v>
      </c>
      <c r="J200" t="str">
        <f t="shared" si="10"/>
        <v>Q3</v>
      </c>
      <c r="K200">
        <f t="shared" si="11"/>
        <v>2025</v>
      </c>
    </row>
    <row r="201" spans="1:11" x14ac:dyDescent="0.3">
      <c r="A201" t="s">
        <v>496</v>
      </c>
      <c r="B201" t="s">
        <v>497</v>
      </c>
      <c r="C201" t="s">
        <v>429</v>
      </c>
      <c r="D201" s="1">
        <v>45803</v>
      </c>
      <c r="E201" t="s">
        <v>46</v>
      </c>
      <c r="F201" t="s">
        <v>47</v>
      </c>
      <c r="G201">
        <v>11.4</v>
      </c>
      <c r="H201" t="s">
        <v>48</v>
      </c>
      <c r="I201" t="str">
        <f t="shared" si="9"/>
        <v>May</v>
      </c>
      <c r="J201" t="str">
        <f t="shared" si="10"/>
        <v>Q2</v>
      </c>
      <c r="K201">
        <f t="shared" si="11"/>
        <v>2025</v>
      </c>
    </row>
    <row r="202" spans="1:11" x14ac:dyDescent="0.3">
      <c r="A202" t="s">
        <v>498</v>
      </c>
      <c r="B202" t="s">
        <v>499</v>
      </c>
      <c r="C202" t="s">
        <v>195</v>
      </c>
      <c r="D202" s="1">
        <v>45915</v>
      </c>
      <c r="E202" t="s">
        <v>69</v>
      </c>
      <c r="F202" t="s">
        <v>196</v>
      </c>
      <c r="G202">
        <v>15.1</v>
      </c>
      <c r="H202" t="s">
        <v>13</v>
      </c>
      <c r="I202" t="str">
        <f t="shared" si="9"/>
        <v>September</v>
      </c>
      <c r="J202" t="str">
        <f t="shared" si="10"/>
        <v>Q3</v>
      </c>
      <c r="K202">
        <f t="shared" si="11"/>
        <v>2025</v>
      </c>
    </row>
    <row r="203" spans="1:11" x14ac:dyDescent="0.3">
      <c r="A203" t="s">
        <v>500</v>
      </c>
      <c r="B203" t="s">
        <v>501</v>
      </c>
      <c r="C203" t="s">
        <v>108</v>
      </c>
      <c r="D203" s="1">
        <v>45810</v>
      </c>
      <c r="E203" t="s">
        <v>33</v>
      </c>
      <c r="F203" t="s">
        <v>89</v>
      </c>
      <c r="G203">
        <v>13.4</v>
      </c>
      <c r="H203" t="s">
        <v>13</v>
      </c>
      <c r="I203" t="str">
        <f t="shared" si="9"/>
        <v>June</v>
      </c>
      <c r="J203" t="str">
        <f t="shared" si="10"/>
        <v>Q2</v>
      </c>
      <c r="K203">
        <f t="shared" si="11"/>
        <v>2025</v>
      </c>
    </row>
    <row r="204" spans="1:11" x14ac:dyDescent="0.3">
      <c r="A204" t="s">
        <v>502</v>
      </c>
      <c r="B204" t="s">
        <v>503</v>
      </c>
      <c r="C204" t="s">
        <v>78</v>
      </c>
      <c r="D204" s="1">
        <v>45974</v>
      </c>
      <c r="E204" t="s">
        <v>11</v>
      </c>
      <c r="F204" t="s">
        <v>38</v>
      </c>
      <c r="G204">
        <v>13</v>
      </c>
      <c r="H204" t="s">
        <v>19</v>
      </c>
      <c r="I204" t="str">
        <f t="shared" si="9"/>
        <v>November</v>
      </c>
      <c r="J204" t="str">
        <f t="shared" si="10"/>
        <v>Q4</v>
      </c>
      <c r="K204">
        <f t="shared" si="11"/>
        <v>2025</v>
      </c>
    </row>
    <row r="205" spans="1:11" x14ac:dyDescent="0.3">
      <c r="A205" t="s">
        <v>504</v>
      </c>
      <c r="B205" t="s">
        <v>505</v>
      </c>
      <c r="C205" t="s">
        <v>16</v>
      </c>
      <c r="D205" s="1">
        <v>45812</v>
      </c>
      <c r="E205" t="s">
        <v>17</v>
      </c>
      <c r="F205" t="s">
        <v>18</v>
      </c>
      <c r="G205">
        <v>6.9</v>
      </c>
      <c r="H205" t="s">
        <v>19</v>
      </c>
      <c r="I205" t="str">
        <f t="shared" si="9"/>
        <v>June</v>
      </c>
      <c r="J205" t="str">
        <f t="shared" si="10"/>
        <v>Q2</v>
      </c>
      <c r="K205">
        <f t="shared" si="11"/>
        <v>2025</v>
      </c>
    </row>
    <row r="206" spans="1:11" x14ac:dyDescent="0.3">
      <c r="A206" t="s">
        <v>506</v>
      </c>
      <c r="B206" t="s">
        <v>507</v>
      </c>
      <c r="C206" t="s">
        <v>147</v>
      </c>
      <c r="D206" s="1">
        <v>45874</v>
      </c>
      <c r="E206" t="s">
        <v>11</v>
      </c>
      <c r="F206" t="s">
        <v>38</v>
      </c>
      <c r="G206">
        <v>11.4</v>
      </c>
      <c r="H206" t="s">
        <v>19</v>
      </c>
      <c r="I206" t="str">
        <f t="shared" si="9"/>
        <v>August</v>
      </c>
      <c r="J206" t="str">
        <f t="shared" si="10"/>
        <v>Q3</v>
      </c>
      <c r="K206">
        <f t="shared" si="11"/>
        <v>2025</v>
      </c>
    </row>
    <row r="207" spans="1:11" x14ac:dyDescent="0.3">
      <c r="A207" t="s">
        <v>508</v>
      </c>
      <c r="B207" t="s">
        <v>509</v>
      </c>
      <c r="C207" t="s">
        <v>240</v>
      </c>
      <c r="D207" s="1">
        <v>46003</v>
      </c>
      <c r="E207" t="s">
        <v>11</v>
      </c>
      <c r="F207" t="s">
        <v>241</v>
      </c>
      <c r="G207">
        <v>5.8</v>
      </c>
      <c r="H207" t="s">
        <v>19</v>
      </c>
      <c r="I207" t="str">
        <f t="shared" si="9"/>
        <v>December</v>
      </c>
      <c r="J207" t="str">
        <f t="shared" si="10"/>
        <v>Q4</v>
      </c>
      <c r="K207">
        <f t="shared" si="11"/>
        <v>2025</v>
      </c>
    </row>
    <row r="208" spans="1:11" x14ac:dyDescent="0.3">
      <c r="A208" t="s">
        <v>510</v>
      </c>
      <c r="B208" t="s">
        <v>511</v>
      </c>
      <c r="C208" t="s">
        <v>195</v>
      </c>
      <c r="D208" s="1">
        <v>45888</v>
      </c>
      <c r="E208" t="s">
        <v>69</v>
      </c>
      <c r="F208" t="s">
        <v>196</v>
      </c>
      <c r="G208">
        <v>25.9</v>
      </c>
      <c r="H208" t="s">
        <v>13</v>
      </c>
      <c r="I208" t="str">
        <f t="shared" si="9"/>
        <v>August</v>
      </c>
      <c r="J208" t="str">
        <f t="shared" si="10"/>
        <v>Q3</v>
      </c>
      <c r="K208">
        <f t="shared" si="11"/>
        <v>2025</v>
      </c>
    </row>
    <row r="209" spans="1:11" x14ac:dyDescent="0.3">
      <c r="A209" t="s">
        <v>512</v>
      </c>
      <c r="B209" t="s">
        <v>513</v>
      </c>
      <c r="C209" t="s">
        <v>260</v>
      </c>
      <c r="D209" s="1">
        <v>45791</v>
      </c>
      <c r="E209" t="s">
        <v>23</v>
      </c>
      <c r="F209" t="s">
        <v>261</v>
      </c>
      <c r="G209">
        <v>3.7</v>
      </c>
      <c r="H209" t="s">
        <v>19</v>
      </c>
      <c r="I209" t="str">
        <f t="shared" si="9"/>
        <v>May</v>
      </c>
      <c r="J209" t="str">
        <f t="shared" si="10"/>
        <v>Q2</v>
      </c>
      <c r="K209">
        <f t="shared" si="11"/>
        <v>2025</v>
      </c>
    </row>
    <row r="210" spans="1:11" x14ac:dyDescent="0.3">
      <c r="A210" t="s">
        <v>514</v>
      </c>
      <c r="B210" t="s">
        <v>515</v>
      </c>
      <c r="C210" t="s">
        <v>37</v>
      </c>
      <c r="D210" s="1">
        <v>45741</v>
      </c>
      <c r="E210" t="s">
        <v>11</v>
      </c>
      <c r="F210" t="s">
        <v>38</v>
      </c>
      <c r="G210">
        <v>8.6</v>
      </c>
      <c r="H210" t="s">
        <v>19</v>
      </c>
      <c r="I210" t="str">
        <f t="shared" si="9"/>
        <v>March</v>
      </c>
      <c r="J210" t="str">
        <f t="shared" si="10"/>
        <v>Q1</v>
      </c>
      <c r="K210">
        <f t="shared" si="11"/>
        <v>2025</v>
      </c>
    </row>
    <row r="211" spans="1:11" x14ac:dyDescent="0.3">
      <c r="A211" t="s">
        <v>516</v>
      </c>
      <c r="B211" t="s">
        <v>517</v>
      </c>
      <c r="C211" t="s">
        <v>326</v>
      </c>
      <c r="D211" s="1">
        <v>45798</v>
      </c>
      <c r="E211" t="s">
        <v>33</v>
      </c>
      <c r="F211" t="s">
        <v>34</v>
      </c>
      <c r="G211">
        <v>14.5</v>
      </c>
      <c r="H211" t="s">
        <v>19</v>
      </c>
      <c r="I211" t="str">
        <f t="shared" si="9"/>
        <v>May</v>
      </c>
      <c r="J211" t="str">
        <f t="shared" si="10"/>
        <v>Q2</v>
      </c>
      <c r="K211">
        <f t="shared" si="11"/>
        <v>2025</v>
      </c>
    </row>
    <row r="212" spans="1:11" x14ac:dyDescent="0.3">
      <c r="A212" t="s">
        <v>518</v>
      </c>
      <c r="B212" t="s">
        <v>519</v>
      </c>
      <c r="C212" t="s">
        <v>22</v>
      </c>
      <c r="D212" s="1">
        <v>45900</v>
      </c>
      <c r="E212" t="s">
        <v>23</v>
      </c>
      <c r="F212" t="s">
        <v>24</v>
      </c>
      <c r="G212">
        <v>14.3</v>
      </c>
      <c r="H212" t="s">
        <v>19</v>
      </c>
      <c r="I212" t="str">
        <f t="shared" si="9"/>
        <v>August</v>
      </c>
      <c r="J212" t="str">
        <f t="shared" si="10"/>
        <v>Q3</v>
      </c>
      <c r="K212">
        <f t="shared" si="11"/>
        <v>2025</v>
      </c>
    </row>
    <row r="213" spans="1:11" x14ac:dyDescent="0.3">
      <c r="A213" t="s">
        <v>520</v>
      </c>
      <c r="B213" t="s">
        <v>521</v>
      </c>
      <c r="C213" t="s">
        <v>240</v>
      </c>
      <c r="D213" s="1">
        <v>46008</v>
      </c>
      <c r="E213" t="s">
        <v>11</v>
      </c>
      <c r="F213" t="s">
        <v>241</v>
      </c>
      <c r="G213">
        <v>8.8000000000000007</v>
      </c>
      <c r="H213" t="s">
        <v>13</v>
      </c>
      <c r="I213" t="str">
        <f t="shared" si="9"/>
        <v>December</v>
      </c>
      <c r="J213" t="str">
        <f t="shared" si="10"/>
        <v>Q4</v>
      </c>
      <c r="K213">
        <f t="shared" si="11"/>
        <v>2025</v>
      </c>
    </row>
    <row r="214" spans="1:11" x14ac:dyDescent="0.3">
      <c r="A214" t="s">
        <v>522</v>
      </c>
      <c r="B214" t="s">
        <v>523</v>
      </c>
      <c r="C214" t="s">
        <v>37</v>
      </c>
      <c r="D214" s="1">
        <v>45782</v>
      </c>
      <c r="E214" t="s">
        <v>11</v>
      </c>
      <c r="F214" t="s">
        <v>38</v>
      </c>
      <c r="G214">
        <v>10.199999999999999</v>
      </c>
      <c r="H214" t="s">
        <v>13</v>
      </c>
      <c r="I214" t="str">
        <f t="shared" si="9"/>
        <v>May</v>
      </c>
      <c r="J214" t="str">
        <f t="shared" si="10"/>
        <v>Q2</v>
      </c>
      <c r="K214">
        <f t="shared" si="11"/>
        <v>2025</v>
      </c>
    </row>
    <row r="215" spans="1:11" x14ac:dyDescent="0.3">
      <c r="A215" t="s">
        <v>524</v>
      </c>
      <c r="B215" t="s">
        <v>525</v>
      </c>
      <c r="C215" t="s">
        <v>260</v>
      </c>
      <c r="D215" s="1">
        <v>45799</v>
      </c>
      <c r="E215" t="s">
        <v>23</v>
      </c>
      <c r="F215" t="s">
        <v>261</v>
      </c>
      <c r="G215">
        <v>22.8</v>
      </c>
      <c r="H215" t="s">
        <v>13</v>
      </c>
      <c r="I215" t="str">
        <f t="shared" si="9"/>
        <v>May</v>
      </c>
      <c r="J215" t="str">
        <f t="shared" si="10"/>
        <v>Q2</v>
      </c>
      <c r="K215">
        <f t="shared" si="11"/>
        <v>2025</v>
      </c>
    </row>
    <row r="216" spans="1:11" x14ac:dyDescent="0.3">
      <c r="A216" t="s">
        <v>526</v>
      </c>
      <c r="B216" t="s">
        <v>527</v>
      </c>
      <c r="C216" t="s">
        <v>195</v>
      </c>
      <c r="D216" s="1">
        <v>45902</v>
      </c>
      <c r="E216" t="s">
        <v>69</v>
      </c>
      <c r="F216" t="s">
        <v>196</v>
      </c>
      <c r="G216">
        <v>16.100000000000001</v>
      </c>
      <c r="H216" t="s">
        <v>19</v>
      </c>
      <c r="I216" t="str">
        <f t="shared" si="9"/>
        <v>September</v>
      </c>
      <c r="J216" t="str">
        <f t="shared" si="10"/>
        <v>Q3</v>
      </c>
      <c r="K216">
        <f t="shared" si="11"/>
        <v>2025</v>
      </c>
    </row>
    <row r="217" spans="1:11" x14ac:dyDescent="0.3">
      <c r="A217" t="s">
        <v>528</v>
      </c>
      <c r="B217" t="s">
        <v>529</v>
      </c>
      <c r="C217" t="s">
        <v>88</v>
      </c>
      <c r="D217" s="1">
        <v>45814</v>
      </c>
      <c r="E217" t="s">
        <v>33</v>
      </c>
      <c r="F217" t="s">
        <v>89</v>
      </c>
      <c r="G217">
        <v>3.6</v>
      </c>
      <c r="H217" t="s">
        <v>19</v>
      </c>
      <c r="I217" t="str">
        <f t="shared" si="9"/>
        <v>June</v>
      </c>
      <c r="J217" t="str">
        <f t="shared" si="10"/>
        <v>Q2</v>
      </c>
      <c r="K217">
        <f t="shared" si="11"/>
        <v>2025</v>
      </c>
    </row>
    <row r="218" spans="1:11" x14ac:dyDescent="0.3">
      <c r="A218" t="s">
        <v>530</v>
      </c>
      <c r="B218" t="s">
        <v>531</v>
      </c>
      <c r="C218" t="s">
        <v>65</v>
      </c>
      <c r="D218" s="1">
        <v>45957</v>
      </c>
      <c r="E218" t="s">
        <v>11</v>
      </c>
      <c r="F218" t="s">
        <v>12</v>
      </c>
      <c r="G218">
        <v>26</v>
      </c>
      <c r="H218" t="s">
        <v>13</v>
      </c>
      <c r="I218" t="str">
        <f t="shared" si="9"/>
        <v>October</v>
      </c>
      <c r="J218" t="str">
        <f t="shared" si="10"/>
        <v>Q4</v>
      </c>
      <c r="K218">
        <f t="shared" si="11"/>
        <v>2025</v>
      </c>
    </row>
    <row r="219" spans="1:11" x14ac:dyDescent="0.3">
      <c r="A219" t="s">
        <v>532</v>
      </c>
      <c r="B219" t="s">
        <v>533</v>
      </c>
      <c r="C219" t="s">
        <v>166</v>
      </c>
      <c r="D219" s="1">
        <v>45825</v>
      </c>
      <c r="E219" t="s">
        <v>33</v>
      </c>
      <c r="F219" t="s">
        <v>167</v>
      </c>
      <c r="G219">
        <v>20.100000000000001</v>
      </c>
      <c r="H219" t="s">
        <v>13</v>
      </c>
      <c r="I219" t="str">
        <f t="shared" si="9"/>
        <v>June</v>
      </c>
      <c r="J219" t="str">
        <f t="shared" si="10"/>
        <v>Q2</v>
      </c>
      <c r="K219">
        <f t="shared" si="11"/>
        <v>2025</v>
      </c>
    </row>
    <row r="220" spans="1:11" x14ac:dyDescent="0.3">
      <c r="A220" t="s">
        <v>534</v>
      </c>
      <c r="B220" t="s">
        <v>535</v>
      </c>
      <c r="C220" t="s">
        <v>156</v>
      </c>
      <c r="D220" s="1">
        <v>45797</v>
      </c>
      <c r="E220" t="s">
        <v>46</v>
      </c>
      <c r="F220" t="s">
        <v>157</v>
      </c>
      <c r="G220">
        <v>14.3</v>
      </c>
      <c r="H220" t="s">
        <v>19</v>
      </c>
      <c r="I220" t="str">
        <f t="shared" si="9"/>
        <v>May</v>
      </c>
      <c r="J220" t="str">
        <f t="shared" si="10"/>
        <v>Q2</v>
      </c>
      <c r="K220">
        <f t="shared" si="11"/>
        <v>2025</v>
      </c>
    </row>
    <row r="221" spans="1:11" x14ac:dyDescent="0.3">
      <c r="A221" t="s">
        <v>536</v>
      </c>
      <c r="B221" t="s">
        <v>537</v>
      </c>
      <c r="C221" t="s">
        <v>22</v>
      </c>
      <c r="D221" s="1">
        <v>45898</v>
      </c>
      <c r="E221" t="s">
        <v>23</v>
      </c>
      <c r="F221" t="s">
        <v>24</v>
      </c>
      <c r="G221">
        <v>10</v>
      </c>
      <c r="H221" t="s">
        <v>13</v>
      </c>
      <c r="I221" t="str">
        <f t="shared" si="9"/>
        <v>August</v>
      </c>
      <c r="J221" t="str">
        <f t="shared" si="10"/>
        <v>Q3</v>
      </c>
      <c r="K221">
        <f t="shared" si="11"/>
        <v>2025</v>
      </c>
    </row>
    <row r="222" spans="1:11" x14ac:dyDescent="0.3">
      <c r="A222" t="s">
        <v>538</v>
      </c>
      <c r="B222" t="s">
        <v>539</v>
      </c>
      <c r="C222" t="s">
        <v>68</v>
      </c>
      <c r="D222" s="1">
        <v>45795</v>
      </c>
      <c r="E222" t="s">
        <v>69</v>
      </c>
      <c r="F222" t="s">
        <v>70</v>
      </c>
      <c r="G222">
        <v>9.1999999999999993</v>
      </c>
      <c r="H222" t="s">
        <v>19</v>
      </c>
      <c r="I222" t="str">
        <f t="shared" si="9"/>
        <v>May</v>
      </c>
      <c r="J222" t="str">
        <f t="shared" si="10"/>
        <v>Q2</v>
      </c>
      <c r="K222">
        <f t="shared" si="11"/>
        <v>2025</v>
      </c>
    </row>
    <row r="223" spans="1:11" x14ac:dyDescent="0.3">
      <c r="A223" t="s">
        <v>540</v>
      </c>
      <c r="B223" t="s">
        <v>541</v>
      </c>
      <c r="C223" t="s">
        <v>542</v>
      </c>
      <c r="D223" s="1">
        <v>45874</v>
      </c>
      <c r="E223" t="s">
        <v>46</v>
      </c>
      <c r="F223" t="s">
        <v>209</v>
      </c>
      <c r="G223">
        <v>13.4</v>
      </c>
      <c r="H223" t="s">
        <v>19</v>
      </c>
      <c r="I223" t="str">
        <f t="shared" si="9"/>
        <v>August</v>
      </c>
      <c r="J223" t="str">
        <f t="shared" si="10"/>
        <v>Q3</v>
      </c>
      <c r="K223">
        <f t="shared" si="11"/>
        <v>2025</v>
      </c>
    </row>
    <row r="224" spans="1:11" x14ac:dyDescent="0.3">
      <c r="A224" t="s">
        <v>543</v>
      </c>
      <c r="B224" t="s">
        <v>544</v>
      </c>
      <c r="C224" t="s">
        <v>156</v>
      </c>
      <c r="D224" s="1">
        <v>45764</v>
      </c>
      <c r="E224" t="s">
        <v>46</v>
      </c>
      <c r="F224" t="s">
        <v>157</v>
      </c>
      <c r="G224">
        <v>20.9</v>
      </c>
      <c r="H224" t="s">
        <v>48</v>
      </c>
      <c r="I224" t="str">
        <f t="shared" si="9"/>
        <v>April</v>
      </c>
      <c r="J224" t="str">
        <f t="shared" si="10"/>
        <v>Q2</v>
      </c>
      <c r="K224">
        <f t="shared" si="11"/>
        <v>2025</v>
      </c>
    </row>
    <row r="225" spans="1:11" x14ac:dyDescent="0.3">
      <c r="A225" t="s">
        <v>545</v>
      </c>
      <c r="B225" t="s">
        <v>546</v>
      </c>
      <c r="C225" t="s">
        <v>156</v>
      </c>
      <c r="D225" s="1">
        <v>45747</v>
      </c>
      <c r="E225" t="s">
        <v>46</v>
      </c>
      <c r="F225" t="s">
        <v>157</v>
      </c>
      <c r="G225">
        <v>21.8</v>
      </c>
      <c r="H225" t="s">
        <v>19</v>
      </c>
      <c r="I225" t="str">
        <f t="shared" si="9"/>
        <v>March</v>
      </c>
      <c r="J225" t="str">
        <f t="shared" si="10"/>
        <v>Q1</v>
      </c>
      <c r="K225">
        <f t="shared" si="11"/>
        <v>2025</v>
      </c>
    </row>
    <row r="226" spans="1:11" x14ac:dyDescent="0.3">
      <c r="A226" t="s">
        <v>547</v>
      </c>
      <c r="B226" t="s">
        <v>548</v>
      </c>
      <c r="C226" t="s">
        <v>51</v>
      </c>
      <c r="D226" s="1">
        <v>45990</v>
      </c>
      <c r="E226" t="s">
        <v>11</v>
      </c>
      <c r="F226" t="s">
        <v>52</v>
      </c>
      <c r="G226">
        <v>9.6</v>
      </c>
      <c r="H226" t="s">
        <v>13</v>
      </c>
      <c r="I226" t="str">
        <f t="shared" si="9"/>
        <v>November</v>
      </c>
      <c r="J226" t="str">
        <f t="shared" si="10"/>
        <v>Q4</v>
      </c>
      <c r="K226">
        <f t="shared" si="11"/>
        <v>2025</v>
      </c>
    </row>
    <row r="227" spans="1:11" x14ac:dyDescent="0.3">
      <c r="A227" t="s">
        <v>549</v>
      </c>
      <c r="B227" t="s">
        <v>550</v>
      </c>
      <c r="C227" t="s">
        <v>429</v>
      </c>
      <c r="D227" s="1">
        <v>45801</v>
      </c>
      <c r="E227" t="s">
        <v>46</v>
      </c>
      <c r="F227" t="s">
        <v>47</v>
      </c>
      <c r="G227">
        <v>8.9</v>
      </c>
      <c r="H227" t="s">
        <v>19</v>
      </c>
      <c r="I227" t="str">
        <f t="shared" si="9"/>
        <v>May</v>
      </c>
      <c r="J227" t="str">
        <f t="shared" si="10"/>
        <v>Q2</v>
      </c>
      <c r="K227">
        <f t="shared" si="11"/>
        <v>2025</v>
      </c>
    </row>
    <row r="228" spans="1:11" x14ac:dyDescent="0.3">
      <c r="A228" t="s">
        <v>551</v>
      </c>
      <c r="B228" t="s">
        <v>552</v>
      </c>
      <c r="C228" t="s">
        <v>58</v>
      </c>
      <c r="D228" s="1">
        <v>45874</v>
      </c>
      <c r="E228" t="s">
        <v>23</v>
      </c>
      <c r="F228" t="s">
        <v>59</v>
      </c>
      <c r="G228">
        <v>27.4</v>
      </c>
      <c r="H228" t="s">
        <v>19</v>
      </c>
      <c r="I228" t="str">
        <f t="shared" si="9"/>
        <v>August</v>
      </c>
      <c r="J228" t="str">
        <f t="shared" si="10"/>
        <v>Q3</v>
      </c>
      <c r="K228">
        <f t="shared" si="11"/>
        <v>2025</v>
      </c>
    </row>
    <row r="229" spans="1:11" x14ac:dyDescent="0.3">
      <c r="A229" t="s">
        <v>553</v>
      </c>
      <c r="B229" t="s">
        <v>554</v>
      </c>
      <c r="C229" t="s">
        <v>147</v>
      </c>
      <c r="D229" s="1">
        <v>45862</v>
      </c>
      <c r="E229" t="s">
        <v>11</v>
      </c>
      <c r="F229" t="s">
        <v>38</v>
      </c>
      <c r="G229">
        <v>11.4</v>
      </c>
      <c r="H229" t="s">
        <v>13</v>
      </c>
      <c r="I229" t="str">
        <f t="shared" si="9"/>
        <v>July</v>
      </c>
      <c r="J229" t="str">
        <f t="shared" si="10"/>
        <v>Q3</v>
      </c>
      <c r="K229">
        <f t="shared" si="11"/>
        <v>2025</v>
      </c>
    </row>
    <row r="230" spans="1:11" x14ac:dyDescent="0.3">
      <c r="A230" t="s">
        <v>555</v>
      </c>
      <c r="B230" t="s">
        <v>556</v>
      </c>
      <c r="C230" t="s">
        <v>51</v>
      </c>
      <c r="D230" s="1">
        <v>46021</v>
      </c>
      <c r="E230" t="s">
        <v>11</v>
      </c>
      <c r="F230" t="s">
        <v>52</v>
      </c>
      <c r="G230">
        <v>17.3</v>
      </c>
      <c r="H230" t="s">
        <v>19</v>
      </c>
      <c r="I230" t="str">
        <f t="shared" si="9"/>
        <v>December</v>
      </c>
      <c r="J230" t="str">
        <f t="shared" si="10"/>
        <v>Q4</v>
      </c>
      <c r="K230">
        <f t="shared" si="11"/>
        <v>2025</v>
      </c>
    </row>
    <row r="231" spans="1:11" x14ac:dyDescent="0.3">
      <c r="A231" t="s">
        <v>557</v>
      </c>
      <c r="B231" t="s">
        <v>558</v>
      </c>
      <c r="C231" t="s">
        <v>65</v>
      </c>
      <c r="D231" s="1">
        <v>46002</v>
      </c>
      <c r="E231" t="s">
        <v>11</v>
      </c>
      <c r="F231" t="s">
        <v>12</v>
      </c>
      <c r="G231">
        <v>16.3</v>
      </c>
      <c r="H231" t="s">
        <v>19</v>
      </c>
      <c r="I231" t="str">
        <f t="shared" si="9"/>
        <v>December</v>
      </c>
      <c r="J231" t="str">
        <f t="shared" si="10"/>
        <v>Q4</v>
      </c>
      <c r="K231">
        <f t="shared" si="11"/>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6D31-12EB-41A9-8FED-C42A5B67F502}">
  <dimension ref="A1:L2538"/>
  <sheetViews>
    <sheetView topLeftCell="G1" workbookViewId="0">
      <selection activeCell="L2" sqref="L2"/>
    </sheetView>
  </sheetViews>
  <sheetFormatPr defaultRowHeight="14.4" x14ac:dyDescent="0.3"/>
  <cols>
    <col min="1" max="1" width="13.109375" customWidth="1"/>
    <col min="2" max="2" width="14.109375" customWidth="1"/>
    <col min="5" max="5" width="15.21875" customWidth="1"/>
    <col min="6" max="6" width="12.21875" customWidth="1"/>
    <col min="7" max="7" width="16.6640625" customWidth="1"/>
    <col min="8" max="8" width="17.6640625" customWidth="1"/>
  </cols>
  <sheetData>
    <row r="1" spans="1:12" x14ac:dyDescent="0.3">
      <c r="A1" t="s">
        <v>559</v>
      </c>
      <c r="B1" t="s">
        <v>1</v>
      </c>
      <c r="C1" t="s">
        <v>2</v>
      </c>
      <c r="D1" t="s">
        <v>560</v>
      </c>
      <c r="E1" t="s">
        <v>561</v>
      </c>
      <c r="F1" t="s">
        <v>562</v>
      </c>
      <c r="G1" t="s">
        <v>563</v>
      </c>
      <c r="H1" t="s">
        <v>564</v>
      </c>
      <c r="I1" t="s">
        <v>565</v>
      </c>
      <c r="J1" t="s">
        <v>6622</v>
      </c>
      <c r="K1" t="s">
        <v>6623</v>
      </c>
      <c r="L1" t="s">
        <v>6624</v>
      </c>
    </row>
    <row r="2" spans="1:12" x14ac:dyDescent="0.3">
      <c r="A2" t="s">
        <v>566</v>
      </c>
      <c r="B2" t="s">
        <v>567</v>
      </c>
      <c r="C2" t="s">
        <v>292</v>
      </c>
      <c r="D2">
        <v>1</v>
      </c>
      <c r="E2" s="1">
        <v>45724</v>
      </c>
      <c r="F2" t="s">
        <v>568</v>
      </c>
      <c r="G2">
        <v>1</v>
      </c>
      <c r="H2" t="s">
        <v>569</v>
      </c>
      <c r="I2" t="s">
        <v>570</v>
      </c>
      <c r="J2" t="str">
        <f t="shared" ref="J2:J65" si="0">TEXT(E2,"mmmm")</f>
        <v>March</v>
      </c>
      <c r="K2" t="str">
        <f t="shared" ref="K2:K65" si="1">"Q"&amp;ROUNDUP(MONTH(E2)/3,0)</f>
        <v>Q1</v>
      </c>
      <c r="L2">
        <f t="shared" ref="L2:L65" si="2">YEAR(E2)</f>
        <v>2025</v>
      </c>
    </row>
    <row r="3" spans="1:12" x14ac:dyDescent="0.3">
      <c r="A3" t="s">
        <v>571</v>
      </c>
      <c r="B3" t="s">
        <v>567</v>
      </c>
      <c r="C3" t="s">
        <v>292</v>
      </c>
      <c r="D3">
        <v>2</v>
      </c>
      <c r="E3" s="1">
        <v>45733</v>
      </c>
      <c r="F3" t="s">
        <v>572</v>
      </c>
      <c r="G3">
        <v>1</v>
      </c>
      <c r="H3" t="s">
        <v>569</v>
      </c>
      <c r="I3" t="s">
        <v>570</v>
      </c>
      <c r="J3" t="str">
        <f t="shared" si="0"/>
        <v>March</v>
      </c>
      <c r="K3" t="str">
        <f t="shared" si="1"/>
        <v>Q1</v>
      </c>
      <c r="L3">
        <f t="shared" si="2"/>
        <v>2025</v>
      </c>
    </row>
    <row r="4" spans="1:12" x14ac:dyDescent="0.3">
      <c r="A4" t="s">
        <v>573</v>
      </c>
      <c r="B4" t="s">
        <v>574</v>
      </c>
      <c r="C4" t="s">
        <v>326</v>
      </c>
      <c r="D4">
        <v>1</v>
      </c>
      <c r="E4" s="1">
        <v>45761</v>
      </c>
      <c r="F4" t="s">
        <v>575</v>
      </c>
      <c r="G4">
        <v>2</v>
      </c>
      <c r="H4" t="s">
        <v>569</v>
      </c>
      <c r="I4" t="s">
        <v>570</v>
      </c>
      <c r="J4" t="str">
        <f t="shared" si="0"/>
        <v>April</v>
      </c>
      <c r="K4" t="str">
        <f t="shared" si="1"/>
        <v>Q2</v>
      </c>
      <c r="L4">
        <f t="shared" si="2"/>
        <v>2025</v>
      </c>
    </row>
    <row r="5" spans="1:12" x14ac:dyDescent="0.3">
      <c r="A5" t="s">
        <v>576</v>
      </c>
      <c r="B5" t="s">
        <v>574</v>
      </c>
      <c r="C5" t="s">
        <v>326</v>
      </c>
      <c r="D5">
        <v>2</v>
      </c>
      <c r="E5" s="1">
        <v>45770</v>
      </c>
      <c r="F5" t="s">
        <v>577</v>
      </c>
      <c r="G5">
        <v>3</v>
      </c>
      <c r="H5" t="s">
        <v>578</v>
      </c>
      <c r="I5" t="s">
        <v>570</v>
      </c>
      <c r="J5" t="str">
        <f t="shared" si="0"/>
        <v>April</v>
      </c>
      <c r="K5" t="str">
        <f t="shared" si="1"/>
        <v>Q2</v>
      </c>
      <c r="L5">
        <f t="shared" si="2"/>
        <v>2025</v>
      </c>
    </row>
    <row r="6" spans="1:12" x14ac:dyDescent="0.3">
      <c r="A6" t="s">
        <v>579</v>
      </c>
      <c r="B6" t="s">
        <v>546</v>
      </c>
      <c r="C6" t="s">
        <v>156</v>
      </c>
      <c r="D6">
        <v>1</v>
      </c>
      <c r="E6" s="1">
        <v>45726</v>
      </c>
      <c r="F6" t="s">
        <v>580</v>
      </c>
      <c r="G6">
        <v>4</v>
      </c>
      <c r="H6" t="s">
        <v>581</v>
      </c>
      <c r="I6" t="s">
        <v>570</v>
      </c>
      <c r="J6" t="str">
        <f t="shared" si="0"/>
        <v>March</v>
      </c>
      <c r="K6" t="str">
        <f t="shared" si="1"/>
        <v>Q1</v>
      </c>
      <c r="L6">
        <f t="shared" si="2"/>
        <v>2025</v>
      </c>
    </row>
    <row r="7" spans="1:12" x14ac:dyDescent="0.3">
      <c r="A7" t="s">
        <v>582</v>
      </c>
      <c r="B7" t="s">
        <v>583</v>
      </c>
      <c r="C7" t="s">
        <v>251</v>
      </c>
      <c r="D7">
        <v>1</v>
      </c>
      <c r="E7" s="1">
        <v>45819</v>
      </c>
      <c r="F7" t="s">
        <v>584</v>
      </c>
      <c r="G7">
        <v>2</v>
      </c>
      <c r="H7" t="s">
        <v>569</v>
      </c>
      <c r="I7" t="s">
        <v>570</v>
      </c>
      <c r="J7" t="str">
        <f t="shared" si="0"/>
        <v>June</v>
      </c>
      <c r="K7" t="str">
        <f t="shared" si="1"/>
        <v>Q2</v>
      </c>
      <c r="L7">
        <f t="shared" si="2"/>
        <v>2025</v>
      </c>
    </row>
    <row r="8" spans="1:12" x14ac:dyDescent="0.3">
      <c r="A8" t="s">
        <v>585</v>
      </c>
      <c r="B8" t="s">
        <v>334</v>
      </c>
      <c r="C8" t="s">
        <v>240</v>
      </c>
      <c r="D8">
        <v>1</v>
      </c>
      <c r="E8" s="1">
        <v>45961</v>
      </c>
      <c r="F8" t="s">
        <v>586</v>
      </c>
      <c r="G8">
        <v>5</v>
      </c>
      <c r="H8" t="s">
        <v>581</v>
      </c>
      <c r="I8" t="s">
        <v>570</v>
      </c>
      <c r="J8" t="str">
        <f t="shared" si="0"/>
        <v>October</v>
      </c>
      <c r="K8" t="str">
        <f t="shared" si="1"/>
        <v>Q4</v>
      </c>
      <c r="L8">
        <f t="shared" si="2"/>
        <v>2025</v>
      </c>
    </row>
    <row r="9" spans="1:12" x14ac:dyDescent="0.3">
      <c r="A9" t="s">
        <v>587</v>
      </c>
      <c r="B9" t="s">
        <v>334</v>
      </c>
      <c r="C9" t="s">
        <v>240</v>
      </c>
      <c r="D9">
        <v>2</v>
      </c>
      <c r="E9" s="1">
        <v>45973</v>
      </c>
      <c r="F9" t="s">
        <v>572</v>
      </c>
      <c r="G9">
        <v>4</v>
      </c>
      <c r="H9" t="s">
        <v>581</v>
      </c>
      <c r="I9" t="s">
        <v>570</v>
      </c>
      <c r="J9" t="str">
        <f t="shared" si="0"/>
        <v>November</v>
      </c>
      <c r="K9" t="str">
        <f t="shared" si="1"/>
        <v>Q4</v>
      </c>
      <c r="L9">
        <f t="shared" si="2"/>
        <v>2025</v>
      </c>
    </row>
    <row r="10" spans="1:12" x14ac:dyDescent="0.3">
      <c r="A10" t="s">
        <v>588</v>
      </c>
      <c r="B10" t="s">
        <v>589</v>
      </c>
      <c r="C10" t="s">
        <v>156</v>
      </c>
      <c r="D10">
        <v>1</v>
      </c>
      <c r="E10" s="1">
        <v>45730</v>
      </c>
      <c r="F10" t="s">
        <v>590</v>
      </c>
      <c r="G10">
        <v>3</v>
      </c>
      <c r="H10" t="s">
        <v>578</v>
      </c>
      <c r="I10" t="s">
        <v>570</v>
      </c>
      <c r="J10" t="str">
        <f t="shared" si="0"/>
        <v>March</v>
      </c>
      <c r="K10" t="str">
        <f t="shared" si="1"/>
        <v>Q1</v>
      </c>
      <c r="L10">
        <f t="shared" si="2"/>
        <v>2025</v>
      </c>
    </row>
    <row r="11" spans="1:12" x14ac:dyDescent="0.3">
      <c r="A11" t="s">
        <v>591</v>
      </c>
      <c r="B11" t="s">
        <v>589</v>
      </c>
      <c r="C11" t="s">
        <v>156</v>
      </c>
      <c r="D11">
        <v>2</v>
      </c>
      <c r="E11" s="1">
        <v>45738</v>
      </c>
      <c r="F11" t="s">
        <v>592</v>
      </c>
      <c r="G11">
        <v>1</v>
      </c>
      <c r="H11" t="s">
        <v>569</v>
      </c>
      <c r="I11" t="s">
        <v>570</v>
      </c>
      <c r="J11" t="str">
        <f t="shared" si="0"/>
        <v>March</v>
      </c>
      <c r="K11" t="str">
        <f t="shared" si="1"/>
        <v>Q1</v>
      </c>
      <c r="L11">
        <f t="shared" si="2"/>
        <v>2025</v>
      </c>
    </row>
    <row r="12" spans="1:12" x14ac:dyDescent="0.3">
      <c r="A12" t="s">
        <v>593</v>
      </c>
      <c r="B12" t="s">
        <v>594</v>
      </c>
      <c r="C12" t="s">
        <v>88</v>
      </c>
      <c r="D12">
        <v>1</v>
      </c>
      <c r="E12" s="1">
        <v>45748</v>
      </c>
      <c r="F12" t="s">
        <v>572</v>
      </c>
      <c r="G12">
        <v>5</v>
      </c>
      <c r="H12" t="s">
        <v>581</v>
      </c>
      <c r="I12" t="s">
        <v>570</v>
      </c>
      <c r="J12" t="str">
        <f t="shared" si="0"/>
        <v>April</v>
      </c>
      <c r="K12" t="str">
        <f t="shared" si="1"/>
        <v>Q2</v>
      </c>
      <c r="L12">
        <f t="shared" si="2"/>
        <v>2025</v>
      </c>
    </row>
    <row r="13" spans="1:12" x14ac:dyDescent="0.3">
      <c r="A13" t="s">
        <v>595</v>
      </c>
      <c r="B13" t="s">
        <v>594</v>
      </c>
      <c r="C13" t="s">
        <v>88</v>
      </c>
      <c r="D13">
        <v>2</v>
      </c>
      <c r="E13" s="1">
        <v>45752</v>
      </c>
      <c r="F13" t="s">
        <v>596</v>
      </c>
      <c r="G13">
        <v>4</v>
      </c>
      <c r="H13" t="s">
        <v>581</v>
      </c>
      <c r="I13" t="s">
        <v>597</v>
      </c>
      <c r="J13" t="str">
        <f t="shared" si="0"/>
        <v>April</v>
      </c>
      <c r="K13" t="str">
        <f t="shared" si="1"/>
        <v>Q2</v>
      </c>
      <c r="L13">
        <f t="shared" si="2"/>
        <v>2025</v>
      </c>
    </row>
    <row r="14" spans="1:12" x14ac:dyDescent="0.3">
      <c r="A14" t="s">
        <v>598</v>
      </c>
      <c r="B14" t="s">
        <v>599</v>
      </c>
      <c r="C14" t="s">
        <v>73</v>
      </c>
      <c r="D14">
        <v>1</v>
      </c>
      <c r="E14" s="1">
        <v>45798</v>
      </c>
      <c r="F14" t="s">
        <v>600</v>
      </c>
      <c r="G14">
        <v>2</v>
      </c>
      <c r="H14" t="s">
        <v>569</v>
      </c>
      <c r="I14" t="s">
        <v>570</v>
      </c>
      <c r="J14" t="str">
        <f t="shared" si="0"/>
        <v>May</v>
      </c>
      <c r="K14" t="str">
        <f t="shared" si="1"/>
        <v>Q2</v>
      </c>
      <c r="L14">
        <f t="shared" si="2"/>
        <v>2025</v>
      </c>
    </row>
    <row r="15" spans="1:12" x14ac:dyDescent="0.3">
      <c r="A15" t="s">
        <v>601</v>
      </c>
      <c r="B15" t="s">
        <v>599</v>
      </c>
      <c r="C15" t="s">
        <v>73</v>
      </c>
      <c r="D15">
        <v>2</v>
      </c>
      <c r="E15" s="1">
        <v>45808</v>
      </c>
      <c r="F15" t="s">
        <v>600</v>
      </c>
      <c r="G15">
        <v>2</v>
      </c>
      <c r="H15" t="s">
        <v>569</v>
      </c>
      <c r="I15" t="s">
        <v>570</v>
      </c>
      <c r="J15" t="str">
        <f t="shared" si="0"/>
        <v>May</v>
      </c>
      <c r="K15" t="str">
        <f t="shared" si="1"/>
        <v>Q2</v>
      </c>
      <c r="L15">
        <f t="shared" si="2"/>
        <v>2025</v>
      </c>
    </row>
    <row r="16" spans="1:12" x14ac:dyDescent="0.3">
      <c r="A16" t="s">
        <v>602</v>
      </c>
      <c r="B16" t="s">
        <v>513</v>
      </c>
      <c r="C16" t="s">
        <v>260</v>
      </c>
      <c r="D16">
        <v>1</v>
      </c>
      <c r="E16" s="1">
        <v>45752</v>
      </c>
      <c r="F16" t="s">
        <v>603</v>
      </c>
      <c r="G16">
        <v>3</v>
      </c>
      <c r="H16" t="s">
        <v>578</v>
      </c>
      <c r="I16" t="s">
        <v>570</v>
      </c>
      <c r="J16" t="str">
        <f t="shared" si="0"/>
        <v>April</v>
      </c>
      <c r="K16" t="str">
        <f t="shared" si="1"/>
        <v>Q2</v>
      </c>
      <c r="L16">
        <f t="shared" si="2"/>
        <v>2025</v>
      </c>
    </row>
    <row r="17" spans="1:12" x14ac:dyDescent="0.3">
      <c r="A17" t="s">
        <v>604</v>
      </c>
      <c r="B17" t="s">
        <v>513</v>
      </c>
      <c r="C17" t="s">
        <v>260</v>
      </c>
      <c r="D17">
        <v>2</v>
      </c>
      <c r="E17" s="1">
        <v>45762</v>
      </c>
      <c r="F17" t="s">
        <v>605</v>
      </c>
      <c r="G17">
        <v>4</v>
      </c>
      <c r="H17" t="s">
        <v>581</v>
      </c>
      <c r="I17" t="s">
        <v>570</v>
      </c>
      <c r="J17" t="str">
        <f t="shared" si="0"/>
        <v>April</v>
      </c>
      <c r="K17" t="str">
        <f t="shared" si="1"/>
        <v>Q2</v>
      </c>
      <c r="L17">
        <f t="shared" si="2"/>
        <v>2025</v>
      </c>
    </row>
    <row r="18" spans="1:12" x14ac:dyDescent="0.3">
      <c r="A18" t="s">
        <v>606</v>
      </c>
      <c r="B18" t="s">
        <v>607</v>
      </c>
      <c r="C18" t="s">
        <v>292</v>
      </c>
      <c r="D18">
        <v>1</v>
      </c>
      <c r="E18" s="1">
        <v>45722</v>
      </c>
      <c r="F18" t="s">
        <v>580</v>
      </c>
      <c r="G18">
        <v>3</v>
      </c>
      <c r="H18" t="s">
        <v>578</v>
      </c>
      <c r="I18" t="s">
        <v>608</v>
      </c>
      <c r="J18" t="str">
        <f t="shared" si="0"/>
        <v>March</v>
      </c>
      <c r="K18" t="str">
        <f t="shared" si="1"/>
        <v>Q1</v>
      </c>
      <c r="L18">
        <f t="shared" si="2"/>
        <v>2025</v>
      </c>
    </row>
    <row r="19" spans="1:12" x14ac:dyDescent="0.3">
      <c r="A19" t="s">
        <v>609</v>
      </c>
      <c r="B19" t="s">
        <v>607</v>
      </c>
      <c r="C19" t="s">
        <v>292</v>
      </c>
      <c r="D19">
        <v>2</v>
      </c>
      <c r="E19" s="1">
        <v>45731</v>
      </c>
      <c r="F19" t="s">
        <v>596</v>
      </c>
      <c r="G19">
        <v>2</v>
      </c>
      <c r="H19" t="s">
        <v>569</v>
      </c>
      <c r="I19" t="s">
        <v>570</v>
      </c>
      <c r="J19" t="str">
        <f t="shared" si="0"/>
        <v>March</v>
      </c>
      <c r="K19" t="str">
        <f t="shared" si="1"/>
        <v>Q1</v>
      </c>
      <c r="L19">
        <f t="shared" si="2"/>
        <v>2025</v>
      </c>
    </row>
    <row r="20" spans="1:12" x14ac:dyDescent="0.3">
      <c r="A20" t="s">
        <v>610</v>
      </c>
      <c r="B20" t="s">
        <v>611</v>
      </c>
      <c r="C20" t="s">
        <v>201</v>
      </c>
      <c r="D20">
        <v>1</v>
      </c>
      <c r="E20" s="1">
        <v>45967</v>
      </c>
      <c r="F20" t="s">
        <v>612</v>
      </c>
      <c r="G20">
        <v>3</v>
      </c>
      <c r="H20" t="s">
        <v>578</v>
      </c>
      <c r="I20" t="s">
        <v>570</v>
      </c>
      <c r="J20" t="str">
        <f t="shared" si="0"/>
        <v>November</v>
      </c>
      <c r="K20" t="str">
        <f t="shared" si="1"/>
        <v>Q4</v>
      </c>
      <c r="L20">
        <f t="shared" si="2"/>
        <v>2025</v>
      </c>
    </row>
    <row r="21" spans="1:12" x14ac:dyDescent="0.3">
      <c r="A21" t="s">
        <v>613</v>
      </c>
      <c r="B21" t="s">
        <v>611</v>
      </c>
      <c r="C21" t="s">
        <v>201</v>
      </c>
      <c r="D21">
        <v>2</v>
      </c>
      <c r="E21" s="1">
        <v>45972</v>
      </c>
      <c r="F21" t="s">
        <v>612</v>
      </c>
      <c r="G21">
        <v>2</v>
      </c>
      <c r="H21" t="s">
        <v>569</v>
      </c>
      <c r="I21" t="s">
        <v>570</v>
      </c>
      <c r="J21" t="str">
        <f t="shared" si="0"/>
        <v>November</v>
      </c>
      <c r="K21" t="str">
        <f t="shared" si="1"/>
        <v>Q4</v>
      </c>
      <c r="L21">
        <f t="shared" si="2"/>
        <v>2025</v>
      </c>
    </row>
    <row r="22" spans="1:12" x14ac:dyDescent="0.3">
      <c r="A22" t="s">
        <v>614</v>
      </c>
      <c r="B22" t="s">
        <v>615</v>
      </c>
      <c r="C22" t="s">
        <v>260</v>
      </c>
      <c r="D22">
        <v>1</v>
      </c>
      <c r="E22" s="1">
        <v>45751</v>
      </c>
      <c r="F22" t="s">
        <v>605</v>
      </c>
      <c r="G22">
        <v>2</v>
      </c>
      <c r="H22" t="s">
        <v>569</v>
      </c>
      <c r="I22" t="s">
        <v>570</v>
      </c>
      <c r="J22" t="str">
        <f t="shared" si="0"/>
        <v>April</v>
      </c>
      <c r="K22" t="str">
        <f t="shared" si="1"/>
        <v>Q2</v>
      </c>
      <c r="L22">
        <f t="shared" si="2"/>
        <v>2025</v>
      </c>
    </row>
    <row r="23" spans="1:12" x14ac:dyDescent="0.3">
      <c r="A23" t="s">
        <v>616</v>
      </c>
      <c r="B23" t="s">
        <v>615</v>
      </c>
      <c r="C23" t="s">
        <v>260</v>
      </c>
      <c r="D23">
        <v>2</v>
      </c>
      <c r="E23" s="1">
        <v>45758</v>
      </c>
      <c r="F23" t="s">
        <v>577</v>
      </c>
      <c r="G23">
        <v>1</v>
      </c>
      <c r="H23" t="s">
        <v>569</v>
      </c>
      <c r="I23" t="s">
        <v>570</v>
      </c>
      <c r="J23" t="str">
        <f t="shared" si="0"/>
        <v>April</v>
      </c>
      <c r="K23" t="str">
        <f t="shared" si="1"/>
        <v>Q2</v>
      </c>
      <c r="L23">
        <f t="shared" si="2"/>
        <v>2025</v>
      </c>
    </row>
    <row r="24" spans="1:12" x14ac:dyDescent="0.3">
      <c r="A24" t="s">
        <v>617</v>
      </c>
      <c r="B24" t="s">
        <v>615</v>
      </c>
      <c r="C24" t="s">
        <v>260</v>
      </c>
      <c r="D24">
        <v>3</v>
      </c>
      <c r="E24" s="1">
        <v>45770</v>
      </c>
      <c r="F24" t="s">
        <v>577</v>
      </c>
      <c r="G24">
        <v>1</v>
      </c>
      <c r="H24" t="s">
        <v>569</v>
      </c>
      <c r="I24" t="s">
        <v>570</v>
      </c>
      <c r="J24" t="str">
        <f t="shared" si="0"/>
        <v>April</v>
      </c>
      <c r="K24" t="str">
        <f t="shared" si="1"/>
        <v>Q2</v>
      </c>
      <c r="L24">
        <f t="shared" si="2"/>
        <v>2025</v>
      </c>
    </row>
    <row r="25" spans="1:12" x14ac:dyDescent="0.3">
      <c r="A25" t="s">
        <v>618</v>
      </c>
      <c r="B25" t="s">
        <v>615</v>
      </c>
      <c r="C25" t="s">
        <v>260</v>
      </c>
      <c r="D25">
        <v>4</v>
      </c>
      <c r="E25" s="1">
        <v>45774</v>
      </c>
      <c r="F25" t="s">
        <v>603</v>
      </c>
      <c r="G25">
        <v>3</v>
      </c>
      <c r="H25" t="s">
        <v>578</v>
      </c>
      <c r="I25" t="s">
        <v>570</v>
      </c>
      <c r="J25" t="str">
        <f t="shared" si="0"/>
        <v>April</v>
      </c>
      <c r="K25" t="str">
        <f t="shared" si="1"/>
        <v>Q2</v>
      </c>
      <c r="L25">
        <f t="shared" si="2"/>
        <v>2025</v>
      </c>
    </row>
    <row r="26" spans="1:12" x14ac:dyDescent="0.3">
      <c r="A26" t="s">
        <v>619</v>
      </c>
      <c r="B26" t="s">
        <v>620</v>
      </c>
      <c r="C26" t="s">
        <v>340</v>
      </c>
      <c r="D26">
        <v>1</v>
      </c>
      <c r="E26" s="1">
        <v>45686</v>
      </c>
      <c r="F26" t="s">
        <v>621</v>
      </c>
      <c r="G26">
        <v>4</v>
      </c>
      <c r="H26" t="s">
        <v>581</v>
      </c>
      <c r="I26" t="s">
        <v>570</v>
      </c>
      <c r="J26" t="str">
        <f t="shared" si="0"/>
        <v>January</v>
      </c>
      <c r="K26" t="str">
        <f t="shared" si="1"/>
        <v>Q1</v>
      </c>
      <c r="L26">
        <f t="shared" si="2"/>
        <v>2025</v>
      </c>
    </row>
    <row r="27" spans="1:12" x14ac:dyDescent="0.3">
      <c r="A27" t="s">
        <v>622</v>
      </c>
      <c r="B27" t="s">
        <v>620</v>
      </c>
      <c r="C27" t="s">
        <v>340</v>
      </c>
      <c r="D27">
        <v>2</v>
      </c>
      <c r="E27" s="1">
        <v>45693</v>
      </c>
      <c r="F27" t="s">
        <v>600</v>
      </c>
      <c r="G27">
        <v>1</v>
      </c>
      <c r="H27" t="s">
        <v>569</v>
      </c>
      <c r="I27" t="s">
        <v>570</v>
      </c>
      <c r="J27" t="str">
        <f t="shared" si="0"/>
        <v>February</v>
      </c>
      <c r="K27" t="str">
        <f t="shared" si="1"/>
        <v>Q1</v>
      </c>
      <c r="L27">
        <f t="shared" si="2"/>
        <v>2025</v>
      </c>
    </row>
    <row r="28" spans="1:12" x14ac:dyDescent="0.3">
      <c r="A28" t="s">
        <v>623</v>
      </c>
      <c r="B28" t="s">
        <v>624</v>
      </c>
      <c r="C28" t="s">
        <v>58</v>
      </c>
      <c r="D28">
        <v>1</v>
      </c>
      <c r="E28" s="1">
        <v>45806</v>
      </c>
      <c r="F28" t="s">
        <v>625</v>
      </c>
      <c r="G28">
        <v>2</v>
      </c>
      <c r="H28" t="s">
        <v>569</v>
      </c>
      <c r="I28" t="s">
        <v>570</v>
      </c>
      <c r="J28" t="str">
        <f t="shared" si="0"/>
        <v>May</v>
      </c>
      <c r="K28" t="str">
        <f t="shared" si="1"/>
        <v>Q2</v>
      </c>
      <c r="L28">
        <f t="shared" si="2"/>
        <v>2025</v>
      </c>
    </row>
    <row r="29" spans="1:12" x14ac:dyDescent="0.3">
      <c r="A29" t="s">
        <v>626</v>
      </c>
      <c r="B29" t="s">
        <v>624</v>
      </c>
      <c r="C29" t="s">
        <v>58</v>
      </c>
      <c r="D29">
        <v>2</v>
      </c>
      <c r="E29" s="1">
        <v>45817</v>
      </c>
      <c r="F29" t="s">
        <v>625</v>
      </c>
      <c r="G29">
        <v>1</v>
      </c>
      <c r="H29" t="s">
        <v>569</v>
      </c>
      <c r="I29" t="s">
        <v>570</v>
      </c>
      <c r="J29" t="str">
        <f t="shared" si="0"/>
        <v>June</v>
      </c>
      <c r="K29" t="str">
        <f t="shared" si="1"/>
        <v>Q2</v>
      </c>
      <c r="L29">
        <f t="shared" si="2"/>
        <v>2025</v>
      </c>
    </row>
    <row r="30" spans="1:12" x14ac:dyDescent="0.3">
      <c r="A30" t="s">
        <v>627</v>
      </c>
      <c r="B30" t="s">
        <v>628</v>
      </c>
      <c r="C30" t="s">
        <v>27</v>
      </c>
      <c r="D30">
        <v>1</v>
      </c>
      <c r="E30" s="1">
        <v>45887</v>
      </c>
      <c r="F30" t="s">
        <v>629</v>
      </c>
      <c r="G30">
        <v>3</v>
      </c>
      <c r="H30" t="s">
        <v>578</v>
      </c>
      <c r="I30" t="s">
        <v>608</v>
      </c>
      <c r="J30" t="str">
        <f t="shared" si="0"/>
        <v>August</v>
      </c>
      <c r="K30" t="str">
        <f t="shared" si="1"/>
        <v>Q3</v>
      </c>
      <c r="L30">
        <f t="shared" si="2"/>
        <v>2025</v>
      </c>
    </row>
    <row r="31" spans="1:12" x14ac:dyDescent="0.3">
      <c r="A31" t="s">
        <v>630</v>
      </c>
      <c r="B31" t="s">
        <v>194</v>
      </c>
      <c r="C31" t="s">
        <v>195</v>
      </c>
      <c r="D31">
        <v>1</v>
      </c>
      <c r="E31" s="1">
        <v>45853</v>
      </c>
      <c r="F31" t="s">
        <v>592</v>
      </c>
      <c r="G31">
        <v>1</v>
      </c>
      <c r="H31" t="s">
        <v>569</v>
      </c>
      <c r="I31" t="s">
        <v>570</v>
      </c>
      <c r="J31" t="str">
        <f t="shared" si="0"/>
        <v>July</v>
      </c>
      <c r="K31" t="str">
        <f t="shared" si="1"/>
        <v>Q3</v>
      </c>
      <c r="L31">
        <f t="shared" si="2"/>
        <v>2025</v>
      </c>
    </row>
    <row r="32" spans="1:12" x14ac:dyDescent="0.3">
      <c r="A32" t="s">
        <v>631</v>
      </c>
      <c r="B32" t="s">
        <v>194</v>
      </c>
      <c r="C32" t="s">
        <v>195</v>
      </c>
      <c r="D32">
        <v>2</v>
      </c>
      <c r="E32" s="1">
        <v>45863</v>
      </c>
      <c r="F32" t="s">
        <v>632</v>
      </c>
      <c r="G32">
        <v>4</v>
      </c>
      <c r="H32" t="s">
        <v>581</v>
      </c>
      <c r="I32" t="s">
        <v>570</v>
      </c>
      <c r="J32" t="str">
        <f t="shared" si="0"/>
        <v>July</v>
      </c>
      <c r="K32" t="str">
        <f t="shared" si="1"/>
        <v>Q3</v>
      </c>
      <c r="L32">
        <f t="shared" si="2"/>
        <v>2025</v>
      </c>
    </row>
    <row r="33" spans="1:12" x14ac:dyDescent="0.3">
      <c r="A33" t="s">
        <v>633</v>
      </c>
      <c r="B33" t="s">
        <v>194</v>
      </c>
      <c r="C33" t="s">
        <v>195</v>
      </c>
      <c r="D33">
        <v>3</v>
      </c>
      <c r="E33" s="1">
        <v>45871</v>
      </c>
      <c r="F33" t="s">
        <v>612</v>
      </c>
      <c r="G33">
        <v>4</v>
      </c>
      <c r="H33" t="s">
        <v>581</v>
      </c>
      <c r="I33" t="s">
        <v>570</v>
      </c>
      <c r="J33" t="str">
        <f t="shared" si="0"/>
        <v>August</v>
      </c>
      <c r="K33" t="str">
        <f t="shared" si="1"/>
        <v>Q3</v>
      </c>
      <c r="L33">
        <f t="shared" si="2"/>
        <v>2025</v>
      </c>
    </row>
    <row r="34" spans="1:12" x14ac:dyDescent="0.3">
      <c r="A34" t="s">
        <v>634</v>
      </c>
      <c r="B34" t="s">
        <v>635</v>
      </c>
      <c r="C34" t="s">
        <v>16</v>
      </c>
      <c r="D34">
        <v>1</v>
      </c>
      <c r="E34" s="1">
        <v>45760</v>
      </c>
      <c r="F34" t="s">
        <v>636</v>
      </c>
      <c r="G34">
        <v>1</v>
      </c>
      <c r="H34" t="s">
        <v>569</v>
      </c>
      <c r="I34" t="s">
        <v>570</v>
      </c>
      <c r="J34" t="str">
        <f t="shared" si="0"/>
        <v>April</v>
      </c>
      <c r="K34" t="str">
        <f t="shared" si="1"/>
        <v>Q2</v>
      </c>
      <c r="L34">
        <f t="shared" si="2"/>
        <v>2025</v>
      </c>
    </row>
    <row r="35" spans="1:12" x14ac:dyDescent="0.3">
      <c r="A35" t="s">
        <v>637</v>
      </c>
      <c r="B35" t="s">
        <v>418</v>
      </c>
      <c r="C35" t="s">
        <v>166</v>
      </c>
      <c r="D35">
        <v>1</v>
      </c>
      <c r="E35" s="1">
        <v>45790</v>
      </c>
      <c r="F35" t="s">
        <v>638</v>
      </c>
      <c r="G35">
        <v>2</v>
      </c>
      <c r="H35" t="s">
        <v>569</v>
      </c>
      <c r="I35" t="s">
        <v>570</v>
      </c>
      <c r="J35" t="str">
        <f t="shared" si="0"/>
        <v>May</v>
      </c>
      <c r="K35" t="str">
        <f t="shared" si="1"/>
        <v>Q2</v>
      </c>
      <c r="L35">
        <f t="shared" si="2"/>
        <v>2025</v>
      </c>
    </row>
    <row r="36" spans="1:12" x14ac:dyDescent="0.3">
      <c r="A36" t="s">
        <v>639</v>
      </c>
      <c r="B36" t="s">
        <v>418</v>
      </c>
      <c r="C36" t="s">
        <v>166</v>
      </c>
      <c r="D36">
        <v>2</v>
      </c>
      <c r="E36" s="1">
        <v>45794</v>
      </c>
      <c r="F36" t="s">
        <v>577</v>
      </c>
      <c r="G36">
        <v>4</v>
      </c>
      <c r="H36" t="s">
        <v>581</v>
      </c>
      <c r="I36" t="s">
        <v>570</v>
      </c>
      <c r="J36" t="str">
        <f t="shared" si="0"/>
        <v>May</v>
      </c>
      <c r="K36" t="str">
        <f t="shared" si="1"/>
        <v>Q2</v>
      </c>
      <c r="L36">
        <f t="shared" si="2"/>
        <v>2025</v>
      </c>
    </row>
    <row r="37" spans="1:12" x14ac:dyDescent="0.3">
      <c r="A37" t="s">
        <v>640</v>
      </c>
      <c r="B37" t="s">
        <v>641</v>
      </c>
      <c r="C37" t="s">
        <v>78</v>
      </c>
      <c r="D37">
        <v>1</v>
      </c>
      <c r="E37" s="1">
        <v>45912</v>
      </c>
      <c r="F37" t="s">
        <v>586</v>
      </c>
      <c r="G37">
        <v>2</v>
      </c>
      <c r="H37" t="s">
        <v>569</v>
      </c>
      <c r="I37" t="s">
        <v>570</v>
      </c>
      <c r="J37" t="str">
        <f t="shared" si="0"/>
        <v>September</v>
      </c>
      <c r="K37" t="str">
        <f t="shared" si="1"/>
        <v>Q3</v>
      </c>
      <c r="L37">
        <f t="shared" si="2"/>
        <v>2025</v>
      </c>
    </row>
    <row r="38" spans="1:12" x14ac:dyDescent="0.3">
      <c r="A38" t="s">
        <v>642</v>
      </c>
      <c r="B38" t="s">
        <v>641</v>
      </c>
      <c r="C38" t="s">
        <v>78</v>
      </c>
      <c r="D38">
        <v>2</v>
      </c>
      <c r="E38" s="1">
        <v>45921</v>
      </c>
      <c r="F38" t="s">
        <v>580</v>
      </c>
      <c r="G38">
        <v>1</v>
      </c>
      <c r="H38" t="s">
        <v>569</v>
      </c>
      <c r="I38" t="s">
        <v>570</v>
      </c>
      <c r="J38" t="str">
        <f t="shared" si="0"/>
        <v>September</v>
      </c>
      <c r="K38" t="str">
        <f t="shared" si="1"/>
        <v>Q3</v>
      </c>
      <c r="L38">
        <f t="shared" si="2"/>
        <v>2025</v>
      </c>
    </row>
    <row r="39" spans="1:12" x14ac:dyDescent="0.3">
      <c r="A39" t="s">
        <v>643</v>
      </c>
      <c r="B39" t="s">
        <v>644</v>
      </c>
      <c r="C39" t="s">
        <v>22</v>
      </c>
      <c r="D39">
        <v>1</v>
      </c>
      <c r="E39" s="1">
        <v>45850</v>
      </c>
      <c r="F39" t="s">
        <v>603</v>
      </c>
      <c r="G39">
        <v>3</v>
      </c>
      <c r="H39" t="s">
        <v>578</v>
      </c>
      <c r="I39" t="s">
        <v>570</v>
      </c>
      <c r="J39" t="str">
        <f t="shared" si="0"/>
        <v>July</v>
      </c>
      <c r="K39" t="str">
        <f t="shared" si="1"/>
        <v>Q3</v>
      </c>
      <c r="L39">
        <f t="shared" si="2"/>
        <v>2025</v>
      </c>
    </row>
    <row r="40" spans="1:12" x14ac:dyDescent="0.3">
      <c r="A40" t="s">
        <v>645</v>
      </c>
      <c r="B40" t="s">
        <v>644</v>
      </c>
      <c r="C40" t="s">
        <v>22</v>
      </c>
      <c r="D40">
        <v>2</v>
      </c>
      <c r="E40" s="1">
        <v>45860</v>
      </c>
      <c r="F40" t="s">
        <v>605</v>
      </c>
      <c r="G40">
        <v>4</v>
      </c>
      <c r="H40" t="s">
        <v>581</v>
      </c>
      <c r="I40" t="s">
        <v>570</v>
      </c>
      <c r="J40" t="str">
        <f t="shared" si="0"/>
        <v>July</v>
      </c>
      <c r="K40" t="str">
        <f t="shared" si="1"/>
        <v>Q3</v>
      </c>
      <c r="L40">
        <f t="shared" si="2"/>
        <v>2025</v>
      </c>
    </row>
    <row r="41" spans="1:12" x14ac:dyDescent="0.3">
      <c r="A41" t="s">
        <v>646</v>
      </c>
      <c r="B41" t="s">
        <v>644</v>
      </c>
      <c r="C41" t="s">
        <v>22</v>
      </c>
      <c r="D41">
        <v>3</v>
      </c>
      <c r="E41" s="1">
        <v>45868</v>
      </c>
      <c r="G41">
        <v>3</v>
      </c>
      <c r="H41" t="s">
        <v>578</v>
      </c>
      <c r="I41" t="s">
        <v>570</v>
      </c>
      <c r="J41" t="str">
        <f t="shared" si="0"/>
        <v>July</v>
      </c>
      <c r="K41" t="str">
        <f t="shared" si="1"/>
        <v>Q3</v>
      </c>
      <c r="L41">
        <f t="shared" si="2"/>
        <v>2025</v>
      </c>
    </row>
    <row r="42" spans="1:12" x14ac:dyDescent="0.3">
      <c r="A42" t="s">
        <v>647</v>
      </c>
      <c r="B42" t="s">
        <v>648</v>
      </c>
      <c r="C42" t="s">
        <v>298</v>
      </c>
      <c r="D42">
        <v>1</v>
      </c>
      <c r="E42" s="1">
        <v>45900</v>
      </c>
      <c r="F42" t="s">
        <v>649</v>
      </c>
      <c r="G42">
        <v>2</v>
      </c>
      <c r="H42" t="s">
        <v>569</v>
      </c>
      <c r="I42" t="s">
        <v>570</v>
      </c>
      <c r="J42" t="str">
        <f t="shared" si="0"/>
        <v>August</v>
      </c>
      <c r="K42" t="str">
        <f t="shared" si="1"/>
        <v>Q3</v>
      </c>
      <c r="L42">
        <f t="shared" si="2"/>
        <v>2025</v>
      </c>
    </row>
    <row r="43" spans="1:12" x14ac:dyDescent="0.3">
      <c r="A43" t="s">
        <v>650</v>
      </c>
      <c r="B43" t="s">
        <v>651</v>
      </c>
      <c r="C43" t="s">
        <v>326</v>
      </c>
      <c r="D43">
        <v>1</v>
      </c>
      <c r="E43" s="1">
        <v>45767</v>
      </c>
      <c r="F43" t="s">
        <v>621</v>
      </c>
      <c r="G43">
        <v>2</v>
      </c>
      <c r="H43" t="s">
        <v>569</v>
      </c>
      <c r="I43" t="s">
        <v>570</v>
      </c>
      <c r="J43" t="str">
        <f t="shared" si="0"/>
        <v>April</v>
      </c>
      <c r="K43" t="str">
        <f t="shared" si="1"/>
        <v>Q2</v>
      </c>
      <c r="L43">
        <f t="shared" si="2"/>
        <v>2025</v>
      </c>
    </row>
    <row r="44" spans="1:12" x14ac:dyDescent="0.3">
      <c r="A44" t="s">
        <v>652</v>
      </c>
      <c r="B44" t="s">
        <v>651</v>
      </c>
      <c r="C44" t="s">
        <v>326</v>
      </c>
      <c r="D44">
        <v>2</v>
      </c>
      <c r="E44" s="1">
        <v>45773</v>
      </c>
      <c r="F44" t="s">
        <v>572</v>
      </c>
      <c r="G44">
        <v>2</v>
      </c>
      <c r="H44" t="s">
        <v>569</v>
      </c>
      <c r="I44" t="s">
        <v>570</v>
      </c>
      <c r="J44" t="str">
        <f t="shared" si="0"/>
        <v>April</v>
      </c>
      <c r="K44" t="str">
        <f t="shared" si="1"/>
        <v>Q2</v>
      </c>
      <c r="L44">
        <f t="shared" si="2"/>
        <v>2025</v>
      </c>
    </row>
    <row r="45" spans="1:12" x14ac:dyDescent="0.3">
      <c r="A45" t="s">
        <v>653</v>
      </c>
      <c r="B45" t="s">
        <v>654</v>
      </c>
      <c r="C45" t="s">
        <v>244</v>
      </c>
      <c r="D45">
        <v>1</v>
      </c>
      <c r="E45" s="1">
        <v>45670</v>
      </c>
      <c r="F45" t="s">
        <v>572</v>
      </c>
      <c r="G45">
        <v>2</v>
      </c>
      <c r="H45" t="s">
        <v>569</v>
      </c>
      <c r="I45" t="s">
        <v>570</v>
      </c>
      <c r="J45" t="str">
        <f t="shared" si="0"/>
        <v>January</v>
      </c>
      <c r="K45" t="str">
        <f t="shared" si="1"/>
        <v>Q1</v>
      </c>
      <c r="L45">
        <f t="shared" si="2"/>
        <v>2025</v>
      </c>
    </row>
    <row r="46" spans="1:12" x14ac:dyDescent="0.3">
      <c r="A46" t="s">
        <v>655</v>
      </c>
      <c r="B46" t="s">
        <v>433</v>
      </c>
      <c r="C46" t="s">
        <v>99</v>
      </c>
      <c r="D46">
        <v>1</v>
      </c>
      <c r="E46" s="1">
        <v>45851</v>
      </c>
      <c r="F46" t="s">
        <v>656</v>
      </c>
      <c r="G46">
        <v>4</v>
      </c>
      <c r="H46" t="s">
        <v>581</v>
      </c>
      <c r="I46" t="s">
        <v>570</v>
      </c>
      <c r="J46" t="str">
        <f t="shared" si="0"/>
        <v>July</v>
      </c>
      <c r="K46" t="str">
        <f t="shared" si="1"/>
        <v>Q3</v>
      </c>
      <c r="L46">
        <f t="shared" si="2"/>
        <v>2025</v>
      </c>
    </row>
    <row r="47" spans="1:12" x14ac:dyDescent="0.3">
      <c r="A47" t="s">
        <v>657</v>
      </c>
      <c r="B47" t="s">
        <v>433</v>
      </c>
      <c r="C47" t="s">
        <v>99</v>
      </c>
      <c r="D47">
        <v>2</v>
      </c>
      <c r="E47" s="1">
        <v>45861</v>
      </c>
      <c r="F47" t="s">
        <v>658</v>
      </c>
      <c r="G47">
        <v>4</v>
      </c>
      <c r="H47" t="s">
        <v>581</v>
      </c>
      <c r="I47" t="s">
        <v>570</v>
      </c>
      <c r="J47" t="str">
        <f t="shared" si="0"/>
        <v>July</v>
      </c>
      <c r="K47" t="str">
        <f t="shared" si="1"/>
        <v>Q3</v>
      </c>
      <c r="L47">
        <f t="shared" si="2"/>
        <v>2025</v>
      </c>
    </row>
    <row r="48" spans="1:12" x14ac:dyDescent="0.3">
      <c r="A48" t="s">
        <v>659</v>
      </c>
      <c r="B48" t="s">
        <v>660</v>
      </c>
      <c r="C48" t="s">
        <v>176</v>
      </c>
      <c r="D48">
        <v>1</v>
      </c>
      <c r="E48" s="1">
        <v>45710</v>
      </c>
      <c r="F48" t="s">
        <v>621</v>
      </c>
      <c r="G48">
        <v>2</v>
      </c>
      <c r="H48" t="s">
        <v>569</v>
      </c>
      <c r="I48" t="s">
        <v>570</v>
      </c>
      <c r="J48" t="str">
        <f t="shared" si="0"/>
        <v>February</v>
      </c>
      <c r="K48" t="str">
        <f t="shared" si="1"/>
        <v>Q1</v>
      </c>
      <c r="L48">
        <f t="shared" si="2"/>
        <v>2025</v>
      </c>
    </row>
    <row r="49" spans="1:12" x14ac:dyDescent="0.3">
      <c r="A49" t="s">
        <v>661</v>
      </c>
      <c r="B49" t="s">
        <v>237</v>
      </c>
      <c r="C49" t="s">
        <v>37</v>
      </c>
      <c r="D49">
        <v>1</v>
      </c>
      <c r="E49" s="1">
        <v>45712</v>
      </c>
      <c r="F49" t="s">
        <v>596</v>
      </c>
      <c r="G49">
        <v>2</v>
      </c>
      <c r="H49" t="s">
        <v>569</v>
      </c>
      <c r="I49" t="s">
        <v>570</v>
      </c>
      <c r="J49" t="str">
        <f t="shared" si="0"/>
        <v>February</v>
      </c>
      <c r="K49" t="str">
        <f t="shared" si="1"/>
        <v>Q1</v>
      </c>
      <c r="L49">
        <f t="shared" si="2"/>
        <v>2025</v>
      </c>
    </row>
    <row r="50" spans="1:12" x14ac:dyDescent="0.3">
      <c r="A50" t="s">
        <v>662</v>
      </c>
      <c r="B50" t="s">
        <v>237</v>
      </c>
      <c r="C50" t="s">
        <v>37</v>
      </c>
      <c r="D50">
        <v>2</v>
      </c>
      <c r="E50" s="1">
        <v>45717</v>
      </c>
      <c r="F50" t="s">
        <v>663</v>
      </c>
      <c r="G50">
        <v>3</v>
      </c>
      <c r="H50" t="s">
        <v>578</v>
      </c>
      <c r="I50" t="s">
        <v>570</v>
      </c>
      <c r="J50" t="str">
        <f t="shared" si="0"/>
        <v>March</v>
      </c>
      <c r="K50" t="str">
        <f t="shared" si="1"/>
        <v>Q1</v>
      </c>
      <c r="L50">
        <f t="shared" si="2"/>
        <v>2025</v>
      </c>
    </row>
    <row r="51" spans="1:12" x14ac:dyDescent="0.3">
      <c r="A51" t="s">
        <v>664</v>
      </c>
      <c r="B51" t="s">
        <v>237</v>
      </c>
      <c r="C51" t="s">
        <v>37</v>
      </c>
      <c r="D51">
        <v>3</v>
      </c>
      <c r="E51" s="1">
        <v>45729</v>
      </c>
      <c r="F51" t="s">
        <v>580</v>
      </c>
      <c r="G51">
        <v>4</v>
      </c>
      <c r="H51" t="s">
        <v>581</v>
      </c>
      <c r="I51" t="s">
        <v>570</v>
      </c>
      <c r="J51" t="str">
        <f t="shared" si="0"/>
        <v>March</v>
      </c>
      <c r="K51" t="str">
        <f t="shared" si="1"/>
        <v>Q1</v>
      </c>
      <c r="L51">
        <f t="shared" si="2"/>
        <v>2025</v>
      </c>
    </row>
    <row r="52" spans="1:12" x14ac:dyDescent="0.3">
      <c r="A52" t="s">
        <v>665</v>
      </c>
      <c r="B52" t="s">
        <v>666</v>
      </c>
      <c r="C52" t="s">
        <v>240</v>
      </c>
      <c r="D52">
        <v>1</v>
      </c>
      <c r="E52" s="1">
        <v>45962</v>
      </c>
      <c r="F52" t="s">
        <v>568</v>
      </c>
      <c r="G52">
        <v>2</v>
      </c>
      <c r="H52" t="s">
        <v>569</v>
      </c>
      <c r="I52" t="s">
        <v>570</v>
      </c>
      <c r="J52" t="str">
        <f t="shared" si="0"/>
        <v>November</v>
      </c>
      <c r="K52" t="str">
        <f t="shared" si="1"/>
        <v>Q4</v>
      </c>
      <c r="L52">
        <f t="shared" si="2"/>
        <v>2025</v>
      </c>
    </row>
    <row r="53" spans="1:12" x14ac:dyDescent="0.3">
      <c r="A53" t="s">
        <v>667</v>
      </c>
      <c r="B53" t="s">
        <v>666</v>
      </c>
      <c r="C53" t="s">
        <v>240</v>
      </c>
      <c r="D53">
        <v>2</v>
      </c>
      <c r="E53" s="1">
        <v>45973</v>
      </c>
      <c r="F53" t="s">
        <v>568</v>
      </c>
      <c r="G53">
        <v>1</v>
      </c>
      <c r="H53" t="s">
        <v>569</v>
      </c>
      <c r="I53" t="s">
        <v>570</v>
      </c>
      <c r="J53" t="str">
        <f t="shared" si="0"/>
        <v>November</v>
      </c>
      <c r="K53" t="str">
        <f t="shared" si="1"/>
        <v>Q4</v>
      </c>
      <c r="L53">
        <f t="shared" si="2"/>
        <v>2025</v>
      </c>
    </row>
    <row r="54" spans="1:12" x14ac:dyDescent="0.3">
      <c r="A54" t="s">
        <v>668</v>
      </c>
      <c r="B54" t="s">
        <v>669</v>
      </c>
      <c r="C54" t="s">
        <v>99</v>
      </c>
      <c r="D54">
        <v>1</v>
      </c>
      <c r="E54" s="1">
        <v>45863</v>
      </c>
      <c r="F54" t="s">
        <v>670</v>
      </c>
      <c r="G54">
        <v>2</v>
      </c>
      <c r="H54" t="s">
        <v>569</v>
      </c>
      <c r="I54" t="s">
        <v>570</v>
      </c>
      <c r="J54" t="str">
        <f t="shared" si="0"/>
        <v>July</v>
      </c>
      <c r="K54" t="str">
        <f t="shared" si="1"/>
        <v>Q3</v>
      </c>
      <c r="L54">
        <f t="shared" si="2"/>
        <v>2025</v>
      </c>
    </row>
    <row r="55" spans="1:12" x14ac:dyDescent="0.3">
      <c r="A55" t="s">
        <v>671</v>
      </c>
      <c r="B55" t="s">
        <v>669</v>
      </c>
      <c r="C55" t="s">
        <v>99</v>
      </c>
      <c r="D55">
        <v>2</v>
      </c>
      <c r="E55" s="1">
        <v>45871</v>
      </c>
      <c r="F55" t="s">
        <v>658</v>
      </c>
      <c r="G55">
        <v>4</v>
      </c>
      <c r="H55" t="s">
        <v>581</v>
      </c>
      <c r="I55" t="s">
        <v>570</v>
      </c>
      <c r="J55" t="str">
        <f t="shared" si="0"/>
        <v>August</v>
      </c>
      <c r="K55" t="str">
        <f t="shared" si="1"/>
        <v>Q3</v>
      </c>
      <c r="L55">
        <f t="shared" si="2"/>
        <v>2025</v>
      </c>
    </row>
    <row r="56" spans="1:12" x14ac:dyDescent="0.3">
      <c r="A56" t="s">
        <v>672</v>
      </c>
      <c r="B56" t="s">
        <v>669</v>
      </c>
      <c r="C56" t="s">
        <v>99</v>
      </c>
      <c r="D56">
        <v>3</v>
      </c>
      <c r="E56" s="1">
        <v>45877</v>
      </c>
      <c r="F56" t="s">
        <v>656</v>
      </c>
      <c r="G56">
        <v>2</v>
      </c>
      <c r="H56" t="s">
        <v>569</v>
      </c>
      <c r="I56" t="s">
        <v>570</v>
      </c>
      <c r="J56" t="str">
        <f t="shared" si="0"/>
        <v>August</v>
      </c>
      <c r="K56" t="str">
        <f t="shared" si="1"/>
        <v>Q3</v>
      </c>
      <c r="L56">
        <f t="shared" si="2"/>
        <v>2025</v>
      </c>
    </row>
    <row r="57" spans="1:12" x14ac:dyDescent="0.3">
      <c r="A57" t="s">
        <v>673</v>
      </c>
      <c r="B57" t="s">
        <v>669</v>
      </c>
      <c r="C57" t="s">
        <v>99</v>
      </c>
      <c r="D57">
        <v>4</v>
      </c>
      <c r="E57" s="1">
        <v>45884</v>
      </c>
      <c r="F57" t="s">
        <v>625</v>
      </c>
      <c r="G57">
        <v>4</v>
      </c>
      <c r="H57" t="s">
        <v>581</v>
      </c>
      <c r="I57" t="s">
        <v>570</v>
      </c>
      <c r="J57" t="str">
        <f t="shared" si="0"/>
        <v>August</v>
      </c>
      <c r="K57" t="str">
        <f t="shared" si="1"/>
        <v>Q3</v>
      </c>
      <c r="L57">
        <f t="shared" si="2"/>
        <v>2025</v>
      </c>
    </row>
    <row r="58" spans="1:12" x14ac:dyDescent="0.3">
      <c r="A58" t="s">
        <v>674</v>
      </c>
      <c r="B58" t="s">
        <v>675</v>
      </c>
      <c r="C58" t="s">
        <v>99</v>
      </c>
      <c r="D58">
        <v>1</v>
      </c>
      <c r="E58" s="1">
        <v>45860</v>
      </c>
      <c r="F58" t="s">
        <v>649</v>
      </c>
      <c r="G58">
        <v>2</v>
      </c>
      <c r="H58" t="s">
        <v>569</v>
      </c>
      <c r="I58" t="s">
        <v>570</v>
      </c>
      <c r="J58" t="str">
        <f t="shared" si="0"/>
        <v>July</v>
      </c>
      <c r="K58" t="str">
        <f t="shared" si="1"/>
        <v>Q3</v>
      </c>
      <c r="L58">
        <f t="shared" si="2"/>
        <v>2025</v>
      </c>
    </row>
    <row r="59" spans="1:12" x14ac:dyDescent="0.3">
      <c r="A59" t="s">
        <v>676</v>
      </c>
      <c r="B59" t="s">
        <v>675</v>
      </c>
      <c r="C59" t="s">
        <v>99</v>
      </c>
      <c r="D59">
        <v>2</v>
      </c>
      <c r="E59" s="1">
        <v>45871</v>
      </c>
      <c r="F59" t="s">
        <v>584</v>
      </c>
      <c r="G59">
        <v>2</v>
      </c>
      <c r="H59" t="s">
        <v>569</v>
      </c>
      <c r="I59" t="s">
        <v>570</v>
      </c>
      <c r="J59" t="str">
        <f t="shared" si="0"/>
        <v>August</v>
      </c>
      <c r="K59" t="str">
        <f t="shared" si="1"/>
        <v>Q3</v>
      </c>
      <c r="L59">
        <f t="shared" si="2"/>
        <v>2025</v>
      </c>
    </row>
    <row r="60" spans="1:12" x14ac:dyDescent="0.3">
      <c r="A60" t="s">
        <v>677</v>
      </c>
      <c r="B60" t="s">
        <v>675</v>
      </c>
      <c r="C60" t="s">
        <v>99</v>
      </c>
      <c r="D60">
        <v>3</v>
      </c>
      <c r="E60" s="1">
        <v>45877</v>
      </c>
      <c r="F60" t="s">
        <v>670</v>
      </c>
      <c r="G60">
        <v>1</v>
      </c>
      <c r="H60" t="s">
        <v>569</v>
      </c>
      <c r="I60" t="s">
        <v>570</v>
      </c>
      <c r="J60" t="str">
        <f t="shared" si="0"/>
        <v>August</v>
      </c>
      <c r="K60" t="str">
        <f t="shared" si="1"/>
        <v>Q3</v>
      </c>
      <c r="L60">
        <f t="shared" si="2"/>
        <v>2025</v>
      </c>
    </row>
    <row r="61" spans="1:12" x14ac:dyDescent="0.3">
      <c r="A61" t="s">
        <v>678</v>
      </c>
      <c r="B61" t="s">
        <v>675</v>
      </c>
      <c r="C61" t="s">
        <v>99</v>
      </c>
      <c r="D61">
        <v>4</v>
      </c>
      <c r="E61" s="1">
        <v>45886</v>
      </c>
      <c r="F61" t="s">
        <v>656</v>
      </c>
      <c r="G61">
        <v>1</v>
      </c>
      <c r="H61" t="s">
        <v>569</v>
      </c>
      <c r="I61" t="s">
        <v>570</v>
      </c>
      <c r="J61" t="str">
        <f t="shared" si="0"/>
        <v>August</v>
      </c>
      <c r="K61" t="str">
        <f t="shared" si="1"/>
        <v>Q3</v>
      </c>
      <c r="L61">
        <f t="shared" si="2"/>
        <v>2025</v>
      </c>
    </row>
    <row r="62" spans="1:12" x14ac:dyDescent="0.3">
      <c r="A62" t="s">
        <v>679</v>
      </c>
      <c r="B62" t="s">
        <v>303</v>
      </c>
      <c r="C62" t="s">
        <v>292</v>
      </c>
      <c r="D62">
        <v>1</v>
      </c>
      <c r="E62" s="1">
        <v>45719</v>
      </c>
      <c r="F62" t="s">
        <v>586</v>
      </c>
      <c r="G62">
        <v>3</v>
      </c>
      <c r="H62" t="s">
        <v>578</v>
      </c>
      <c r="I62" t="s">
        <v>570</v>
      </c>
      <c r="J62" t="str">
        <f t="shared" si="0"/>
        <v>March</v>
      </c>
      <c r="K62" t="str">
        <f t="shared" si="1"/>
        <v>Q1</v>
      </c>
      <c r="L62">
        <f t="shared" si="2"/>
        <v>2025</v>
      </c>
    </row>
    <row r="63" spans="1:12" x14ac:dyDescent="0.3">
      <c r="A63" t="s">
        <v>680</v>
      </c>
      <c r="B63" t="s">
        <v>303</v>
      </c>
      <c r="C63" t="s">
        <v>292</v>
      </c>
      <c r="D63">
        <v>2</v>
      </c>
      <c r="E63" s="1">
        <v>45724</v>
      </c>
      <c r="F63" t="s">
        <v>580</v>
      </c>
      <c r="G63">
        <v>4</v>
      </c>
      <c r="H63" t="s">
        <v>581</v>
      </c>
      <c r="I63" t="s">
        <v>570</v>
      </c>
      <c r="J63" t="str">
        <f t="shared" si="0"/>
        <v>March</v>
      </c>
      <c r="K63" t="str">
        <f t="shared" si="1"/>
        <v>Q1</v>
      </c>
      <c r="L63">
        <f t="shared" si="2"/>
        <v>2025</v>
      </c>
    </row>
    <row r="64" spans="1:12" x14ac:dyDescent="0.3">
      <c r="A64" t="s">
        <v>681</v>
      </c>
      <c r="B64" t="s">
        <v>303</v>
      </c>
      <c r="C64" t="s">
        <v>292</v>
      </c>
      <c r="D64">
        <v>3</v>
      </c>
      <c r="E64" s="1">
        <v>45731</v>
      </c>
      <c r="F64" t="s">
        <v>580</v>
      </c>
      <c r="G64">
        <v>4</v>
      </c>
      <c r="H64" t="s">
        <v>581</v>
      </c>
      <c r="I64" t="s">
        <v>570</v>
      </c>
      <c r="J64" t="str">
        <f t="shared" si="0"/>
        <v>March</v>
      </c>
      <c r="K64" t="str">
        <f t="shared" si="1"/>
        <v>Q1</v>
      </c>
      <c r="L64">
        <f t="shared" si="2"/>
        <v>2025</v>
      </c>
    </row>
    <row r="65" spans="1:12" x14ac:dyDescent="0.3">
      <c r="A65" t="s">
        <v>682</v>
      </c>
      <c r="B65" t="s">
        <v>15</v>
      </c>
      <c r="C65" t="s">
        <v>16</v>
      </c>
      <c r="D65">
        <v>1</v>
      </c>
      <c r="E65" s="1">
        <v>45756</v>
      </c>
      <c r="F65" t="s">
        <v>600</v>
      </c>
      <c r="G65">
        <v>3</v>
      </c>
      <c r="H65" t="s">
        <v>578</v>
      </c>
      <c r="I65" t="s">
        <v>570</v>
      </c>
      <c r="J65" t="str">
        <f t="shared" si="0"/>
        <v>April</v>
      </c>
      <c r="K65" t="str">
        <f t="shared" si="1"/>
        <v>Q2</v>
      </c>
      <c r="L65">
        <f t="shared" si="2"/>
        <v>2025</v>
      </c>
    </row>
    <row r="66" spans="1:12" x14ac:dyDescent="0.3">
      <c r="A66" t="s">
        <v>683</v>
      </c>
      <c r="B66" t="s">
        <v>15</v>
      </c>
      <c r="C66" t="s">
        <v>16</v>
      </c>
      <c r="D66">
        <v>2</v>
      </c>
      <c r="E66" s="1">
        <v>45760</v>
      </c>
      <c r="F66" t="s">
        <v>625</v>
      </c>
      <c r="G66">
        <v>3</v>
      </c>
      <c r="H66" t="s">
        <v>578</v>
      </c>
      <c r="I66" t="s">
        <v>570</v>
      </c>
      <c r="J66" t="str">
        <f t="shared" ref="J66:J129" si="3">TEXT(E66,"mmmm")</f>
        <v>April</v>
      </c>
      <c r="K66" t="str">
        <f t="shared" ref="K66:K129" si="4">"Q"&amp;ROUNDUP(MONTH(E66)/3,0)</f>
        <v>Q2</v>
      </c>
      <c r="L66">
        <f t="shared" ref="L66:L129" si="5">YEAR(E66)</f>
        <v>2025</v>
      </c>
    </row>
    <row r="67" spans="1:12" x14ac:dyDescent="0.3">
      <c r="A67" t="s">
        <v>684</v>
      </c>
      <c r="B67" t="s">
        <v>15</v>
      </c>
      <c r="C67" t="s">
        <v>16</v>
      </c>
      <c r="D67">
        <v>3</v>
      </c>
      <c r="E67" s="1">
        <v>45772</v>
      </c>
      <c r="F67" t="s">
        <v>600</v>
      </c>
      <c r="G67">
        <v>4</v>
      </c>
      <c r="H67" t="s">
        <v>581</v>
      </c>
      <c r="I67" t="s">
        <v>570</v>
      </c>
      <c r="J67" t="str">
        <f t="shared" si="3"/>
        <v>April</v>
      </c>
      <c r="K67" t="str">
        <f t="shared" si="4"/>
        <v>Q2</v>
      </c>
      <c r="L67">
        <f t="shared" si="5"/>
        <v>2025</v>
      </c>
    </row>
    <row r="68" spans="1:12" x14ac:dyDescent="0.3">
      <c r="A68" t="s">
        <v>685</v>
      </c>
      <c r="B68" t="s">
        <v>137</v>
      </c>
      <c r="C68" t="s">
        <v>58</v>
      </c>
      <c r="D68">
        <v>1</v>
      </c>
      <c r="E68" s="1">
        <v>45815</v>
      </c>
      <c r="F68" t="s">
        <v>605</v>
      </c>
      <c r="G68">
        <v>4</v>
      </c>
      <c r="H68" t="s">
        <v>581</v>
      </c>
      <c r="I68" t="s">
        <v>570</v>
      </c>
      <c r="J68" t="str">
        <f t="shared" si="3"/>
        <v>June</v>
      </c>
      <c r="K68" t="str">
        <f t="shared" si="4"/>
        <v>Q2</v>
      </c>
      <c r="L68">
        <f t="shared" si="5"/>
        <v>2025</v>
      </c>
    </row>
    <row r="69" spans="1:12" x14ac:dyDescent="0.3">
      <c r="A69" t="s">
        <v>686</v>
      </c>
      <c r="B69" t="s">
        <v>687</v>
      </c>
      <c r="C69" t="s">
        <v>32</v>
      </c>
      <c r="D69">
        <v>1</v>
      </c>
      <c r="E69" s="1">
        <v>45769</v>
      </c>
      <c r="F69" t="s">
        <v>577</v>
      </c>
      <c r="G69">
        <v>2</v>
      </c>
      <c r="H69" t="s">
        <v>569</v>
      </c>
      <c r="I69" t="s">
        <v>570</v>
      </c>
      <c r="J69" t="str">
        <f t="shared" si="3"/>
        <v>April</v>
      </c>
      <c r="K69" t="str">
        <f t="shared" si="4"/>
        <v>Q2</v>
      </c>
      <c r="L69">
        <f t="shared" si="5"/>
        <v>2025</v>
      </c>
    </row>
    <row r="70" spans="1:12" x14ac:dyDescent="0.3">
      <c r="A70" t="s">
        <v>688</v>
      </c>
      <c r="B70" t="s">
        <v>687</v>
      </c>
      <c r="C70" t="s">
        <v>32</v>
      </c>
      <c r="D70">
        <v>2</v>
      </c>
      <c r="E70" s="1">
        <v>45778</v>
      </c>
      <c r="F70" t="s">
        <v>577</v>
      </c>
      <c r="G70">
        <v>2</v>
      </c>
      <c r="H70" t="s">
        <v>569</v>
      </c>
      <c r="I70" t="s">
        <v>597</v>
      </c>
      <c r="J70" t="str">
        <f t="shared" si="3"/>
        <v>May</v>
      </c>
      <c r="K70" t="str">
        <f t="shared" si="4"/>
        <v>Q2</v>
      </c>
      <c r="L70">
        <f t="shared" si="5"/>
        <v>2025</v>
      </c>
    </row>
    <row r="71" spans="1:12" x14ac:dyDescent="0.3">
      <c r="A71" t="s">
        <v>689</v>
      </c>
      <c r="B71" t="s">
        <v>687</v>
      </c>
      <c r="C71" t="s">
        <v>32</v>
      </c>
      <c r="D71">
        <v>3</v>
      </c>
      <c r="E71" s="1">
        <v>45782</v>
      </c>
      <c r="F71" t="s">
        <v>577</v>
      </c>
      <c r="G71">
        <v>2</v>
      </c>
      <c r="H71" t="s">
        <v>569</v>
      </c>
      <c r="I71" t="s">
        <v>597</v>
      </c>
      <c r="J71" t="str">
        <f t="shared" si="3"/>
        <v>May</v>
      </c>
      <c r="K71" t="str">
        <f t="shared" si="4"/>
        <v>Q2</v>
      </c>
      <c r="L71">
        <f t="shared" si="5"/>
        <v>2025</v>
      </c>
    </row>
    <row r="72" spans="1:12" x14ac:dyDescent="0.3">
      <c r="A72" t="s">
        <v>690</v>
      </c>
      <c r="B72" t="s">
        <v>691</v>
      </c>
      <c r="C72" t="s">
        <v>51</v>
      </c>
      <c r="D72">
        <v>1</v>
      </c>
      <c r="E72" s="1">
        <v>45949</v>
      </c>
      <c r="F72" t="s">
        <v>596</v>
      </c>
      <c r="G72">
        <v>2</v>
      </c>
      <c r="H72" t="s">
        <v>569</v>
      </c>
      <c r="I72" t="s">
        <v>570</v>
      </c>
      <c r="J72" t="str">
        <f t="shared" si="3"/>
        <v>October</v>
      </c>
      <c r="K72" t="str">
        <f t="shared" si="4"/>
        <v>Q4</v>
      </c>
      <c r="L72">
        <f t="shared" si="5"/>
        <v>2025</v>
      </c>
    </row>
    <row r="73" spans="1:12" x14ac:dyDescent="0.3">
      <c r="A73" t="s">
        <v>692</v>
      </c>
      <c r="B73" t="s">
        <v>691</v>
      </c>
      <c r="C73" t="s">
        <v>51</v>
      </c>
      <c r="D73">
        <v>2</v>
      </c>
      <c r="E73" s="1">
        <v>45958</v>
      </c>
      <c r="F73" t="s">
        <v>663</v>
      </c>
      <c r="G73">
        <v>1</v>
      </c>
      <c r="H73" t="s">
        <v>569</v>
      </c>
      <c r="I73" t="s">
        <v>570</v>
      </c>
      <c r="J73" t="str">
        <f t="shared" si="3"/>
        <v>October</v>
      </c>
      <c r="K73" t="str">
        <f t="shared" si="4"/>
        <v>Q4</v>
      </c>
      <c r="L73">
        <f t="shared" si="5"/>
        <v>2025</v>
      </c>
    </row>
    <row r="74" spans="1:12" x14ac:dyDescent="0.3">
      <c r="A74" t="s">
        <v>693</v>
      </c>
      <c r="B74" t="s">
        <v>694</v>
      </c>
      <c r="C74" t="s">
        <v>240</v>
      </c>
      <c r="D74">
        <v>1</v>
      </c>
      <c r="E74" s="1">
        <v>45960</v>
      </c>
      <c r="F74" t="s">
        <v>572</v>
      </c>
      <c r="G74">
        <v>4</v>
      </c>
      <c r="H74" t="s">
        <v>581</v>
      </c>
      <c r="I74" t="s">
        <v>570</v>
      </c>
      <c r="J74" t="str">
        <f t="shared" si="3"/>
        <v>October</v>
      </c>
      <c r="K74" t="str">
        <f t="shared" si="4"/>
        <v>Q4</v>
      </c>
      <c r="L74">
        <f t="shared" si="5"/>
        <v>2025</v>
      </c>
    </row>
    <row r="75" spans="1:12" x14ac:dyDescent="0.3">
      <c r="A75" t="s">
        <v>695</v>
      </c>
      <c r="B75" t="s">
        <v>694</v>
      </c>
      <c r="C75" t="s">
        <v>240</v>
      </c>
      <c r="D75">
        <v>2</v>
      </c>
      <c r="E75" s="1">
        <v>45972</v>
      </c>
      <c r="F75" t="s">
        <v>568</v>
      </c>
      <c r="G75">
        <v>4</v>
      </c>
      <c r="H75" t="s">
        <v>581</v>
      </c>
      <c r="I75" t="s">
        <v>570</v>
      </c>
      <c r="J75" t="str">
        <f t="shared" si="3"/>
        <v>November</v>
      </c>
      <c r="K75" t="str">
        <f t="shared" si="4"/>
        <v>Q4</v>
      </c>
      <c r="L75">
        <f t="shared" si="5"/>
        <v>2025</v>
      </c>
    </row>
    <row r="76" spans="1:12" x14ac:dyDescent="0.3">
      <c r="A76" t="s">
        <v>696</v>
      </c>
      <c r="B76" t="s">
        <v>697</v>
      </c>
      <c r="C76" t="s">
        <v>58</v>
      </c>
      <c r="D76">
        <v>1</v>
      </c>
      <c r="E76" s="1">
        <v>45813</v>
      </c>
      <c r="F76" t="s">
        <v>625</v>
      </c>
      <c r="G76">
        <v>2</v>
      </c>
      <c r="H76" t="s">
        <v>569</v>
      </c>
      <c r="I76" t="s">
        <v>570</v>
      </c>
      <c r="J76" t="str">
        <f t="shared" si="3"/>
        <v>June</v>
      </c>
      <c r="K76" t="str">
        <f t="shared" si="4"/>
        <v>Q2</v>
      </c>
      <c r="L76">
        <f t="shared" si="5"/>
        <v>2025</v>
      </c>
    </row>
    <row r="77" spans="1:12" x14ac:dyDescent="0.3">
      <c r="A77" t="s">
        <v>698</v>
      </c>
      <c r="B77" t="s">
        <v>697</v>
      </c>
      <c r="C77" t="s">
        <v>58</v>
      </c>
      <c r="D77">
        <v>2</v>
      </c>
      <c r="E77" s="1">
        <v>45824</v>
      </c>
      <c r="F77" t="s">
        <v>577</v>
      </c>
      <c r="G77">
        <v>1</v>
      </c>
      <c r="H77" t="s">
        <v>569</v>
      </c>
      <c r="I77" t="s">
        <v>608</v>
      </c>
      <c r="J77" t="str">
        <f t="shared" si="3"/>
        <v>June</v>
      </c>
      <c r="K77" t="str">
        <f t="shared" si="4"/>
        <v>Q2</v>
      </c>
      <c r="L77">
        <f t="shared" si="5"/>
        <v>2025</v>
      </c>
    </row>
    <row r="78" spans="1:12" x14ac:dyDescent="0.3">
      <c r="A78" t="s">
        <v>699</v>
      </c>
      <c r="B78" t="s">
        <v>700</v>
      </c>
      <c r="C78" t="s">
        <v>32</v>
      </c>
      <c r="D78">
        <v>1</v>
      </c>
      <c r="E78" s="1">
        <v>45760</v>
      </c>
      <c r="F78" t="s">
        <v>572</v>
      </c>
      <c r="G78">
        <v>2</v>
      </c>
      <c r="H78" t="s">
        <v>569</v>
      </c>
      <c r="I78" t="s">
        <v>570</v>
      </c>
      <c r="J78" t="str">
        <f t="shared" si="3"/>
        <v>April</v>
      </c>
      <c r="K78" t="str">
        <f t="shared" si="4"/>
        <v>Q2</v>
      </c>
      <c r="L78">
        <f t="shared" si="5"/>
        <v>2025</v>
      </c>
    </row>
    <row r="79" spans="1:12" x14ac:dyDescent="0.3">
      <c r="A79" t="s">
        <v>701</v>
      </c>
      <c r="B79" t="s">
        <v>700</v>
      </c>
      <c r="C79" t="s">
        <v>32</v>
      </c>
      <c r="D79">
        <v>2</v>
      </c>
      <c r="E79" s="1">
        <v>45768</v>
      </c>
      <c r="F79" t="s">
        <v>575</v>
      </c>
      <c r="G79">
        <v>4</v>
      </c>
      <c r="H79" t="s">
        <v>581</v>
      </c>
      <c r="I79" t="s">
        <v>570</v>
      </c>
      <c r="J79" t="str">
        <f t="shared" si="3"/>
        <v>April</v>
      </c>
      <c r="K79" t="str">
        <f t="shared" si="4"/>
        <v>Q2</v>
      </c>
      <c r="L79">
        <f t="shared" si="5"/>
        <v>2025</v>
      </c>
    </row>
    <row r="80" spans="1:12" x14ac:dyDescent="0.3">
      <c r="A80" t="s">
        <v>702</v>
      </c>
      <c r="B80" t="s">
        <v>700</v>
      </c>
      <c r="C80" t="s">
        <v>32</v>
      </c>
      <c r="D80">
        <v>3</v>
      </c>
      <c r="E80" s="1">
        <v>45778</v>
      </c>
      <c r="F80" t="s">
        <v>596</v>
      </c>
      <c r="G80">
        <v>4</v>
      </c>
      <c r="H80" t="s">
        <v>581</v>
      </c>
      <c r="I80" t="s">
        <v>570</v>
      </c>
      <c r="J80" t="str">
        <f t="shared" si="3"/>
        <v>May</v>
      </c>
      <c r="K80" t="str">
        <f t="shared" si="4"/>
        <v>Q2</v>
      </c>
      <c r="L80">
        <f t="shared" si="5"/>
        <v>2025</v>
      </c>
    </row>
    <row r="81" spans="1:12" x14ac:dyDescent="0.3">
      <c r="A81" t="s">
        <v>703</v>
      </c>
      <c r="B81" t="s">
        <v>700</v>
      </c>
      <c r="C81" t="s">
        <v>32</v>
      </c>
      <c r="D81">
        <v>4</v>
      </c>
      <c r="E81" s="1">
        <v>45785</v>
      </c>
      <c r="F81" t="s">
        <v>638</v>
      </c>
      <c r="G81">
        <v>4</v>
      </c>
      <c r="H81" t="s">
        <v>581</v>
      </c>
      <c r="I81" t="s">
        <v>570</v>
      </c>
      <c r="J81" t="str">
        <f t="shared" si="3"/>
        <v>May</v>
      </c>
      <c r="K81" t="str">
        <f t="shared" si="4"/>
        <v>Q2</v>
      </c>
      <c r="L81">
        <f t="shared" si="5"/>
        <v>2025</v>
      </c>
    </row>
    <row r="82" spans="1:12" x14ac:dyDescent="0.3">
      <c r="A82" t="s">
        <v>704</v>
      </c>
      <c r="B82" t="s">
        <v>705</v>
      </c>
      <c r="C82" t="s">
        <v>16</v>
      </c>
      <c r="D82">
        <v>1</v>
      </c>
      <c r="E82" s="1">
        <v>45762</v>
      </c>
      <c r="F82" t="s">
        <v>706</v>
      </c>
      <c r="G82">
        <v>3</v>
      </c>
      <c r="H82" t="s">
        <v>578</v>
      </c>
      <c r="I82" t="s">
        <v>570</v>
      </c>
      <c r="J82" t="str">
        <f t="shared" si="3"/>
        <v>April</v>
      </c>
      <c r="K82" t="str">
        <f t="shared" si="4"/>
        <v>Q2</v>
      </c>
      <c r="L82">
        <f t="shared" si="5"/>
        <v>2025</v>
      </c>
    </row>
    <row r="83" spans="1:12" x14ac:dyDescent="0.3">
      <c r="A83" t="s">
        <v>707</v>
      </c>
      <c r="B83" t="s">
        <v>705</v>
      </c>
      <c r="C83" t="s">
        <v>16</v>
      </c>
      <c r="D83">
        <v>2</v>
      </c>
      <c r="E83" s="1">
        <v>45772</v>
      </c>
      <c r="F83" t="s">
        <v>596</v>
      </c>
      <c r="G83">
        <v>2</v>
      </c>
      <c r="H83" t="s">
        <v>569</v>
      </c>
      <c r="I83" t="s">
        <v>570</v>
      </c>
      <c r="J83" t="str">
        <f t="shared" si="3"/>
        <v>April</v>
      </c>
      <c r="K83" t="str">
        <f t="shared" si="4"/>
        <v>Q2</v>
      </c>
      <c r="L83">
        <f t="shared" si="5"/>
        <v>2025</v>
      </c>
    </row>
    <row r="84" spans="1:12" x14ac:dyDescent="0.3">
      <c r="A84" t="s">
        <v>708</v>
      </c>
      <c r="B84" t="s">
        <v>709</v>
      </c>
      <c r="C84" t="s">
        <v>99</v>
      </c>
      <c r="D84">
        <v>1</v>
      </c>
      <c r="E84" s="1">
        <v>45850</v>
      </c>
      <c r="F84" t="s">
        <v>649</v>
      </c>
      <c r="G84">
        <v>3</v>
      </c>
      <c r="H84" t="s">
        <v>578</v>
      </c>
      <c r="I84" t="s">
        <v>570</v>
      </c>
      <c r="J84" t="str">
        <f t="shared" si="3"/>
        <v>July</v>
      </c>
      <c r="K84" t="str">
        <f t="shared" si="4"/>
        <v>Q3</v>
      </c>
      <c r="L84">
        <f t="shared" si="5"/>
        <v>2025</v>
      </c>
    </row>
    <row r="85" spans="1:12" x14ac:dyDescent="0.3">
      <c r="A85" t="s">
        <v>710</v>
      </c>
      <c r="B85" t="s">
        <v>709</v>
      </c>
      <c r="C85" t="s">
        <v>99</v>
      </c>
      <c r="D85">
        <v>2</v>
      </c>
      <c r="E85" s="1">
        <v>45860</v>
      </c>
      <c r="F85" t="s">
        <v>658</v>
      </c>
      <c r="G85">
        <v>4</v>
      </c>
      <c r="H85" t="s">
        <v>581</v>
      </c>
      <c r="I85" t="s">
        <v>570</v>
      </c>
      <c r="J85" t="str">
        <f t="shared" si="3"/>
        <v>July</v>
      </c>
      <c r="K85" t="str">
        <f t="shared" si="4"/>
        <v>Q3</v>
      </c>
      <c r="L85">
        <f t="shared" si="5"/>
        <v>2025</v>
      </c>
    </row>
    <row r="86" spans="1:12" x14ac:dyDescent="0.3">
      <c r="A86" t="s">
        <v>711</v>
      </c>
      <c r="B86" t="s">
        <v>712</v>
      </c>
      <c r="C86" t="s">
        <v>156</v>
      </c>
      <c r="D86">
        <v>1</v>
      </c>
      <c r="E86" s="1">
        <v>45739</v>
      </c>
      <c r="F86" t="s">
        <v>592</v>
      </c>
      <c r="G86">
        <v>3</v>
      </c>
      <c r="H86" t="s">
        <v>578</v>
      </c>
      <c r="I86" t="s">
        <v>570</v>
      </c>
      <c r="J86" t="str">
        <f t="shared" si="3"/>
        <v>March</v>
      </c>
      <c r="K86" t="str">
        <f t="shared" si="4"/>
        <v>Q1</v>
      </c>
      <c r="L86">
        <f t="shared" si="5"/>
        <v>2025</v>
      </c>
    </row>
    <row r="87" spans="1:12" x14ac:dyDescent="0.3">
      <c r="A87" t="s">
        <v>713</v>
      </c>
      <c r="B87" t="s">
        <v>495</v>
      </c>
      <c r="C87" t="s">
        <v>58</v>
      </c>
      <c r="D87">
        <v>1</v>
      </c>
      <c r="E87" s="1">
        <v>45817</v>
      </c>
      <c r="F87" t="s">
        <v>612</v>
      </c>
      <c r="G87">
        <v>4</v>
      </c>
      <c r="H87" t="s">
        <v>581</v>
      </c>
      <c r="I87" t="s">
        <v>570</v>
      </c>
      <c r="J87" t="str">
        <f t="shared" si="3"/>
        <v>June</v>
      </c>
      <c r="K87" t="str">
        <f t="shared" si="4"/>
        <v>Q2</v>
      </c>
      <c r="L87">
        <f t="shared" si="5"/>
        <v>2025</v>
      </c>
    </row>
    <row r="88" spans="1:12" x14ac:dyDescent="0.3">
      <c r="A88" t="s">
        <v>714</v>
      </c>
      <c r="B88" t="s">
        <v>495</v>
      </c>
      <c r="C88" t="s">
        <v>58</v>
      </c>
      <c r="D88">
        <v>2</v>
      </c>
      <c r="E88" s="1">
        <v>45828</v>
      </c>
      <c r="F88" t="s">
        <v>625</v>
      </c>
      <c r="G88">
        <v>4</v>
      </c>
      <c r="H88" t="s">
        <v>581</v>
      </c>
      <c r="I88" t="s">
        <v>570</v>
      </c>
      <c r="J88" t="str">
        <f t="shared" si="3"/>
        <v>June</v>
      </c>
      <c r="K88" t="str">
        <f t="shared" si="4"/>
        <v>Q2</v>
      </c>
      <c r="L88">
        <f t="shared" si="5"/>
        <v>2025</v>
      </c>
    </row>
    <row r="89" spans="1:12" x14ac:dyDescent="0.3">
      <c r="A89" t="s">
        <v>715</v>
      </c>
      <c r="B89" t="s">
        <v>716</v>
      </c>
      <c r="C89" t="s">
        <v>244</v>
      </c>
      <c r="D89">
        <v>1</v>
      </c>
      <c r="E89" s="1">
        <v>45678</v>
      </c>
      <c r="F89" t="s">
        <v>586</v>
      </c>
      <c r="G89">
        <v>1</v>
      </c>
      <c r="H89" t="s">
        <v>569</v>
      </c>
      <c r="I89" t="s">
        <v>570</v>
      </c>
      <c r="J89" t="str">
        <f t="shared" si="3"/>
        <v>January</v>
      </c>
      <c r="K89" t="str">
        <f t="shared" si="4"/>
        <v>Q1</v>
      </c>
      <c r="L89">
        <f t="shared" si="5"/>
        <v>2025</v>
      </c>
    </row>
    <row r="90" spans="1:12" x14ac:dyDescent="0.3">
      <c r="A90" t="s">
        <v>717</v>
      </c>
      <c r="B90" t="s">
        <v>718</v>
      </c>
      <c r="C90" t="s">
        <v>22</v>
      </c>
      <c r="D90">
        <v>1</v>
      </c>
      <c r="E90" s="1">
        <v>45850</v>
      </c>
      <c r="F90" t="s">
        <v>572</v>
      </c>
      <c r="G90">
        <v>3</v>
      </c>
      <c r="H90" t="s">
        <v>578</v>
      </c>
      <c r="I90" t="s">
        <v>570</v>
      </c>
      <c r="J90" t="str">
        <f t="shared" si="3"/>
        <v>July</v>
      </c>
      <c r="K90" t="str">
        <f t="shared" si="4"/>
        <v>Q3</v>
      </c>
      <c r="L90">
        <f t="shared" si="5"/>
        <v>2025</v>
      </c>
    </row>
    <row r="91" spans="1:12" x14ac:dyDescent="0.3">
      <c r="A91" t="s">
        <v>719</v>
      </c>
      <c r="B91" t="s">
        <v>718</v>
      </c>
      <c r="C91" t="s">
        <v>22</v>
      </c>
      <c r="D91">
        <v>2</v>
      </c>
      <c r="E91" s="1">
        <v>45856</v>
      </c>
      <c r="F91" t="s">
        <v>603</v>
      </c>
      <c r="G91">
        <v>2</v>
      </c>
      <c r="H91" t="s">
        <v>569</v>
      </c>
      <c r="I91" t="s">
        <v>570</v>
      </c>
      <c r="J91" t="str">
        <f t="shared" si="3"/>
        <v>July</v>
      </c>
      <c r="K91" t="str">
        <f t="shared" si="4"/>
        <v>Q3</v>
      </c>
      <c r="L91">
        <f t="shared" si="5"/>
        <v>2025</v>
      </c>
    </row>
    <row r="92" spans="1:12" x14ac:dyDescent="0.3">
      <c r="A92" t="s">
        <v>720</v>
      </c>
      <c r="B92" t="s">
        <v>721</v>
      </c>
      <c r="C92" t="s">
        <v>127</v>
      </c>
      <c r="D92">
        <v>1</v>
      </c>
      <c r="E92" s="1">
        <v>45966</v>
      </c>
      <c r="F92" t="s">
        <v>584</v>
      </c>
      <c r="G92">
        <v>4</v>
      </c>
      <c r="H92" t="s">
        <v>581</v>
      </c>
      <c r="I92" t="s">
        <v>570</v>
      </c>
      <c r="J92" t="str">
        <f t="shared" si="3"/>
        <v>November</v>
      </c>
      <c r="K92" t="str">
        <f t="shared" si="4"/>
        <v>Q4</v>
      </c>
      <c r="L92">
        <f t="shared" si="5"/>
        <v>2025</v>
      </c>
    </row>
    <row r="93" spans="1:12" x14ac:dyDescent="0.3">
      <c r="A93" t="s">
        <v>722</v>
      </c>
      <c r="B93" t="s">
        <v>721</v>
      </c>
      <c r="C93" t="s">
        <v>127</v>
      </c>
      <c r="D93">
        <v>2</v>
      </c>
      <c r="E93" s="1">
        <v>45976</v>
      </c>
      <c r="F93" t="s">
        <v>629</v>
      </c>
      <c r="G93">
        <v>2</v>
      </c>
      <c r="H93" t="s">
        <v>569</v>
      </c>
      <c r="I93" t="s">
        <v>608</v>
      </c>
      <c r="J93" t="str">
        <f t="shared" si="3"/>
        <v>November</v>
      </c>
      <c r="K93" t="str">
        <f t="shared" si="4"/>
        <v>Q4</v>
      </c>
      <c r="L93">
        <f t="shared" si="5"/>
        <v>2025</v>
      </c>
    </row>
    <row r="94" spans="1:12" x14ac:dyDescent="0.3">
      <c r="A94" t="s">
        <v>723</v>
      </c>
      <c r="B94" t="s">
        <v>721</v>
      </c>
      <c r="C94" t="s">
        <v>127</v>
      </c>
      <c r="D94">
        <v>3</v>
      </c>
      <c r="E94" s="1">
        <v>45985</v>
      </c>
      <c r="F94" t="s">
        <v>584</v>
      </c>
      <c r="G94">
        <v>4</v>
      </c>
      <c r="H94" t="s">
        <v>581</v>
      </c>
      <c r="I94" t="s">
        <v>570</v>
      </c>
      <c r="J94" t="str">
        <f t="shared" si="3"/>
        <v>November</v>
      </c>
      <c r="K94" t="str">
        <f t="shared" si="4"/>
        <v>Q4</v>
      </c>
      <c r="L94">
        <f t="shared" si="5"/>
        <v>2025</v>
      </c>
    </row>
    <row r="95" spans="1:12" x14ac:dyDescent="0.3">
      <c r="A95" t="s">
        <v>724</v>
      </c>
      <c r="B95" t="s">
        <v>725</v>
      </c>
      <c r="C95" t="s">
        <v>92</v>
      </c>
      <c r="D95">
        <v>1</v>
      </c>
      <c r="E95" s="1">
        <v>45766</v>
      </c>
      <c r="F95" t="s">
        <v>612</v>
      </c>
      <c r="G95">
        <v>3</v>
      </c>
      <c r="H95" t="s">
        <v>578</v>
      </c>
      <c r="I95" t="s">
        <v>570</v>
      </c>
      <c r="J95" t="str">
        <f t="shared" si="3"/>
        <v>April</v>
      </c>
      <c r="K95" t="str">
        <f t="shared" si="4"/>
        <v>Q2</v>
      </c>
      <c r="L95">
        <f t="shared" si="5"/>
        <v>2025</v>
      </c>
    </row>
    <row r="96" spans="1:12" x14ac:dyDescent="0.3">
      <c r="A96" t="s">
        <v>726</v>
      </c>
      <c r="B96" t="s">
        <v>489</v>
      </c>
      <c r="C96" t="s">
        <v>51</v>
      </c>
      <c r="D96">
        <v>1</v>
      </c>
      <c r="E96" s="1">
        <v>45961</v>
      </c>
      <c r="F96" t="s">
        <v>568</v>
      </c>
      <c r="G96">
        <v>4</v>
      </c>
      <c r="H96" t="s">
        <v>581</v>
      </c>
      <c r="I96" t="s">
        <v>570</v>
      </c>
      <c r="J96" t="str">
        <f t="shared" si="3"/>
        <v>October</v>
      </c>
      <c r="K96" t="str">
        <f t="shared" si="4"/>
        <v>Q4</v>
      </c>
      <c r="L96">
        <f t="shared" si="5"/>
        <v>2025</v>
      </c>
    </row>
    <row r="97" spans="1:12" x14ac:dyDescent="0.3">
      <c r="A97" t="s">
        <v>727</v>
      </c>
      <c r="B97" t="s">
        <v>728</v>
      </c>
      <c r="C97" t="s">
        <v>96</v>
      </c>
      <c r="D97">
        <v>1</v>
      </c>
      <c r="E97" s="1">
        <v>45877</v>
      </c>
      <c r="F97" t="s">
        <v>572</v>
      </c>
      <c r="G97">
        <v>1</v>
      </c>
      <c r="H97" t="s">
        <v>569</v>
      </c>
      <c r="I97" t="s">
        <v>570</v>
      </c>
      <c r="J97" t="str">
        <f t="shared" si="3"/>
        <v>August</v>
      </c>
      <c r="K97" t="str">
        <f t="shared" si="4"/>
        <v>Q3</v>
      </c>
      <c r="L97">
        <f t="shared" si="5"/>
        <v>2025</v>
      </c>
    </row>
    <row r="98" spans="1:12" x14ac:dyDescent="0.3">
      <c r="A98" t="s">
        <v>729</v>
      </c>
      <c r="B98" t="s">
        <v>728</v>
      </c>
      <c r="C98" t="s">
        <v>96</v>
      </c>
      <c r="D98">
        <v>2</v>
      </c>
      <c r="E98" s="1">
        <v>45882</v>
      </c>
      <c r="F98" t="s">
        <v>572</v>
      </c>
      <c r="G98">
        <v>2</v>
      </c>
      <c r="H98" t="s">
        <v>569</v>
      </c>
      <c r="I98" t="s">
        <v>570</v>
      </c>
      <c r="J98" t="str">
        <f t="shared" si="3"/>
        <v>August</v>
      </c>
      <c r="K98" t="str">
        <f t="shared" si="4"/>
        <v>Q3</v>
      </c>
      <c r="L98">
        <f t="shared" si="5"/>
        <v>2025</v>
      </c>
    </row>
    <row r="99" spans="1:12" x14ac:dyDescent="0.3">
      <c r="A99" t="s">
        <v>730</v>
      </c>
      <c r="B99" t="s">
        <v>731</v>
      </c>
      <c r="C99" t="s">
        <v>51</v>
      </c>
      <c r="D99">
        <v>1</v>
      </c>
      <c r="E99" s="1">
        <v>45950</v>
      </c>
      <c r="F99" t="s">
        <v>586</v>
      </c>
      <c r="G99">
        <v>2</v>
      </c>
      <c r="H99" t="s">
        <v>569</v>
      </c>
      <c r="I99" t="s">
        <v>570</v>
      </c>
      <c r="J99" t="str">
        <f t="shared" si="3"/>
        <v>October</v>
      </c>
      <c r="K99" t="str">
        <f t="shared" si="4"/>
        <v>Q4</v>
      </c>
      <c r="L99">
        <f t="shared" si="5"/>
        <v>2025</v>
      </c>
    </row>
    <row r="100" spans="1:12" x14ac:dyDescent="0.3">
      <c r="A100" t="s">
        <v>732</v>
      </c>
      <c r="B100" t="s">
        <v>731</v>
      </c>
      <c r="C100" t="s">
        <v>51</v>
      </c>
      <c r="D100">
        <v>2</v>
      </c>
      <c r="E100" s="1">
        <v>45959</v>
      </c>
      <c r="F100" t="s">
        <v>586</v>
      </c>
      <c r="G100">
        <v>1</v>
      </c>
      <c r="H100" t="s">
        <v>569</v>
      </c>
      <c r="I100" t="s">
        <v>570</v>
      </c>
      <c r="J100" t="str">
        <f t="shared" si="3"/>
        <v>October</v>
      </c>
      <c r="K100" t="str">
        <f t="shared" si="4"/>
        <v>Q4</v>
      </c>
      <c r="L100">
        <f t="shared" si="5"/>
        <v>2025</v>
      </c>
    </row>
    <row r="101" spans="1:12" x14ac:dyDescent="0.3">
      <c r="A101" t="s">
        <v>733</v>
      </c>
      <c r="B101" t="s">
        <v>731</v>
      </c>
      <c r="C101" t="s">
        <v>51</v>
      </c>
      <c r="D101">
        <v>3</v>
      </c>
      <c r="E101" s="1">
        <v>45971</v>
      </c>
      <c r="F101" t="s">
        <v>663</v>
      </c>
      <c r="G101">
        <v>1</v>
      </c>
      <c r="H101" t="s">
        <v>569</v>
      </c>
      <c r="I101" t="s">
        <v>570</v>
      </c>
      <c r="J101" t="str">
        <f t="shared" si="3"/>
        <v>November</v>
      </c>
      <c r="K101" t="str">
        <f t="shared" si="4"/>
        <v>Q4</v>
      </c>
      <c r="L101">
        <f t="shared" si="5"/>
        <v>2025</v>
      </c>
    </row>
    <row r="102" spans="1:12" x14ac:dyDescent="0.3">
      <c r="A102" t="s">
        <v>734</v>
      </c>
      <c r="B102" t="s">
        <v>735</v>
      </c>
      <c r="C102" t="s">
        <v>337</v>
      </c>
      <c r="D102">
        <v>1</v>
      </c>
      <c r="E102" s="1">
        <v>45852</v>
      </c>
      <c r="F102" t="s">
        <v>596</v>
      </c>
      <c r="G102">
        <v>2</v>
      </c>
      <c r="H102" t="s">
        <v>569</v>
      </c>
      <c r="I102" t="s">
        <v>570</v>
      </c>
      <c r="J102" t="str">
        <f t="shared" si="3"/>
        <v>July</v>
      </c>
      <c r="K102" t="str">
        <f t="shared" si="4"/>
        <v>Q3</v>
      </c>
      <c r="L102">
        <f t="shared" si="5"/>
        <v>2025</v>
      </c>
    </row>
    <row r="103" spans="1:12" x14ac:dyDescent="0.3">
      <c r="A103" t="s">
        <v>736</v>
      </c>
      <c r="B103" t="s">
        <v>735</v>
      </c>
      <c r="C103" t="s">
        <v>337</v>
      </c>
      <c r="D103">
        <v>2</v>
      </c>
      <c r="E103" s="1">
        <v>45863</v>
      </c>
      <c r="F103" t="s">
        <v>638</v>
      </c>
      <c r="G103">
        <v>4</v>
      </c>
      <c r="H103" t="s">
        <v>581</v>
      </c>
      <c r="I103" t="s">
        <v>570</v>
      </c>
      <c r="J103" t="str">
        <f t="shared" si="3"/>
        <v>July</v>
      </c>
      <c r="K103" t="str">
        <f t="shared" si="4"/>
        <v>Q3</v>
      </c>
      <c r="L103">
        <f t="shared" si="5"/>
        <v>2025</v>
      </c>
    </row>
    <row r="104" spans="1:12" x14ac:dyDescent="0.3">
      <c r="A104" t="s">
        <v>737</v>
      </c>
      <c r="B104" t="s">
        <v>735</v>
      </c>
      <c r="C104" t="s">
        <v>337</v>
      </c>
      <c r="D104">
        <v>3</v>
      </c>
      <c r="E104" s="1">
        <v>45873</v>
      </c>
      <c r="F104" t="s">
        <v>621</v>
      </c>
      <c r="G104">
        <v>2</v>
      </c>
      <c r="H104" t="s">
        <v>569</v>
      </c>
      <c r="I104" t="s">
        <v>570</v>
      </c>
      <c r="J104" t="str">
        <f t="shared" si="3"/>
        <v>August</v>
      </c>
      <c r="K104" t="str">
        <f t="shared" si="4"/>
        <v>Q3</v>
      </c>
      <c r="L104">
        <f t="shared" si="5"/>
        <v>2025</v>
      </c>
    </row>
    <row r="105" spans="1:12" x14ac:dyDescent="0.3">
      <c r="A105" t="s">
        <v>738</v>
      </c>
      <c r="B105" t="s">
        <v>735</v>
      </c>
      <c r="C105" t="s">
        <v>337</v>
      </c>
      <c r="D105">
        <v>4</v>
      </c>
      <c r="E105" s="1">
        <v>45878</v>
      </c>
      <c r="F105" t="s">
        <v>572</v>
      </c>
      <c r="G105">
        <v>3</v>
      </c>
      <c r="H105" t="s">
        <v>578</v>
      </c>
      <c r="I105" t="s">
        <v>570</v>
      </c>
      <c r="J105" t="str">
        <f t="shared" si="3"/>
        <v>August</v>
      </c>
      <c r="K105" t="str">
        <f t="shared" si="4"/>
        <v>Q3</v>
      </c>
      <c r="L105">
        <f t="shared" si="5"/>
        <v>2025</v>
      </c>
    </row>
    <row r="106" spans="1:12" x14ac:dyDescent="0.3">
      <c r="A106" t="s">
        <v>739</v>
      </c>
      <c r="B106" t="s">
        <v>740</v>
      </c>
      <c r="C106" t="s">
        <v>191</v>
      </c>
      <c r="D106">
        <v>1</v>
      </c>
      <c r="E106" s="1">
        <v>45679</v>
      </c>
      <c r="F106" t="s">
        <v>741</v>
      </c>
      <c r="G106">
        <v>3</v>
      </c>
      <c r="H106" t="s">
        <v>578</v>
      </c>
      <c r="I106" t="s">
        <v>570</v>
      </c>
      <c r="J106" t="str">
        <f t="shared" si="3"/>
        <v>January</v>
      </c>
      <c r="K106" t="str">
        <f t="shared" si="4"/>
        <v>Q1</v>
      </c>
      <c r="L106">
        <f t="shared" si="5"/>
        <v>2025</v>
      </c>
    </row>
    <row r="107" spans="1:12" x14ac:dyDescent="0.3">
      <c r="A107" t="s">
        <v>742</v>
      </c>
      <c r="B107" t="s">
        <v>740</v>
      </c>
      <c r="C107" t="s">
        <v>191</v>
      </c>
      <c r="D107">
        <v>2</v>
      </c>
      <c r="E107" s="1">
        <v>45686</v>
      </c>
      <c r="F107" t="s">
        <v>743</v>
      </c>
      <c r="G107">
        <v>3</v>
      </c>
      <c r="H107" t="s">
        <v>578</v>
      </c>
      <c r="I107" t="s">
        <v>570</v>
      </c>
      <c r="J107" t="str">
        <f t="shared" si="3"/>
        <v>January</v>
      </c>
      <c r="K107" t="str">
        <f t="shared" si="4"/>
        <v>Q1</v>
      </c>
      <c r="L107">
        <f t="shared" si="5"/>
        <v>2025</v>
      </c>
    </row>
    <row r="108" spans="1:12" x14ac:dyDescent="0.3">
      <c r="A108" t="s">
        <v>744</v>
      </c>
      <c r="B108" t="s">
        <v>745</v>
      </c>
      <c r="C108" t="s">
        <v>244</v>
      </c>
      <c r="D108">
        <v>1</v>
      </c>
      <c r="E108" s="1">
        <v>45675</v>
      </c>
      <c r="F108" t="s">
        <v>586</v>
      </c>
      <c r="G108">
        <v>4</v>
      </c>
      <c r="H108" t="s">
        <v>581</v>
      </c>
      <c r="I108" t="s">
        <v>570</v>
      </c>
      <c r="J108" t="str">
        <f t="shared" si="3"/>
        <v>January</v>
      </c>
      <c r="K108" t="str">
        <f t="shared" si="4"/>
        <v>Q1</v>
      </c>
      <c r="L108">
        <f t="shared" si="5"/>
        <v>2025</v>
      </c>
    </row>
    <row r="109" spans="1:12" x14ac:dyDescent="0.3">
      <c r="A109" t="s">
        <v>746</v>
      </c>
      <c r="B109" t="s">
        <v>745</v>
      </c>
      <c r="C109" t="s">
        <v>244</v>
      </c>
      <c r="D109">
        <v>2</v>
      </c>
      <c r="E109" s="1">
        <v>45682</v>
      </c>
      <c r="F109" t="s">
        <v>596</v>
      </c>
      <c r="G109">
        <v>3</v>
      </c>
      <c r="H109" t="s">
        <v>578</v>
      </c>
      <c r="I109" t="s">
        <v>570</v>
      </c>
      <c r="J109" t="str">
        <f t="shared" si="3"/>
        <v>January</v>
      </c>
      <c r="K109" t="str">
        <f t="shared" si="4"/>
        <v>Q1</v>
      </c>
      <c r="L109">
        <f t="shared" si="5"/>
        <v>2025</v>
      </c>
    </row>
    <row r="110" spans="1:12" x14ac:dyDescent="0.3">
      <c r="A110" t="s">
        <v>747</v>
      </c>
      <c r="B110" t="s">
        <v>748</v>
      </c>
      <c r="C110" t="s">
        <v>251</v>
      </c>
      <c r="D110">
        <v>1</v>
      </c>
      <c r="E110" s="1">
        <v>45814</v>
      </c>
      <c r="F110" t="s">
        <v>584</v>
      </c>
      <c r="G110">
        <v>3</v>
      </c>
      <c r="H110" t="s">
        <v>578</v>
      </c>
      <c r="I110" t="s">
        <v>570</v>
      </c>
      <c r="J110" t="str">
        <f t="shared" si="3"/>
        <v>June</v>
      </c>
      <c r="K110" t="str">
        <f t="shared" si="4"/>
        <v>Q2</v>
      </c>
      <c r="L110">
        <f t="shared" si="5"/>
        <v>2025</v>
      </c>
    </row>
    <row r="111" spans="1:12" x14ac:dyDescent="0.3">
      <c r="A111" t="s">
        <v>749</v>
      </c>
      <c r="B111" t="s">
        <v>748</v>
      </c>
      <c r="C111" t="s">
        <v>251</v>
      </c>
      <c r="D111">
        <v>2</v>
      </c>
      <c r="E111" s="1">
        <v>45820</v>
      </c>
      <c r="F111" t="s">
        <v>632</v>
      </c>
      <c r="G111">
        <v>3</v>
      </c>
      <c r="H111" t="s">
        <v>578</v>
      </c>
      <c r="I111" t="s">
        <v>570</v>
      </c>
      <c r="J111" t="str">
        <f t="shared" si="3"/>
        <v>June</v>
      </c>
      <c r="K111" t="str">
        <f t="shared" si="4"/>
        <v>Q2</v>
      </c>
      <c r="L111">
        <f t="shared" si="5"/>
        <v>2025</v>
      </c>
    </row>
    <row r="112" spans="1:12" x14ac:dyDescent="0.3">
      <c r="A112" t="s">
        <v>750</v>
      </c>
      <c r="B112" t="s">
        <v>748</v>
      </c>
      <c r="C112" t="s">
        <v>251</v>
      </c>
      <c r="D112">
        <v>3</v>
      </c>
      <c r="E112" s="1">
        <v>45832</v>
      </c>
      <c r="F112" t="s">
        <v>625</v>
      </c>
      <c r="G112">
        <v>2</v>
      </c>
      <c r="H112" t="s">
        <v>569</v>
      </c>
      <c r="I112" t="s">
        <v>608</v>
      </c>
      <c r="J112" t="str">
        <f t="shared" si="3"/>
        <v>June</v>
      </c>
      <c r="K112" t="str">
        <f t="shared" si="4"/>
        <v>Q2</v>
      </c>
      <c r="L112">
        <f t="shared" si="5"/>
        <v>2025</v>
      </c>
    </row>
    <row r="113" spans="1:12" x14ac:dyDescent="0.3">
      <c r="A113" t="s">
        <v>751</v>
      </c>
      <c r="B113" t="s">
        <v>748</v>
      </c>
      <c r="C113" t="s">
        <v>251</v>
      </c>
      <c r="D113">
        <v>4</v>
      </c>
      <c r="E113" s="1">
        <v>45842</v>
      </c>
      <c r="F113" t="s">
        <v>625</v>
      </c>
      <c r="G113">
        <v>3</v>
      </c>
      <c r="H113" t="s">
        <v>578</v>
      </c>
      <c r="I113" t="s">
        <v>570</v>
      </c>
      <c r="J113" t="str">
        <f t="shared" si="3"/>
        <v>July</v>
      </c>
      <c r="K113" t="str">
        <f t="shared" si="4"/>
        <v>Q3</v>
      </c>
      <c r="L113">
        <f t="shared" si="5"/>
        <v>2025</v>
      </c>
    </row>
    <row r="114" spans="1:12" x14ac:dyDescent="0.3">
      <c r="A114" t="s">
        <v>752</v>
      </c>
      <c r="B114" t="s">
        <v>515</v>
      </c>
      <c r="C114" t="s">
        <v>37</v>
      </c>
      <c r="D114">
        <v>1</v>
      </c>
      <c r="E114" s="1">
        <v>45710</v>
      </c>
      <c r="F114" t="s">
        <v>572</v>
      </c>
      <c r="G114">
        <v>4</v>
      </c>
      <c r="H114" t="s">
        <v>581</v>
      </c>
      <c r="I114" t="s">
        <v>570</v>
      </c>
      <c r="J114" t="str">
        <f t="shared" si="3"/>
        <v>February</v>
      </c>
      <c r="K114" t="str">
        <f t="shared" si="4"/>
        <v>Q1</v>
      </c>
      <c r="L114">
        <f t="shared" si="5"/>
        <v>2025</v>
      </c>
    </row>
    <row r="115" spans="1:12" x14ac:dyDescent="0.3">
      <c r="A115" t="s">
        <v>753</v>
      </c>
      <c r="B115" t="s">
        <v>515</v>
      </c>
      <c r="C115" t="s">
        <v>37</v>
      </c>
      <c r="D115">
        <v>2</v>
      </c>
      <c r="E115" s="1">
        <v>45720</v>
      </c>
      <c r="F115" t="s">
        <v>572</v>
      </c>
      <c r="G115">
        <v>4</v>
      </c>
      <c r="H115" t="s">
        <v>581</v>
      </c>
      <c r="I115" t="s">
        <v>570</v>
      </c>
      <c r="J115" t="str">
        <f t="shared" si="3"/>
        <v>March</v>
      </c>
      <c r="K115" t="str">
        <f t="shared" si="4"/>
        <v>Q1</v>
      </c>
      <c r="L115">
        <f t="shared" si="5"/>
        <v>2025</v>
      </c>
    </row>
    <row r="116" spans="1:12" x14ac:dyDescent="0.3">
      <c r="A116" t="s">
        <v>754</v>
      </c>
      <c r="B116" t="s">
        <v>755</v>
      </c>
      <c r="C116" t="s">
        <v>147</v>
      </c>
      <c r="D116">
        <v>1</v>
      </c>
      <c r="E116" s="1">
        <v>45824</v>
      </c>
      <c r="F116" t="s">
        <v>568</v>
      </c>
      <c r="G116">
        <v>2</v>
      </c>
      <c r="H116" t="s">
        <v>569</v>
      </c>
      <c r="I116" t="s">
        <v>570</v>
      </c>
      <c r="J116" t="str">
        <f t="shared" si="3"/>
        <v>June</v>
      </c>
      <c r="K116" t="str">
        <f t="shared" si="4"/>
        <v>Q2</v>
      </c>
      <c r="L116">
        <f t="shared" si="5"/>
        <v>2025</v>
      </c>
    </row>
    <row r="117" spans="1:12" x14ac:dyDescent="0.3">
      <c r="A117" t="s">
        <v>756</v>
      </c>
      <c r="B117" t="s">
        <v>755</v>
      </c>
      <c r="C117" t="s">
        <v>147</v>
      </c>
      <c r="D117">
        <v>2</v>
      </c>
      <c r="E117" s="1">
        <v>45831</v>
      </c>
      <c r="F117" t="s">
        <v>580</v>
      </c>
      <c r="G117">
        <v>1</v>
      </c>
      <c r="H117" t="s">
        <v>569</v>
      </c>
      <c r="I117" t="s">
        <v>570</v>
      </c>
      <c r="J117" t="str">
        <f t="shared" si="3"/>
        <v>June</v>
      </c>
      <c r="K117" t="str">
        <f t="shared" si="4"/>
        <v>Q2</v>
      </c>
      <c r="L117">
        <f t="shared" si="5"/>
        <v>2025</v>
      </c>
    </row>
    <row r="118" spans="1:12" x14ac:dyDescent="0.3">
      <c r="A118" t="s">
        <v>757</v>
      </c>
      <c r="B118" t="s">
        <v>758</v>
      </c>
      <c r="C118" t="s">
        <v>41</v>
      </c>
      <c r="D118">
        <v>1</v>
      </c>
      <c r="E118" s="1">
        <v>45830</v>
      </c>
      <c r="F118" t="s">
        <v>612</v>
      </c>
      <c r="G118">
        <v>2</v>
      </c>
      <c r="H118" t="s">
        <v>569</v>
      </c>
      <c r="I118" t="s">
        <v>570</v>
      </c>
      <c r="J118" t="str">
        <f t="shared" si="3"/>
        <v>June</v>
      </c>
      <c r="K118" t="str">
        <f t="shared" si="4"/>
        <v>Q2</v>
      </c>
      <c r="L118">
        <f t="shared" si="5"/>
        <v>2025</v>
      </c>
    </row>
    <row r="119" spans="1:12" x14ac:dyDescent="0.3">
      <c r="A119" t="s">
        <v>759</v>
      </c>
      <c r="B119" t="s">
        <v>758</v>
      </c>
      <c r="C119" t="s">
        <v>41</v>
      </c>
      <c r="D119">
        <v>2</v>
      </c>
      <c r="E119" s="1">
        <v>45839</v>
      </c>
      <c r="F119" t="s">
        <v>603</v>
      </c>
      <c r="G119">
        <v>1</v>
      </c>
      <c r="H119" t="s">
        <v>569</v>
      </c>
      <c r="I119" t="s">
        <v>597</v>
      </c>
      <c r="J119" t="str">
        <f t="shared" si="3"/>
        <v>July</v>
      </c>
      <c r="K119" t="str">
        <f t="shared" si="4"/>
        <v>Q3</v>
      </c>
      <c r="L119">
        <f t="shared" si="5"/>
        <v>2025</v>
      </c>
    </row>
    <row r="120" spans="1:12" x14ac:dyDescent="0.3">
      <c r="A120" t="s">
        <v>760</v>
      </c>
      <c r="B120" t="s">
        <v>761</v>
      </c>
      <c r="C120" t="s">
        <v>37</v>
      </c>
      <c r="D120">
        <v>1</v>
      </c>
      <c r="E120" s="1">
        <v>45717</v>
      </c>
      <c r="F120" t="s">
        <v>568</v>
      </c>
      <c r="G120">
        <v>4</v>
      </c>
      <c r="H120" t="s">
        <v>581</v>
      </c>
      <c r="I120" t="s">
        <v>570</v>
      </c>
      <c r="J120" t="str">
        <f t="shared" si="3"/>
        <v>March</v>
      </c>
      <c r="K120" t="str">
        <f t="shared" si="4"/>
        <v>Q1</v>
      </c>
      <c r="L120">
        <f t="shared" si="5"/>
        <v>2025</v>
      </c>
    </row>
    <row r="121" spans="1:12" x14ac:dyDescent="0.3">
      <c r="A121" t="s">
        <v>762</v>
      </c>
      <c r="B121" t="s">
        <v>761</v>
      </c>
      <c r="C121" t="s">
        <v>37</v>
      </c>
      <c r="D121">
        <v>2</v>
      </c>
      <c r="E121" s="1">
        <v>45723</v>
      </c>
      <c r="F121" t="s">
        <v>568</v>
      </c>
      <c r="G121">
        <v>3</v>
      </c>
      <c r="H121" t="s">
        <v>578</v>
      </c>
      <c r="I121" t="s">
        <v>597</v>
      </c>
      <c r="J121" t="str">
        <f t="shared" si="3"/>
        <v>March</v>
      </c>
      <c r="K121" t="str">
        <f t="shared" si="4"/>
        <v>Q1</v>
      </c>
      <c r="L121">
        <f t="shared" si="5"/>
        <v>2025</v>
      </c>
    </row>
    <row r="122" spans="1:12" x14ac:dyDescent="0.3">
      <c r="A122" t="s">
        <v>763</v>
      </c>
      <c r="B122" t="s">
        <v>764</v>
      </c>
      <c r="C122" t="s">
        <v>123</v>
      </c>
      <c r="D122">
        <v>1</v>
      </c>
      <c r="E122" s="1">
        <v>45792</v>
      </c>
      <c r="F122" t="s">
        <v>592</v>
      </c>
      <c r="G122">
        <v>2</v>
      </c>
      <c r="H122" t="s">
        <v>569</v>
      </c>
      <c r="I122" t="s">
        <v>570</v>
      </c>
      <c r="J122" t="str">
        <f t="shared" si="3"/>
        <v>May</v>
      </c>
      <c r="K122" t="str">
        <f t="shared" si="4"/>
        <v>Q2</v>
      </c>
      <c r="L122">
        <f t="shared" si="5"/>
        <v>2025</v>
      </c>
    </row>
    <row r="123" spans="1:12" x14ac:dyDescent="0.3">
      <c r="A123" t="s">
        <v>765</v>
      </c>
      <c r="B123" t="s">
        <v>764</v>
      </c>
      <c r="C123" t="s">
        <v>123</v>
      </c>
      <c r="D123">
        <v>2</v>
      </c>
      <c r="E123" s="1">
        <v>45796</v>
      </c>
      <c r="F123" t="s">
        <v>766</v>
      </c>
      <c r="G123">
        <v>4</v>
      </c>
      <c r="H123" t="s">
        <v>581</v>
      </c>
      <c r="I123" t="s">
        <v>570</v>
      </c>
      <c r="J123" t="str">
        <f t="shared" si="3"/>
        <v>May</v>
      </c>
      <c r="K123" t="str">
        <f t="shared" si="4"/>
        <v>Q2</v>
      </c>
      <c r="L123">
        <f t="shared" si="5"/>
        <v>2025</v>
      </c>
    </row>
    <row r="124" spans="1:12" x14ac:dyDescent="0.3">
      <c r="A124" t="s">
        <v>767</v>
      </c>
      <c r="B124" t="s">
        <v>764</v>
      </c>
      <c r="C124" t="s">
        <v>123</v>
      </c>
      <c r="D124">
        <v>3</v>
      </c>
      <c r="E124" s="1">
        <v>45802</v>
      </c>
      <c r="G124">
        <v>2</v>
      </c>
      <c r="H124" t="s">
        <v>569</v>
      </c>
      <c r="I124" t="s">
        <v>570</v>
      </c>
      <c r="J124" t="str">
        <f t="shared" si="3"/>
        <v>May</v>
      </c>
      <c r="K124" t="str">
        <f t="shared" si="4"/>
        <v>Q2</v>
      </c>
      <c r="L124">
        <f t="shared" si="5"/>
        <v>2025</v>
      </c>
    </row>
    <row r="125" spans="1:12" x14ac:dyDescent="0.3">
      <c r="A125" t="s">
        <v>768</v>
      </c>
      <c r="B125" t="s">
        <v>769</v>
      </c>
      <c r="C125" t="s">
        <v>260</v>
      </c>
      <c r="D125">
        <v>1</v>
      </c>
      <c r="E125" s="1">
        <v>45739</v>
      </c>
      <c r="F125" t="s">
        <v>603</v>
      </c>
      <c r="G125">
        <v>3</v>
      </c>
      <c r="H125" t="s">
        <v>578</v>
      </c>
      <c r="I125" t="s">
        <v>570</v>
      </c>
      <c r="J125" t="str">
        <f t="shared" si="3"/>
        <v>March</v>
      </c>
      <c r="K125" t="str">
        <f t="shared" si="4"/>
        <v>Q1</v>
      </c>
      <c r="L125">
        <f t="shared" si="5"/>
        <v>2025</v>
      </c>
    </row>
    <row r="126" spans="1:12" x14ac:dyDescent="0.3">
      <c r="A126" t="s">
        <v>770</v>
      </c>
      <c r="B126" t="s">
        <v>769</v>
      </c>
      <c r="C126" t="s">
        <v>260</v>
      </c>
      <c r="D126">
        <v>2</v>
      </c>
      <c r="E126" s="1">
        <v>45743</v>
      </c>
      <c r="F126" t="s">
        <v>612</v>
      </c>
      <c r="G126">
        <v>1</v>
      </c>
      <c r="H126" t="s">
        <v>569</v>
      </c>
      <c r="I126" t="s">
        <v>570</v>
      </c>
      <c r="J126" t="str">
        <f t="shared" si="3"/>
        <v>March</v>
      </c>
      <c r="K126" t="str">
        <f t="shared" si="4"/>
        <v>Q1</v>
      </c>
      <c r="L126">
        <f t="shared" si="5"/>
        <v>2025</v>
      </c>
    </row>
    <row r="127" spans="1:12" x14ac:dyDescent="0.3">
      <c r="A127" t="s">
        <v>771</v>
      </c>
      <c r="B127" t="s">
        <v>769</v>
      </c>
      <c r="C127" t="s">
        <v>260</v>
      </c>
      <c r="D127">
        <v>3</v>
      </c>
      <c r="E127" s="1">
        <v>45754</v>
      </c>
      <c r="F127" t="s">
        <v>572</v>
      </c>
      <c r="G127">
        <v>1</v>
      </c>
      <c r="H127" t="s">
        <v>569</v>
      </c>
      <c r="I127" t="s">
        <v>570</v>
      </c>
      <c r="J127" t="str">
        <f t="shared" si="3"/>
        <v>April</v>
      </c>
      <c r="K127" t="str">
        <f t="shared" si="4"/>
        <v>Q2</v>
      </c>
      <c r="L127">
        <f t="shared" si="5"/>
        <v>2025</v>
      </c>
    </row>
    <row r="128" spans="1:12" x14ac:dyDescent="0.3">
      <c r="A128" t="s">
        <v>772</v>
      </c>
      <c r="B128" t="s">
        <v>773</v>
      </c>
      <c r="C128" t="s">
        <v>10</v>
      </c>
      <c r="D128">
        <v>1</v>
      </c>
      <c r="E128" s="1">
        <v>45930</v>
      </c>
      <c r="F128" t="s">
        <v>580</v>
      </c>
      <c r="G128">
        <v>1</v>
      </c>
      <c r="H128" t="s">
        <v>569</v>
      </c>
      <c r="I128" t="s">
        <v>570</v>
      </c>
      <c r="J128" t="str">
        <f t="shared" si="3"/>
        <v>September</v>
      </c>
      <c r="K128" t="str">
        <f t="shared" si="4"/>
        <v>Q3</v>
      </c>
      <c r="L128">
        <f t="shared" si="5"/>
        <v>2025</v>
      </c>
    </row>
    <row r="129" spans="1:12" x14ac:dyDescent="0.3">
      <c r="A129" t="s">
        <v>774</v>
      </c>
      <c r="B129" t="s">
        <v>773</v>
      </c>
      <c r="C129" t="s">
        <v>10</v>
      </c>
      <c r="D129">
        <v>2</v>
      </c>
      <c r="E129" s="1">
        <v>45942</v>
      </c>
      <c r="F129" t="s">
        <v>586</v>
      </c>
      <c r="G129">
        <v>2</v>
      </c>
      <c r="H129" t="s">
        <v>569</v>
      </c>
      <c r="I129" t="s">
        <v>570</v>
      </c>
      <c r="J129" t="str">
        <f t="shared" si="3"/>
        <v>October</v>
      </c>
      <c r="K129" t="str">
        <f t="shared" si="4"/>
        <v>Q4</v>
      </c>
      <c r="L129">
        <f t="shared" si="5"/>
        <v>2025</v>
      </c>
    </row>
    <row r="130" spans="1:12" x14ac:dyDescent="0.3">
      <c r="A130" t="s">
        <v>775</v>
      </c>
      <c r="B130" t="s">
        <v>773</v>
      </c>
      <c r="C130" t="s">
        <v>10</v>
      </c>
      <c r="D130">
        <v>3</v>
      </c>
      <c r="E130" s="1">
        <v>45950</v>
      </c>
      <c r="F130" t="s">
        <v>580</v>
      </c>
      <c r="G130">
        <v>2</v>
      </c>
      <c r="H130" t="s">
        <v>569</v>
      </c>
      <c r="I130" t="s">
        <v>597</v>
      </c>
      <c r="J130" t="str">
        <f t="shared" ref="J130:J193" si="6">TEXT(E130,"mmmm")</f>
        <v>October</v>
      </c>
      <c r="K130" t="str">
        <f t="shared" ref="K130:K193" si="7">"Q"&amp;ROUNDUP(MONTH(E130)/3,0)</f>
        <v>Q4</v>
      </c>
      <c r="L130">
        <f t="shared" ref="L130:L193" si="8">YEAR(E130)</f>
        <v>2025</v>
      </c>
    </row>
    <row r="131" spans="1:12" x14ac:dyDescent="0.3">
      <c r="A131" t="s">
        <v>776</v>
      </c>
      <c r="B131" t="s">
        <v>773</v>
      </c>
      <c r="C131" t="s">
        <v>10</v>
      </c>
      <c r="D131">
        <v>4</v>
      </c>
      <c r="E131" s="1">
        <v>45958</v>
      </c>
      <c r="F131" t="s">
        <v>580</v>
      </c>
      <c r="G131">
        <v>1</v>
      </c>
      <c r="H131" t="s">
        <v>569</v>
      </c>
      <c r="I131" t="s">
        <v>570</v>
      </c>
      <c r="J131" t="str">
        <f t="shared" si="6"/>
        <v>October</v>
      </c>
      <c r="K131" t="str">
        <f t="shared" si="7"/>
        <v>Q4</v>
      </c>
      <c r="L131">
        <f t="shared" si="8"/>
        <v>2025</v>
      </c>
    </row>
    <row r="132" spans="1:12" x14ac:dyDescent="0.3">
      <c r="A132" t="s">
        <v>777</v>
      </c>
      <c r="B132" t="s">
        <v>778</v>
      </c>
      <c r="C132" t="s">
        <v>133</v>
      </c>
      <c r="D132">
        <v>1</v>
      </c>
      <c r="E132" s="1">
        <v>45708</v>
      </c>
      <c r="F132" t="s">
        <v>629</v>
      </c>
      <c r="G132">
        <v>4</v>
      </c>
      <c r="H132" t="s">
        <v>581</v>
      </c>
      <c r="I132" t="s">
        <v>570</v>
      </c>
      <c r="J132" t="str">
        <f t="shared" si="6"/>
        <v>February</v>
      </c>
      <c r="K132" t="str">
        <f t="shared" si="7"/>
        <v>Q1</v>
      </c>
      <c r="L132">
        <f t="shared" si="8"/>
        <v>2025</v>
      </c>
    </row>
    <row r="133" spans="1:12" x14ac:dyDescent="0.3">
      <c r="A133" t="s">
        <v>779</v>
      </c>
      <c r="B133" t="s">
        <v>778</v>
      </c>
      <c r="C133" t="s">
        <v>133</v>
      </c>
      <c r="D133">
        <v>2</v>
      </c>
      <c r="E133" s="1">
        <v>45713</v>
      </c>
      <c r="F133" t="s">
        <v>625</v>
      </c>
      <c r="G133">
        <v>3</v>
      </c>
      <c r="H133" t="s">
        <v>578</v>
      </c>
      <c r="I133" t="s">
        <v>570</v>
      </c>
      <c r="J133" t="str">
        <f t="shared" si="6"/>
        <v>February</v>
      </c>
      <c r="K133" t="str">
        <f t="shared" si="7"/>
        <v>Q1</v>
      </c>
      <c r="L133">
        <f t="shared" si="8"/>
        <v>2025</v>
      </c>
    </row>
    <row r="134" spans="1:12" x14ac:dyDescent="0.3">
      <c r="A134" t="s">
        <v>780</v>
      </c>
      <c r="B134" t="s">
        <v>781</v>
      </c>
      <c r="C134" t="s">
        <v>99</v>
      </c>
      <c r="D134">
        <v>1</v>
      </c>
      <c r="E134" s="1">
        <v>45851</v>
      </c>
      <c r="F134" t="s">
        <v>649</v>
      </c>
      <c r="G134">
        <v>1</v>
      </c>
      <c r="H134" t="s">
        <v>569</v>
      </c>
      <c r="I134" t="s">
        <v>570</v>
      </c>
      <c r="J134" t="str">
        <f t="shared" si="6"/>
        <v>July</v>
      </c>
      <c r="K134" t="str">
        <f t="shared" si="7"/>
        <v>Q3</v>
      </c>
      <c r="L134">
        <f t="shared" si="8"/>
        <v>2025</v>
      </c>
    </row>
    <row r="135" spans="1:12" x14ac:dyDescent="0.3">
      <c r="A135" t="s">
        <v>782</v>
      </c>
      <c r="B135" t="s">
        <v>781</v>
      </c>
      <c r="C135" t="s">
        <v>99</v>
      </c>
      <c r="D135">
        <v>2</v>
      </c>
      <c r="E135" s="1">
        <v>45855</v>
      </c>
      <c r="F135" t="s">
        <v>656</v>
      </c>
      <c r="G135">
        <v>1</v>
      </c>
      <c r="H135" t="s">
        <v>569</v>
      </c>
      <c r="I135" t="s">
        <v>570</v>
      </c>
      <c r="J135" t="str">
        <f t="shared" si="6"/>
        <v>July</v>
      </c>
      <c r="K135" t="str">
        <f t="shared" si="7"/>
        <v>Q3</v>
      </c>
      <c r="L135">
        <f t="shared" si="8"/>
        <v>2025</v>
      </c>
    </row>
    <row r="136" spans="1:12" x14ac:dyDescent="0.3">
      <c r="A136" t="s">
        <v>783</v>
      </c>
      <c r="B136" t="s">
        <v>784</v>
      </c>
      <c r="C136" t="s">
        <v>191</v>
      </c>
      <c r="D136">
        <v>1</v>
      </c>
      <c r="E136" s="1">
        <v>45673</v>
      </c>
      <c r="F136" t="s">
        <v>600</v>
      </c>
      <c r="G136">
        <v>1</v>
      </c>
      <c r="H136" t="s">
        <v>569</v>
      </c>
      <c r="I136" t="s">
        <v>570</v>
      </c>
      <c r="J136" t="str">
        <f t="shared" si="6"/>
        <v>January</v>
      </c>
      <c r="K136" t="str">
        <f t="shared" si="7"/>
        <v>Q1</v>
      </c>
      <c r="L136">
        <f t="shared" si="8"/>
        <v>2025</v>
      </c>
    </row>
    <row r="137" spans="1:12" x14ac:dyDescent="0.3">
      <c r="A137" t="s">
        <v>785</v>
      </c>
      <c r="B137" t="s">
        <v>786</v>
      </c>
      <c r="C137" t="s">
        <v>123</v>
      </c>
      <c r="D137">
        <v>1</v>
      </c>
      <c r="E137" s="1">
        <v>45792</v>
      </c>
      <c r="F137" t="s">
        <v>632</v>
      </c>
      <c r="G137">
        <v>2</v>
      </c>
      <c r="H137" t="s">
        <v>569</v>
      </c>
      <c r="I137" t="s">
        <v>570</v>
      </c>
      <c r="J137" t="str">
        <f t="shared" si="6"/>
        <v>May</v>
      </c>
      <c r="K137" t="str">
        <f t="shared" si="7"/>
        <v>Q2</v>
      </c>
      <c r="L137">
        <f t="shared" si="8"/>
        <v>2025</v>
      </c>
    </row>
    <row r="138" spans="1:12" x14ac:dyDescent="0.3">
      <c r="A138" t="s">
        <v>787</v>
      </c>
      <c r="B138" t="s">
        <v>786</v>
      </c>
      <c r="C138" t="s">
        <v>123</v>
      </c>
      <c r="D138">
        <v>2</v>
      </c>
      <c r="E138" s="1">
        <v>45796</v>
      </c>
      <c r="F138" t="s">
        <v>592</v>
      </c>
      <c r="G138">
        <v>3</v>
      </c>
      <c r="H138" t="s">
        <v>578</v>
      </c>
      <c r="I138" t="s">
        <v>570</v>
      </c>
      <c r="J138" t="str">
        <f t="shared" si="6"/>
        <v>May</v>
      </c>
      <c r="K138" t="str">
        <f t="shared" si="7"/>
        <v>Q2</v>
      </c>
      <c r="L138">
        <f t="shared" si="8"/>
        <v>2025</v>
      </c>
    </row>
    <row r="139" spans="1:12" x14ac:dyDescent="0.3">
      <c r="A139" t="s">
        <v>788</v>
      </c>
      <c r="B139" t="s">
        <v>789</v>
      </c>
      <c r="C139" t="s">
        <v>45</v>
      </c>
      <c r="D139">
        <v>1</v>
      </c>
      <c r="E139" s="1">
        <v>45863</v>
      </c>
      <c r="F139" t="s">
        <v>766</v>
      </c>
      <c r="G139">
        <v>4</v>
      </c>
      <c r="H139" t="s">
        <v>581</v>
      </c>
      <c r="I139" t="s">
        <v>570</v>
      </c>
      <c r="J139" t="str">
        <f t="shared" si="6"/>
        <v>July</v>
      </c>
      <c r="K139" t="str">
        <f t="shared" si="7"/>
        <v>Q3</v>
      </c>
      <c r="L139">
        <f t="shared" si="8"/>
        <v>2025</v>
      </c>
    </row>
    <row r="140" spans="1:12" x14ac:dyDescent="0.3">
      <c r="A140" t="s">
        <v>790</v>
      </c>
      <c r="B140" t="s">
        <v>789</v>
      </c>
      <c r="C140" t="s">
        <v>45</v>
      </c>
      <c r="D140">
        <v>2</v>
      </c>
      <c r="E140" s="1">
        <v>45868</v>
      </c>
      <c r="F140" t="s">
        <v>741</v>
      </c>
      <c r="G140">
        <v>4</v>
      </c>
      <c r="H140" t="s">
        <v>581</v>
      </c>
      <c r="I140" t="s">
        <v>608</v>
      </c>
      <c r="J140" t="str">
        <f t="shared" si="6"/>
        <v>July</v>
      </c>
      <c r="K140" t="str">
        <f t="shared" si="7"/>
        <v>Q3</v>
      </c>
      <c r="L140">
        <f t="shared" si="8"/>
        <v>2025</v>
      </c>
    </row>
    <row r="141" spans="1:12" x14ac:dyDescent="0.3">
      <c r="A141" t="s">
        <v>791</v>
      </c>
      <c r="B141" t="s">
        <v>792</v>
      </c>
      <c r="C141" t="s">
        <v>292</v>
      </c>
      <c r="D141">
        <v>1</v>
      </c>
      <c r="E141" s="1">
        <v>45725</v>
      </c>
      <c r="F141" t="s">
        <v>663</v>
      </c>
      <c r="G141">
        <v>2</v>
      </c>
      <c r="H141" t="s">
        <v>569</v>
      </c>
      <c r="I141" t="s">
        <v>570</v>
      </c>
      <c r="J141" t="str">
        <f t="shared" si="6"/>
        <v>March</v>
      </c>
      <c r="K141" t="str">
        <f t="shared" si="7"/>
        <v>Q1</v>
      </c>
      <c r="L141">
        <f t="shared" si="8"/>
        <v>2025</v>
      </c>
    </row>
    <row r="142" spans="1:12" x14ac:dyDescent="0.3">
      <c r="A142" t="s">
        <v>793</v>
      </c>
      <c r="B142" t="s">
        <v>792</v>
      </c>
      <c r="C142" t="s">
        <v>292</v>
      </c>
      <c r="D142">
        <v>2</v>
      </c>
      <c r="E142" s="1">
        <v>45735</v>
      </c>
      <c r="F142" t="s">
        <v>596</v>
      </c>
      <c r="G142">
        <v>3</v>
      </c>
      <c r="H142" t="s">
        <v>578</v>
      </c>
      <c r="I142" t="s">
        <v>570</v>
      </c>
      <c r="J142" t="str">
        <f t="shared" si="6"/>
        <v>March</v>
      </c>
      <c r="K142" t="str">
        <f t="shared" si="7"/>
        <v>Q1</v>
      </c>
      <c r="L142">
        <f t="shared" si="8"/>
        <v>2025</v>
      </c>
    </row>
    <row r="143" spans="1:12" x14ac:dyDescent="0.3">
      <c r="A143" t="s">
        <v>794</v>
      </c>
      <c r="B143" t="s">
        <v>795</v>
      </c>
      <c r="C143" t="s">
        <v>51</v>
      </c>
      <c r="D143">
        <v>1</v>
      </c>
      <c r="E143" s="1">
        <v>45950</v>
      </c>
      <c r="F143" t="s">
        <v>663</v>
      </c>
      <c r="G143">
        <v>2</v>
      </c>
      <c r="H143" t="s">
        <v>569</v>
      </c>
      <c r="I143" t="s">
        <v>570</v>
      </c>
      <c r="J143" t="str">
        <f t="shared" si="6"/>
        <v>October</v>
      </c>
      <c r="K143" t="str">
        <f t="shared" si="7"/>
        <v>Q4</v>
      </c>
      <c r="L143">
        <f t="shared" si="8"/>
        <v>2025</v>
      </c>
    </row>
    <row r="144" spans="1:12" x14ac:dyDescent="0.3">
      <c r="A144" t="s">
        <v>796</v>
      </c>
      <c r="B144" t="s">
        <v>795</v>
      </c>
      <c r="C144" t="s">
        <v>51</v>
      </c>
      <c r="D144">
        <v>2</v>
      </c>
      <c r="E144" s="1">
        <v>45955</v>
      </c>
      <c r="F144" t="s">
        <v>586</v>
      </c>
      <c r="G144">
        <v>1</v>
      </c>
      <c r="H144" t="s">
        <v>569</v>
      </c>
      <c r="I144" t="s">
        <v>608</v>
      </c>
      <c r="J144" t="str">
        <f t="shared" si="6"/>
        <v>October</v>
      </c>
      <c r="K144" t="str">
        <f t="shared" si="7"/>
        <v>Q4</v>
      </c>
      <c r="L144">
        <f t="shared" si="8"/>
        <v>2025</v>
      </c>
    </row>
    <row r="145" spans="1:12" x14ac:dyDescent="0.3">
      <c r="A145" t="s">
        <v>797</v>
      </c>
      <c r="B145" t="s">
        <v>798</v>
      </c>
      <c r="C145" t="s">
        <v>51</v>
      </c>
      <c r="D145">
        <v>1</v>
      </c>
      <c r="E145" s="1">
        <v>45946</v>
      </c>
      <c r="F145" t="s">
        <v>596</v>
      </c>
      <c r="G145">
        <v>2</v>
      </c>
      <c r="H145" t="s">
        <v>569</v>
      </c>
      <c r="I145" t="s">
        <v>570</v>
      </c>
      <c r="J145" t="str">
        <f t="shared" si="6"/>
        <v>October</v>
      </c>
      <c r="K145" t="str">
        <f t="shared" si="7"/>
        <v>Q4</v>
      </c>
      <c r="L145">
        <f t="shared" si="8"/>
        <v>2025</v>
      </c>
    </row>
    <row r="146" spans="1:12" x14ac:dyDescent="0.3">
      <c r="A146" t="s">
        <v>799</v>
      </c>
      <c r="B146" t="s">
        <v>800</v>
      </c>
      <c r="C146" t="s">
        <v>99</v>
      </c>
      <c r="D146">
        <v>1</v>
      </c>
      <c r="E146" s="1">
        <v>45862</v>
      </c>
      <c r="F146" t="s">
        <v>625</v>
      </c>
      <c r="G146">
        <v>1</v>
      </c>
      <c r="H146" t="s">
        <v>569</v>
      </c>
      <c r="I146" t="s">
        <v>570</v>
      </c>
      <c r="J146" t="str">
        <f t="shared" si="6"/>
        <v>July</v>
      </c>
      <c r="K146" t="str">
        <f t="shared" si="7"/>
        <v>Q3</v>
      </c>
      <c r="L146">
        <f t="shared" si="8"/>
        <v>2025</v>
      </c>
    </row>
    <row r="147" spans="1:12" x14ac:dyDescent="0.3">
      <c r="A147" t="s">
        <v>801</v>
      </c>
      <c r="B147" t="s">
        <v>802</v>
      </c>
      <c r="C147" t="s">
        <v>96</v>
      </c>
      <c r="D147">
        <v>1</v>
      </c>
      <c r="E147" s="1">
        <v>45881</v>
      </c>
      <c r="F147" t="s">
        <v>572</v>
      </c>
      <c r="G147">
        <v>3</v>
      </c>
      <c r="H147" t="s">
        <v>578</v>
      </c>
      <c r="I147" t="s">
        <v>570</v>
      </c>
      <c r="J147" t="str">
        <f t="shared" si="6"/>
        <v>August</v>
      </c>
      <c r="K147" t="str">
        <f t="shared" si="7"/>
        <v>Q3</v>
      </c>
      <c r="L147">
        <f t="shared" si="8"/>
        <v>2025</v>
      </c>
    </row>
    <row r="148" spans="1:12" x14ac:dyDescent="0.3">
      <c r="A148" t="s">
        <v>803</v>
      </c>
      <c r="B148" t="s">
        <v>802</v>
      </c>
      <c r="C148" t="s">
        <v>96</v>
      </c>
      <c r="D148">
        <v>2</v>
      </c>
      <c r="E148" s="1">
        <v>45891</v>
      </c>
      <c r="F148" t="s">
        <v>577</v>
      </c>
      <c r="G148">
        <v>3</v>
      </c>
      <c r="H148" t="s">
        <v>578</v>
      </c>
      <c r="I148" t="s">
        <v>570</v>
      </c>
      <c r="J148" t="str">
        <f t="shared" si="6"/>
        <v>August</v>
      </c>
      <c r="K148" t="str">
        <f t="shared" si="7"/>
        <v>Q3</v>
      </c>
      <c r="L148">
        <f t="shared" si="8"/>
        <v>2025</v>
      </c>
    </row>
    <row r="149" spans="1:12" x14ac:dyDescent="0.3">
      <c r="A149" t="s">
        <v>804</v>
      </c>
      <c r="B149" t="s">
        <v>802</v>
      </c>
      <c r="C149" t="s">
        <v>96</v>
      </c>
      <c r="D149">
        <v>3</v>
      </c>
      <c r="E149" s="1">
        <v>45903</v>
      </c>
      <c r="F149" t="s">
        <v>625</v>
      </c>
      <c r="G149">
        <v>3</v>
      </c>
      <c r="H149" t="s">
        <v>578</v>
      </c>
      <c r="I149" t="s">
        <v>570</v>
      </c>
      <c r="J149" t="str">
        <f t="shared" si="6"/>
        <v>September</v>
      </c>
      <c r="K149" t="str">
        <f t="shared" si="7"/>
        <v>Q3</v>
      </c>
      <c r="L149">
        <f t="shared" si="8"/>
        <v>2025</v>
      </c>
    </row>
    <row r="150" spans="1:12" x14ac:dyDescent="0.3">
      <c r="A150" t="s">
        <v>805</v>
      </c>
      <c r="B150" t="s">
        <v>802</v>
      </c>
      <c r="C150" t="s">
        <v>96</v>
      </c>
      <c r="D150">
        <v>4</v>
      </c>
      <c r="E150" s="1">
        <v>45909</v>
      </c>
      <c r="F150" t="s">
        <v>612</v>
      </c>
      <c r="G150">
        <v>3</v>
      </c>
      <c r="H150" t="s">
        <v>578</v>
      </c>
      <c r="I150" t="s">
        <v>570</v>
      </c>
      <c r="J150" t="str">
        <f t="shared" si="6"/>
        <v>September</v>
      </c>
      <c r="K150" t="str">
        <f t="shared" si="7"/>
        <v>Q3</v>
      </c>
      <c r="L150">
        <f t="shared" si="8"/>
        <v>2025</v>
      </c>
    </row>
    <row r="151" spans="1:12" x14ac:dyDescent="0.3">
      <c r="A151" t="s">
        <v>806</v>
      </c>
      <c r="B151" t="s">
        <v>493</v>
      </c>
      <c r="C151" t="s">
        <v>65</v>
      </c>
      <c r="D151">
        <v>1</v>
      </c>
      <c r="E151" s="1">
        <v>45926</v>
      </c>
      <c r="F151" t="s">
        <v>596</v>
      </c>
      <c r="G151">
        <v>4</v>
      </c>
      <c r="H151" t="s">
        <v>581</v>
      </c>
      <c r="I151" t="s">
        <v>570</v>
      </c>
      <c r="J151" t="str">
        <f t="shared" si="6"/>
        <v>September</v>
      </c>
      <c r="K151" t="str">
        <f t="shared" si="7"/>
        <v>Q3</v>
      </c>
      <c r="L151">
        <f t="shared" si="8"/>
        <v>2025</v>
      </c>
    </row>
    <row r="152" spans="1:12" x14ac:dyDescent="0.3">
      <c r="A152" t="s">
        <v>807</v>
      </c>
      <c r="B152" t="s">
        <v>493</v>
      </c>
      <c r="C152" t="s">
        <v>65</v>
      </c>
      <c r="D152">
        <v>2</v>
      </c>
      <c r="E152" s="1">
        <v>45931</v>
      </c>
      <c r="F152" t="s">
        <v>663</v>
      </c>
      <c r="G152">
        <v>4</v>
      </c>
      <c r="H152" t="s">
        <v>581</v>
      </c>
      <c r="I152" t="s">
        <v>570</v>
      </c>
      <c r="J152" t="str">
        <f t="shared" si="6"/>
        <v>October</v>
      </c>
      <c r="K152" t="str">
        <f t="shared" si="7"/>
        <v>Q4</v>
      </c>
      <c r="L152">
        <f t="shared" si="8"/>
        <v>2025</v>
      </c>
    </row>
    <row r="153" spans="1:12" x14ac:dyDescent="0.3">
      <c r="A153" t="s">
        <v>808</v>
      </c>
      <c r="B153" t="s">
        <v>809</v>
      </c>
      <c r="C153" t="s">
        <v>374</v>
      </c>
      <c r="D153">
        <v>1</v>
      </c>
      <c r="E153" s="1">
        <v>45747</v>
      </c>
      <c r="F153" t="s">
        <v>575</v>
      </c>
      <c r="G153">
        <v>2</v>
      </c>
      <c r="H153" t="s">
        <v>569</v>
      </c>
      <c r="I153" t="s">
        <v>570</v>
      </c>
      <c r="J153" t="str">
        <f t="shared" si="6"/>
        <v>March</v>
      </c>
      <c r="K153" t="str">
        <f t="shared" si="7"/>
        <v>Q1</v>
      </c>
      <c r="L153">
        <f t="shared" si="8"/>
        <v>2025</v>
      </c>
    </row>
    <row r="154" spans="1:12" x14ac:dyDescent="0.3">
      <c r="A154" t="s">
        <v>810</v>
      </c>
      <c r="B154" t="s">
        <v>809</v>
      </c>
      <c r="C154" t="s">
        <v>374</v>
      </c>
      <c r="D154">
        <v>2</v>
      </c>
      <c r="E154" s="1">
        <v>45755</v>
      </c>
      <c r="F154" t="s">
        <v>600</v>
      </c>
      <c r="G154">
        <v>2</v>
      </c>
      <c r="H154" t="s">
        <v>569</v>
      </c>
      <c r="I154" t="s">
        <v>570</v>
      </c>
      <c r="J154" t="str">
        <f t="shared" si="6"/>
        <v>April</v>
      </c>
      <c r="K154" t="str">
        <f t="shared" si="7"/>
        <v>Q2</v>
      </c>
      <c r="L154">
        <f t="shared" si="8"/>
        <v>2025</v>
      </c>
    </row>
    <row r="155" spans="1:12" x14ac:dyDescent="0.3">
      <c r="A155" t="s">
        <v>811</v>
      </c>
      <c r="B155" t="s">
        <v>809</v>
      </c>
      <c r="C155" t="s">
        <v>374</v>
      </c>
      <c r="D155">
        <v>3</v>
      </c>
      <c r="E155" s="1">
        <v>45765</v>
      </c>
      <c r="F155" t="s">
        <v>636</v>
      </c>
      <c r="G155">
        <v>2</v>
      </c>
      <c r="H155" t="s">
        <v>569</v>
      </c>
      <c r="I155" t="s">
        <v>570</v>
      </c>
      <c r="J155" t="str">
        <f t="shared" si="6"/>
        <v>April</v>
      </c>
      <c r="K155" t="str">
        <f t="shared" si="7"/>
        <v>Q2</v>
      </c>
      <c r="L155">
        <f t="shared" si="8"/>
        <v>2025</v>
      </c>
    </row>
    <row r="156" spans="1:12" x14ac:dyDescent="0.3">
      <c r="A156" t="s">
        <v>812</v>
      </c>
      <c r="B156" t="s">
        <v>813</v>
      </c>
      <c r="C156" t="s">
        <v>244</v>
      </c>
      <c r="D156">
        <v>1</v>
      </c>
      <c r="E156" s="1">
        <v>45675</v>
      </c>
      <c r="F156" t="s">
        <v>572</v>
      </c>
      <c r="G156">
        <v>2</v>
      </c>
      <c r="H156" t="s">
        <v>569</v>
      </c>
      <c r="I156" t="s">
        <v>570</v>
      </c>
      <c r="J156" t="str">
        <f t="shared" si="6"/>
        <v>January</v>
      </c>
      <c r="K156" t="str">
        <f t="shared" si="7"/>
        <v>Q1</v>
      </c>
      <c r="L156">
        <f t="shared" si="8"/>
        <v>2025</v>
      </c>
    </row>
    <row r="157" spans="1:12" x14ac:dyDescent="0.3">
      <c r="A157" t="s">
        <v>814</v>
      </c>
      <c r="B157" t="s">
        <v>813</v>
      </c>
      <c r="C157" t="s">
        <v>244</v>
      </c>
      <c r="D157">
        <v>2</v>
      </c>
      <c r="E157" s="1">
        <v>45683</v>
      </c>
      <c r="F157" t="s">
        <v>580</v>
      </c>
      <c r="G157">
        <v>1</v>
      </c>
      <c r="H157" t="s">
        <v>569</v>
      </c>
      <c r="I157" t="s">
        <v>570</v>
      </c>
      <c r="J157" t="str">
        <f t="shared" si="6"/>
        <v>January</v>
      </c>
      <c r="K157" t="str">
        <f t="shared" si="7"/>
        <v>Q1</v>
      </c>
      <c r="L157">
        <f t="shared" si="8"/>
        <v>2025</v>
      </c>
    </row>
    <row r="158" spans="1:12" x14ac:dyDescent="0.3">
      <c r="A158" t="s">
        <v>815</v>
      </c>
      <c r="B158" t="s">
        <v>816</v>
      </c>
      <c r="C158" t="s">
        <v>45</v>
      </c>
      <c r="D158">
        <v>1</v>
      </c>
      <c r="E158" s="1">
        <v>45862</v>
      </c>
      <c r="F158" t="s">
        <v>592</v>
      </c>
      <c r="G158">
        <v>4</v>
      </c>
      <c r="H158" t="s">
        <v>581</v>
      </c>
      <c r="I158" t="s">
        <v>570</v>
      </c>
      <c r="J158" t="str">
        <f t="shared" si="6"/>
        <v>July</v>
      </c>
      <c r="K158" t="str">
        <f t="shared" si="7"/>
        <v>Q3</v>
      </c>
      <c r="L158">
        <f t="shared" si="8"/>
        <v>2025</v>
      </c>
    </row>
    <row r="159" spans="1:12" x14ac:dyDescent="0.3">
      <c r="A159" t="s">
        <v>817</v>
      </c>
      <c r="B159" t="s">
        <v>816</v>
      </c>
      <c r="C159" t="s">
        <v>45</v>
      </c>
      <c r="D159">
        <v>2</v>
      </c>
      <c r="E159" s="1">
        <v>45868</v>
      </c>
      <c r="F159" t="s">
        <v>638</v>
      </c>
      <c r="G159">
        <v>2</v>
      </c>
      <c r="H159" t="s">
        <v>569</v>
      </c>
      <c r="I159" t="s">
        <v>570</v>
      </c>
      <c r="J159" t="str">
        <f t="shared" si="6"/>
        <v>July</v>
      </c>
      <c r="K159" t="str">
        <f t="shared" si="7"/>
        <v>Q3</v>
      </c>
      <c r="L159">
        <f t="shared" si="8"/>
        <v>2025</v>
      </c>
    </row>
    <row r="160" spans="1:12" x14ac:dyDescent="0.3">
      <c r="A160" t="s">
        <v>818</v>
      </c>
      <c r="B160" t="s">
        <v>816</v>
      </c>
      <c r="C160" t="s">
        <v>45</v>
      </c>
      <c r="D160">
        <v>3</v>
      </c>
      <c r="E160" s="1">
        <v>45875</v>
      </c>
      <c r="F160" t="s">
        <v>580</v>
      </c>
      <c r="G160">
        <v>1</v>
      </c>
      <c r="H160" t="s">
        <v>569</v>
      </c>
      <c r="I160" t="s">
        <v>570</v>
      </c>
      <c r="J160" t="str">
        <f t="shared" si="6"/>
        <v>August</v>
      </c>
      <c r="K160" t="str">
        <f t="shared" si="7"/>
        <v>Q3</v>
      </c>
      <c r="L160">
        <f t="shared" si="8"/>
        <v>2025</v>
      </c>
    </row>
    <row r="161" spans="1:12" x14ac:dyDescent="0.3">
      <c r="A161" t="s">
        <v>819</v>
      </c>
      <c r="B161" t="s">
        <v>820</v>
      </c>
      <c r="C161" t="s">
        <v>292</v>
      </c>
      <c r="D161">
        <v>1</v>
      </c>
      <c r="E161" s="1">
        <v>45716</v>
      </c>
      <c r="F161" t="s">
        <v>596</v>
      </c>
      <c r="G161">
        <v>1</v>
      </c>
      <c r="H161" t="s">
        <v>569</v>
      </c>
      <c r="I161" t="s">
        <v>570</v>
      </c>
      <c r="J161" t="str">
        <f t="shared" si="6"/>
        <v>February</v>
      </c>
      <c r="K161" t="str">
        <f t="shared" si="7"/>
        <v>Q1</v>
      </c>
      <c r="L161">
        <f t="shared" si="8"/>
        <v>2025</v>
      </c>
    </row>
    <row r="162" spans="1:12" x14ac:dyDescent="0.3">
      <c r="A162" t="s">
        <v>821</v>
      </c>
      <c r="B162" t="s">
        <v>822</v>
      </c>
      <c r="C162" t="s">
        <v>195</v>
      </c>
      <c r="D162">
        <v>1</v>
      </c>
      <c r="E162" s="1">
        <v>45853</v>
      </c>
      <c r="F162" t="s">
        <v>612</v>
      </c>
      <c r="G162">
        <v>5</v>
      </c>
      <c r="H162" t="s">
        <v>581</v>
      </c>
      <c r="I162" t="s">
        <v>570</v>
      </c>
      <c r="J162" t="str">
        <f t="shared" si="6"/>
        <v>July</v>
      </c>
      <c r="K162" t="str">
        <f t="shared" si="7"/>
        <v>Q3</v>
      </c>
      <c r="L162">
        <f t="shared" si="8"/>
        <v>2025</v>
      </c>
    </row>
    <row r="163" spans="1:12" x14ac:dyDescent="0.3">
      <c r="A163" t="s">
        <v>823</v>
      </c>
      <c r="B163" t="s">
        <v>822</v>
      </c>
      <c r="C163" t="s">
        <v>195</v>
      </c>
      <c r="D163">
        <v>2</v>
      </c>
      <c r="E163" s="1">
        <v>45860</v>
      </c>
      <c r="F163" t="s">
        <v>632</v>
      </c>
      <c r="G163">
        <v>4</v>
      </c>
      <c r="H163" t="s">
        <v>581</v>
      </c>
      <c r="I163" t="s">
        <v>570</v>
      </c>
      <c r="J163" t="str">
        <f t="shared" si="6"/>
        <v>July</v>
      </c>
      <c r="K163" t="str">
        <f t="shared" si="7"/>
        <v>Q3</v>
      </c>
      <c r="L163">
        <f t="shared" si="8"/>
        <v>2025</v>
      </c>
    </row>
    <row r="164" spans="1:12" x14ac:dyDescent="0.3">
      <c r="A164" t="s">
        <v>824</v>
      </c>
      <c r="B164" t="s">
        <v>825</v>
      </c>
      <c r="C164" t="s">
        <v>78</v>
      </c>
      <c r="D164">
        <v>1</v>
      </c>
      <c r="E164" s="1">
        <v>45905</v>
      </c>
      <c r="F164" t="s">
        <v>568</v>
      </c>
      <c r="G164">
        <v>3</v>
      </c>
      <c r="H164" t="s">
        <v>578</v>
      </c>
      <c r="I164" t="s">
        <v>570</v>
      </c>
      <c r="J164" t="str">
        <f t="shared" si="6"/>
        <v>September</v>
      </c>
      <c r="K164" t="str">
        <f t="shared" si="7"/>
        <v>Q3</v>
      </c>
      <c r="L164">
        <f t="shared" si="8"/>
        <v>2025</v>
      </c>
    </row>
    <row r="165" spans="1:12" x14ac:dyDescent="0.3">
      <c r="A165" t="s">
        <v>826</v>
      </c>
      <c r="B165" t="s">
        <v>825</v>
      </c>
      <c r="C165" t="s">
        <v>78</v>
      </c>
      <c r="D165">
        <v>2</v>
      </c>
      <c r="E165" s="1">
        <v>45912</v>
      </c>
      <c r="F165" t="s">
        <v>580</v>
      </c>
      <c r="G165">
        <v>3</v>
      </c>
      <c r="H165" t="s">
        <v>578</v>
      </c>
      <c r="I165" t="s">
        <v>570</v>
      </c>
      <c r="J165" t="str">
        <f t="shared" si="6"/>
        <v>September</v>
      </c>
      <c r="K165" t="str">
        <f t="shared" si="7"/>
        <v>Q3</v>
      </c>
      <c r="L165">
        <f t="shared" si="8"/>
        <v>2025</v>
      </c>
    </row>
    <row r="166" spans="1:12" x14ac:dyDescent="0.3">
      <c r="A166" t="s">
        <v>827</v>
      </c>
      <c r="B166" t="s">
        <v>367</v>
      </c>
      <c r="C166" t="s">
        <v>176</v>
      </c>
      <c r="D166">
        <v>1</v>
      </c>
      <c r="E166" s="1">
        <v>45711</v>
      </c>
      <c r="F166" t="s">
        <v>572</v>
      </c>
      <c r="G166">
        <v>5</v>
      </c>
      <c r="H166" t="s">
        <v>581</v>
      </c>
      <c r="I166" t="s">
        <v>570</v>
      </c>
      <c r="J166" t="str">
        <f t="shared" si="6"/>
        <v>February</v>
      </c>
      <c r="K166" t="str">
        <f t="shared" si="7"/>
        <v>Q1</v>
      </c>
      <c r="L166">
        <f t="shared" si="8"/>
        <v>2025</v>
      </c>
    </row>
    <row r="167" spans="1:12" x14ac:dyDescent="0.3">
      <c r="A167" t="s">
        <v>828</v>
      </c>
      <c r="B167" t="s">
        <v>367</v>
      </c>
      <c r="C167" t="s">
        <v>176</v>
      </c>
      <c r="D167">
        <v>2</v>
      </c>
      <c r="E167" s="1">
        <v>45718</v>
      </c>
      <c r="F167" t="s">
        <v>638</v>
      </c>
      <c r="G167">
        <v>4</v>
      </c>
      <c r="H167" t="s">
        <v>581</v>
      </c>
      <c r="I167" t="s">
        <v>570</v>
      </c>
      <c r="J167" t="str">
        <f t="shared" si="6"/>
        <v>March</v>
      </c>
      <c r="K167" t="str">
        <f t="shared" si="7"/>
        <v>Q1</v>
      </c>
      <c r="L167">
        <f t="shared" si="8"/>
        <v>2025</v>
      </c>
    </row>
    <row r="168" spans="1:12" x14ac:dyDescent="0.3">
      <c r="A168" t="s">
        <v>829</v>
      </c>
      <c r="B168" t="s">
        <v>367</v>
      </c>
      <c r="C168" t="s">
        <v>176</v>
      </c>
      <c r="D168">
        <v>3</v>
      </c>
      <c r="E168" s="1">
        <v>45726</v>
      </c>
      <c r="F168" t="s">
        <v>596</v>
      </c>
      <c r="G168">
        <v>4</v>
      </c>
      <c r="H168" t="s">
        <v>581</v>
      </c>
      <c r="I168" t="s">
        <v>570</v>
      </c>
      <c r="J168" t="str">
        <f t="shared" si="6"/>
        <v>March</v>
      </c>
      <c r="K168" t="str">
        <f t="shared" si="7"/>
        <v>Q1</v>
      </c>
      <c r="L168">
        <f t="shared" si="8"/>
        <v>2025</v>
      </c>
    </row>
    <row r="169" spans="1:12" x14ac:dyDescent="0.3">
      <c r="A169" t="s">
        <v>830</v>
      </c>
      <c r="B169" t="s">
        <v>831</v>
      </c>
      <c r="C169" t="s">
        <v>88</v>
      </c>
      <c r="D169">
        <v>1</v>
      </c>
      <c r="E169" s="1">
        <v>45745</v>
      </c>
      <c r="F169" t="s">
        <v>638</v>
      </c>
      <c r="G169">
        <v>3</v>
      </c>
      <c r="H169" t="s">
        <v>578</v>
      </c>
      <c r="I169" t="s">
        <v>570</v>
      </c>
      <c r="J169" t="str">
        <f t="shared" si="6"/>
        <v>March</v>
      </c>
      <c r="K169" t="str">
        <f t="shared" si="7"/>
        <v>Q1</v>
      </c>
      <c r="L169">
        <f t="shared" si="8"/>
        <v>2025</v>
      </c>
    </row>
    <row r="170" spans="1:12" x14ac:dyDescent="0.3">
      <c r="A170" t="s">
        <v>832</v>
      </c>
      <c r="B170" t="s">
        <v>831</v>
      </c>
      <c r="C170" t="s">
        <v>88</v>
      </c>
      <c r="D170">
        <v>2</v>
      </c>
      <c r="E170" s="1">
        <v>45752</v>
      </c>
      <c r="G170">
        <v>3</v>
      </c>
      <c r="H170" t="s">
        <v>578</v>
      </c>
      <c r="I170" t="s">
        <v>570</v>
      </c>
      <c r="J170" t="str">
        <f t="shared" si="6"/>
        <v>April</v>
      </c>
      <c r="K170" t="str">
        <f t="shared" si="7"/>
        <v>Q2</v>
      </c>
      <c r="L170">
        <f t="shared" si="8"/>
        <v>2025</v>
      </c>
    </row>
    <row r="171" spans="1:12" x14ac:dyDescent="0.3">
      <c r="A171" t="s">
        <v>833</v>
      </c>
      <c r="B171" t="s">
        <v>831</v>
      </c>
      <c r="C171" t="s">
        <v>88</v>
      </c>
      <c r="D171">
        <v>3</v>
      </c>
      <c r="E171" s="1">
        <v>45763</v>
      </c>
      <c r="F171" t="s">
        <v>572</v>
      </c>
      <c r="G171">
        <v>4</v>
      </c>
      <c r="H171" t="s">
        <v>581</v>
      </c>
      <c r="I171" t="s">
        <v>608</v>
      </c>
      <c r="J171" t="str">
        <f t="shared" si="6"/>
        <v>April</v>
      </c>
      <c r="K171" t="str">
        <f t="shared" si="7"/>
        <v>Q2</v>
      </c>
      <c r="L171">
        <f t="shared" si="8"/>
        <v>2025</v>
      </c>
    </row>
    <row r="172" spans="1:12" x14ac:dyDescent="0.3">
      <c r="A172" t="s">
        <v>834</v>
      </c>
      <c r="B172" t="s">
        <v>835</v>
      </c>
      <c r="C172" t="s">
        <v>195</v>
      </c>
      <c r="D172">
        <v>1</v>
      </c>
      <c r="E172" s="1">
        <v>45855</v>
      </c>
      <c r="F172" t="s">
        <v>592</v>
      </c>
      <c r="G172">
        <v>2</v>
      </c>
      <c r="H172" t="s">
        <v>569</v>
      </c>
      <c r="I172" t="s">
        <v>570</v>
      </c>
      <c r="J172" t="str">
        <f t="shared" si="6"/>
        <v>July</v>
      </c>
      <c r="K172" t="str">
        <f t="shared" si="7"/>
        <v>Q3</v>
      </c>
      <c r="L172">
        <f t="shared" si="8"/>
        <v>2025</v>
      </c>
    </row>
    <row r="173" spans="1:12" x14ac:dyDescent="0.3">
      <c r="A173" t="s">
        <v>836</v>
      </c>
      <c r="B173" t="s">
        <v>835</v>
      </c>
      <c r="C173" t="s">
        <v>195</v>
      </c>
      <c r="D173">
        <v>2</v>
      </c>
      <c r="E173" s="1">
        <v>45860</v>
      </c>
      <c r="F173" t="s">
        <v>575</v>
      </c>
      <c r="G173">
        <v>3</v>
      </c>
      <c r="H173" t="s">
        <v>578</v>
      </c>
      <c r="I173" t="s">
        <v>570</v>
      </c>
      <c r="J173" t="str">
        <f t="shared" si="6"/>
        <v>July</v>
      </c>
      <c r="K173" t="str">
        <f t="shared" si="7"/>
        <v>Q3</v>
      </c>
      <c r="L173">
        <f t="shared" si="8"/>
        <v>2025</v>
      </c>
    </row>
    <row r="174" spans="1:12" x14ac:dyDescent="0.3">
      <c r="A174" t="s">
        <v>837</v>
      </c>
      <c r="B174" t="s">
        <v>835</v>
      </c>
      <c r="C174" t="s">
        <v>195</v>
      </c>
      <c r="D174">
        <v>3</v>
      </c>
      <c r="E174" s="1">
        <v>45866</v>
      </c>
      <c r="F174" t="s">
        <v>584</v>
      </c>
      <c r="G174">
        <v>2</v>
      </c>
      <c r="H174" t="s">
        <v>569</v>
      </c>
      <c r="I174" t="s">
        <v>570</v>
      </c>
      <c r="J174" t="str">
        <f t="shared" si="6"/>
        <v>July</v>
      </c>
      <c r="K174" t="str">
        <f t="shared" si="7"/>
        <v>Q3</v>
      </c>
      <c r="L174">
        <f t="shared" si="8"/>
        <v>2025</v>
      </c>
    </row>
    <row r="175" spans="1:12" x14ac:dyDescent="0.3">
      <c r="A175" t="s">
        <v>838</v>
      </c>
      <c r="B175" t="s">
        <v>835</v>
      </c>
      <c r="C175" t="s">
        <v>195</v>
      </c>
      <c r="D175">
        <v>4</v>
      </c>
      <c r="E175" s="1">
        <v>45872</v>
      </c>
      <c r="F175" t="s">
        <v>575</v>
      </c>
      <c r="G175">
        <v>3</v>
      </c>
      <c r="H175" t="s">
        <v>578</v>
      </c>
      <c r="I175" t="s">
        <v>570</v>
      </c>
      <c r="J175" t="str">
        <f t="shared" si="6"/>
        <v>August</v>
      </c>
      <c r="K175" t="str">
        <f t="shared" si="7"/>
        <v>Q3</v>
      </c>
      <c r="L175">
        <f t="shared" si="8"/>
        <v>2025</v>
      </c>
    </row>
    <row r="176" spans="1:12" x14ac:dyDescent="0.3">
      <c r="A176" t="s">
        <v>839</v>
      </c>
      <c r="B176" t="s">
        <v>840</v>
      </c>
      <c r="C176" t="s">
        <v>62</v>
      </c>
      <c r="D176">
        <v>1</v>
      </c>
      <c r="E176" s="1">
        <v>45710</v>
      </c>
      <c r="F176" t="s">
        <v>572</v>
      </c>
      <c r="G176">
        <v>3</v>
      </c>
      <c r="H176" t="s">
        <v>578</v>
      </c>
      <c r="I176" t="s">
        <v>570</v>
      </c>
      <c r="J176" t="str">
        <f t="shared" si="6"/>
        <v>February</v>
      </c>
      <c r="K176" t="str">
        <f t="shared" si="7"/>
        <v>Q1</v>
      </c>
      <c r="L176">
        <f t="shared" si="8"/>
        <v>2025</v>
      </c>
    </row>
    <row r="177" spans="1:12" x14ac:dyDescent="0.3">
      <c r="A177" t="s">
        <v>841</v>
      </c>
      <c r="B177" t="s">
        <v>840</v>
      </c>
      <c r="C177" t="s">
        <v>62</v>
      </c>
      <c r="D177">
        <v>2</v>
      </c>
      <c r="E177" s="1">
        <v>45721</v>
      </c>
      <c r="G177">
        <v>1</v>
      </c>
      <c r="H177" t="s">
        <v>569</v>
      </c>
      <c r="I177" t="s">
        <v>570</v>
      </c>
      <c r="J177" t="str">
        <f t="shared" si="6"/>
        <v>March</v>
      </c>
      <c r="K177" t="str">
        <f t="shared" si="7"/>
        <v>Q1</v>
      </c>
      <c r="L177">
        <f t="shared" si="8"/>
        <v>2025</v>
      </c>
    </row>
    <row r="178" spans="1:12" x14ac:dyDescent="0.3">
      <c r="A178" t="s">
        <v>842</v>
      </c>
      <c r="B178" t="s">
        <v>840</v>
      </c>
      <c r="C178" t="s">
        <v>62</v>
      </c>
      <c r="D178">
        <v>3</v>
      </c>
      <c r="E178" s="1">
        <v>45726</v>
      </c>
      <c r="F178" t="s">
        <v>603</v>
      </c>
      <c r="G178">
        <v>1</v>
      </c>
      <c r="H178" t="s">
        <v>569</v>
      </c>
      <c r="I178" t="s">
        <v>570</v>
      </c>
      <c r="J178" t="str">
        <f t="shared" si="6"/>
        <v>March</v>
      </c>
      <c r="K178" t="str">
        <f t="shared" si="7"/>
        <v>Q1</v>
      </c>
      <c r="L178">
        <f t="shared" si="8"/>
        <v>2025</v>
      </c>
    </row>
    <row r="179" spans="1:12" x14ac:dyDescent="0.3">
      <c r="A179" t="s">
        <v>843</v>
      </c>
      <c r="B179" t="s">
        <v>844</v>
      </c>
      <c r="C179" t="s">
        <v>96</v>
      </c>
      <c r="D179">
        <v>1</v>
      </c>
      <c r="E179" s="1">
        <v>45883</v>
      </c>
      <c r="F179" t="s">
        <v>577</v>
      </c>
      <c r="G179">
        <v>3</v>
      </c>
      <c r="H179" t="s">
        <v>578</v>
      </c>
      <c r="I179" t="s">
        <v>570</v>
      </c>
      <c r="J179" t="str">
        <f t="shared" si="6"/>
        <v>August</v>
      </c>
      <c r="K179" t="str">
        <f t="shared" si="7"/>
        <v>Q3</v>
      </c>
      <c r="L179">
        <f t="shared" si="8"/>
        <v>2025</v>
      </c>
    </row>
    <row r="180" spans="1:12" x14ac:dyDescent="0.3">
      <c r="A180" t="s">
        <v>845</v>
      </c>
      <c r="B180" t="s">
        <v>844</v>
      </c>
      <c r="C180" t="s">
        <v>96</v>
      </c>
      <c r="D180">
        <v>2</v>
      </c>
      <c r="E180" s="1">
        <v>45890</v>
      </c>
      <c r="F180" t="s">
        <v>572</v>
      </c>
      <c r="G180">
        <v>1</v>
      </c>
      <c r="H180" t="s">
        <v>569</v>
      </c>
      <c r="I180" t="s">
        <v>570</v>
      </c>
      <c r="J180" t="str">
        <f t="shared" si="6"/>
        <v>August</v>
      </c>
      <c r="K180" t="str">
        <f t="shared" si="7"/>
        <v>Q3</v>
      </c>
      <c r="L180">
        <f t="shared" si="8"/>
        <v>2025</v>
      </c>
    </row>
    <row r="181" spans="1:12" x14ac:dyDescent="0.3">
      <c r="A181" t="s">
        <v>846</v>
      </c>
      <c r="B181" t="s">
        <v>847</v>
      </c>
      <c r="C181" t="s">
        <v>147</v>
      </c>
      <c r="D181">
        <v>1</v>
      </c>
      <c r="E181" s="1">
        <v>45834</v>
      </c>
      <c r="F181" t="s">
        <v>586</v>
      </c>
      <c r="G181">
        <v>3</v>
      </c>
      <c r="H181" t="s">
        <v>578</v>
      </c>
      <c r="I181" t="s">
        <v>570</v>
      </c>
      <c r="J181" t="str">
        <f t="shared" si="6"/>
        <v>June</v>
      </c>
      <c r="K181" t="str">
        <f t="shared" si="7"/>
        <v>Q2</v>
      </c>
      <c r="L181">
        <f t="shared" si="8"/>
        <v>2025</v>
      </c>
    </row>
    <row r="182" spans="1:12" x14ac:dyDescent="0.3">
      <c r="A182" t="s">
        <v>848</v>
      </c>
      <c r="B182" t="s">
        <v>849</v>
      </c>
      <c r="C182" t="s">
        <v>156</v>
      </c>
      <c r="D182">
        <v>1</v>
      </c>
      <c r="E182" s="1">
        <v>45732</v>
      </c>
      <c r="F182" t="s">
        <v>766</v>
      </c>
      <c r="G182">
        <v>1</v>
      </c>
      <c r="H182" t="s">
        <v>569</v>
      </c>
      <c r="I182" t="s">
        <v>570</v>
      </c>
      <c r="J182" t="str">
        <f t="shared" si="6"/>
        <v>March</v>
      </c>
      <c r="K182" t="str">
        <f t="shared" si="7"/>
        <v>Q1</v>
      </c>
      <c r="L182">
        <f t="shared" si="8"/>
        <v>2025</v>
      </c>
    </row>
    <row r="183" spans="1:12" x14ac:dyDescent="0.3">
      <c r="A183" t="s">
        <v>850</v>
      </c>
      <c r="B183" t="s">
        <v>851</v>
      </c>
      <c r="C183" t="s">
        <v>183</v>
      </c>
      <c r="D183">
        <v>1</v>
      </c>
      <c r="E183" s="1">
        <v>45858</v>
      </c>
      <c r="F183" t="s">
        <v>625</v>
      </c>
      <c r="G183">
        <v>1</v>
      </c>
      <c r="H183" t="s">
        <v>569</v>
      </c>
      <c r="I183" t="s">
        <v>608</v>
      </c>
      <c r="J183" t="str">
        <f t="shared" si="6"/>
        <v>July</v>
      </c>
      <c r="K183" t="str">
        <f t="shared" si="7"/>
        <v>Q3</v>
      </c>
      <c r="L183">
        <f t="shared" si="8"/>
        <v>2025</v>
      </c>
    </row>
    <row r="184" spans="1:12" x14ac:dyDescent="0.3">
      <c r="A184" t="s">
        <v>852</v>
      </c>
      <c r="B184" t="s">
        <v>851</v>
      </c>
      <c r="C184" t="s">
        <v>183</v>
      </c>
      <c r="D184">
        <v>2</v>
      </c>
      <c r="E184" s="1">
        <v>45864</v>
      </c>
      <c r="F184" t="s">
        <v>670</v>
      </c>
      <c r="G184">
        <v>1</v>
      </c>
      <c r="H184" t="s">
        <v>569</v>
      </c>
      <c r="I184" t="s">
        <v>570</v>
      </c>
      <c r="J184" t="str">
        <f t="shared" si="6"/>
        <v>July</v>
      </c>
      <c r="K184" t="str">
        <f t="shared" si="7"/>
        <v>Q3</v>
      </c>
      <c r="L184">
        <f t="shared" si="8"/>
        <v>2025</v>
      </c>
    </row>
    <row r="185" spans="1:12" x14ac:dyDescent="0.3">
      <c r="A185" t="s">
        <v>853</v>
      </c>
      <c r="B185" t="s">
        <v>851</v>
      </c>
      <c r="C185" t="s">
        <v>183</v>
      </c>
      <c r="D185">
        <v>3</v>
      </c>
      <c r="E185" s="1">
        <v>45872</v>
      </c>
      <c r="F185" t="s">
        <v>649</v>
      </c>
      <c r="G185">
        <v>2</v>
      </c>
      <c r="H185" t="s">
        <v>569</v>
      </c>
      <c r="I185" t="s">
        <v>570</v>
      </c>
      <c r="J185" t="str">
        <f t="shared" si="6"/>
        <v>August</v>
      </c>
      <c r="K185" t="str">
        <f t="shared" si="7"/>
        <v>Q3</v>
      </c>
      <c r="L185">
        <f t="shared" si="8"/>
        <v>2025</v>
      </c>
    </row>
    <row r="186" spans="1:12" x14ac:dyDescent="0.3">
      <c r="A186" t="s">
        <v>854</v>
      </c>
      <c r="B186" t="s">
        <v>855</v>
      </c>
      <c r="C186" t="s">
        <v>41</v>
      </c>
      <c r="D186">
        <v>1</v>
      </c>
      <c r="E186" s="1">
        <v>45822</v>
      </c>
      <c r="F186" t="s">
        <v>612</v>
      </c>
      <c r="G186">
        <v>3</v>
      </c>
      <c r="H186" t="s">
        <v>578</v>
      </c>
      <c r="I186" t="s">
        <v>570</v>
      </c>
      <c r="J186" t="str">
        <f t="shared" si="6"/>
        <v>June</v>
      </c>
      <c r="K186" t="str">
        <f t="shared" si="7"/>
        <v>Q2</v>
      </c>
      <c r="L186">
        <f t="shared" si="8"/>
        <v>2025</v>
      </c>
    </row>
    <row r="187" spans="1:12" x14ac:dyDescent="0.3">
      <c r="A187" t="s">
        <v>856</v>
      </c>
      <c r="B187" t="s">
        <v>857</v>
      </c>
      <c r="C187" t="s">
        <v>55</v>
      </c>
      <c r="D187">
        <v>1</v>
      </c>
      <c r="E187" s="1">
        <v>45922</v>
      </c>
      <c r="F187" t="s">
        <v>568</v>
      </c>
      <c r="G187">
        <v>3</v>
      </c>
      <c r="H187" t="s">
        <v>578</v>
      </c>
      <c r="I187" t="s">
        <v>570</v>
      </c>
      <c r="J187" t="str">
        <f t="shared" si="6"/>
        <v>September</v>
      </c>
      <c r="K187" t="str">
        <f t="shared" si="7"/>
        <v>Q3</v>
      </c>
      <c r="L187">
        <f t="shared" si="8"/>
        <v>2025</v>
      </c>
    </row>
    <row r="188" spans="1:12" x14ac:dyDescent="0.3">
      <c r="A188" t="s">
        <v>858</v>
      </c>
      <c r="B188" t="s">
        <v>857</v>
      </c>
      <c r="C188" t="s">
        <v>55</v>
      </c>
      <c r="D188">
        <v>2</v>
      </c>
      <c r="E188" s="1">
        <v>45931</v>
      </c>
      <c r="F188" t="s">
        <v>663</v>
      </c>
      <c r="G188">
        <v>2</v>
      </c>
      <c r="H188" t="s">
        <v>569</v>
      </c>
      <c r="I188" t="s">
        <v>570</v>
      </c>
      <c r="J188" t="str">
        <f t="shared" si="6"/>
        <v>October</v>
      </c>
      <c r="K188" t="str">
        <f t="shared" si="7"/>
        <v>Q4</v>
      </c>
      <c r="L188">
        <f t="shared" si="8"/>
        <v>2025</v>
      </c>
    </row>
    <row r="189" spans="1:12" x14ac:dyDescent="0.3">
      <c r="A189" t="s">
        <v>859</v>
      </c>
      <c r="B189" t="s">
        <v>857</v>
      </c>
      <c r="C189" t="s">
        <v>55</v>
      </c>
      <c r="D189">
        <v>3</v>
      </c>
      <c r="E189" s="1">
        <v>45938</v>
      </c>
      <c r="F189" t="s">
        <v>596</v>
      </c>
      <c r="G189">
        <v>3</v>
      </c>
      <c r="H189" t="s">
        <v>578</v>
      </c>
      <c r="I189" t="s">
        <v>570</v>
      </c>
      <c r="J189" t="str">
        <f t="shared" si="6"/>
        <v>October</v>
      </c>
      <c r="K189" t="str">
        <f t="shared" si="7"/>
        <v>Q4</v>
      </c>
      <c r="L189">
        <f t="shared" si="8"/>
        <v>2025</v>
      </c>
    </row>
    <row r="190" spans="1:12" x14ac:dyDescent="0.3">
      <c r="A190" t="s">
        <v>860</v>
      </c>
      <c r="B190" t="s">
        <v>861</v>
      </c>
      <c r="C190" t="s">
        <v>326</v>
      </c>
      <c r="D190">
        <v>1</v>
      </c>
      <c r="E190" s="1">
        <v>45767</v>
      </c>
      <c r="F190" t="s">
        <v>577</v>
      </c>
      <c r="G190">
        <v>2</v>
      </c>
      <c r="H190" t="s">
        <v>569</v>
      </c>
      <c r="I190" t="s">
        <v>570</v>
      </c>
      <c r="J190" t="str">
        <f t="shared" si="6"/>
        <v>April</v>
      </c>
      <c r="K190" t="str">
        <f t="shared" si="7"/>
        <v>Q2</v>
      </c>
      <c r="L190">
        <f t="shared" si="8"/>
        <v>2025</v>
      </c>
    </row>
    <row r="191" spans="1:12" x14ac:dyDescent="0.3">
      <c r="A191" t="s">
        <v>862</v>
      </c>
      <c r="B191" t="s">
        <v>861</v>
      </c>
      <c r="C191" t="s">
        <v>326</v>
      </c>
      <c r="D191">
        <v>2</v>
      </c>
      <c r="E191" s="1">
        <v>45778</v>
      </c>
      <c r="F191" t="s">
        <v>638</v>
      </c>
      <c r="G191">
        <v>1</v>
      </c>
      <c r="H191" t="s">
        <v>569</v>
      </c>
      <c r="I191" t="s">
        <v>570</v>
      </c>
      <c r="J191" t="str">
        <f t="shared" si="6"/>
        <v>May</v>
      </c>
      <c r="K191" t="str">
        <f t="shared" si="7"/>
        <v>Q2</v>
      </c>
      <c r="L191">
        <f t="shared" si="8"/>
        <v>2025</v>
      </c>
    </row>
    <row r="192" spans="1:12" x14ac:dyDescent="0.3">
      <c r="A192" t="s">
        <v>863</v>
      </c>
      <c r="B192" t="s">
        <v>864</v>
      </c>
      <c r="C192" t="s">
        <v>41</v>
      </c>
      <c r="D192">
        <v>1</v>
      </c>
      <c r="E192" s="1">
        <v>45825</v>
      </c>
      <c r="F192" t="s">
        <v>612</v>
      </c>
      <c r="G192">
        <v>2</v>
      </c>
      <c r="H192" t="s">
        <v>569</v>
      </c>
      <c r="I192" t="s">
        <v>570</v>
      </c>
      <c r="J192" t="str">
        <f t="shared" si="6"/>
        <v>June</v>
      </c>
      <c r="K192" t="str">
        <f t="shared" si="7"/>
        <v>Q2</v>
      </c>
      <c r="L192">
        <f t="shared" si="8"/>
        <v>2025</v>
      </c>
    </row>
    <row r="193" spans="1:12" x14ac:dyDescent="0.3">
      <c r="A193" t="s">
        <v>865</v>
      </c>
      <c r="B193" t="s">
        <v>864</v>
      </c>
      <c r="C193" t="s">
        <v>41</v>
      </c>
      <c r="D193">
        <v>2</v>
      </c>
      <c r="E193" s="1">
        <v>45830</v>
      </c>
      <c r="F193" t="s">
        <v>612</v>
      </c>
      <c r="G193">
        <v>1</v>
      </c>
      <c r="H193" t="s">
        <v>569</v>
      </c>
      <c r="I193" t="s">
        <v>570</v>
      </c>
      <c r="J193" t="str">
        <f t="shared" si="6"/>
        <v>June</v>
      </c>
      <c r="K193" t="str">
        <f t="shared" si="7"/>
        <v>Q2</v>
      </c>
      <c r="L193">
        <f t="shared" si="8"/>
        <v>2025</v>
      </c>
    </row>
    <row r="194" spans="1:12" x14ac:dyDescent="0.3">
      <c r="A194" t="s">
        <v>866</v>
      </c>
      <c r="B194" t="s">
        <v>864</v>
      </c>
      <c r="C194" t="s">
        <v>41</v>
      </c>
      <c r="D194">
        <v>3</v>
      </c>
      <c r="E194" s="1">
        <v>45836</v>
      </c>
      <c r="F194" t="s">
        <v>572</v>
      </c>
      <c r="G194">
        <v>2</v>
      </c>
      <c r="H194" t="s">
        <v>569</v>
      </c>
      <c r="I194" t="s">
        <v>570</v>
      </c>
      <c r="J194" t="str">
        <f t="shared" ref="J194:J257" si="9">TEXT(E194,"mmmm")</f>
        <v>June</v>
      </c>
      <c r="K194" t="str">
        <f t="shared" ref="K194:K257" si="10">"Q"&amp;ROUNDUP(MONTH(E194)/3,0)</f>
        <v>Q2</v>
      </c>
      <c r="L194">
        <f t="shared" ref="L194:L257" si="11">YEAR(E194)</f>
        <v>2025</v>
      </c>
    </row>
    <row r="195" spans="1:12" x14ac:dyDescent="0.3">
      <c r="A195" t="s">
        <v>867</v>
      </c>
      <c r="B195" t="s">
        <v>864</v>
      </c>
      <c r="C195" t="s">
        <v>41</v>
      </c>
      <c r="D195">
        <v>4</v>
      </c>
      <c r="E195" s="1">
        <v>45841</v>
      </c>
      <c r="F195" t="s">
        <v>603</v>
      </c>
      <c r="G195">
        <v>2</v>
      </c>
      <c r="H195" t="s">
        <v>569</v>
      </c>
      <c r="I195" t="s">
        <v>570</v>
      </c>
      <c r="J195" t="str">
        <f t="shared" si="9"/>
        <v>July</v>
      </c>
      <c r="K195" t="str">
        <f t="shared" si="10"/>
        <v>Q3</v>
      </c>
      <c r="L195">
        <f t="shared" si="11"/>
        <v>2025</v>
      </c>
    </row>
    <row r="196" spans="1:12" x14ac:dyDescent="0.3">
      <c r="A196" t="s">
        <v>868</v>
      </c>
      <c r="B196" t="s">
        <v>869</v>
      </c>
      <c r="C196" t="s">
        <v>37</v>
      </c>
      <c r="D196">
        <v>1</v>
      </c>
      <c r="E196" s="1">
        <v>45710</v>
      </c>
      <c r="F196" t="s">
        <v>572</v>
      </c>
      <c r="G196">
        <v>5</v>
      </c>
      <c r="H196" t="s">
        <v>581</v>
      </c>
      <c r="I196" t="s">
        <v>570</v>
      </c>
      <c r="J196" t="str">
        <f t="shared" si="9"/>
        <v>February</v>
      </c>
      <c r="K196" t="str">
        <f t="shared" si="10"/>
        <v>Q1</v>
      </c>
      <c r="L196">
        <f t="shared" si="11"/>
        <v>2025</v>
      </c>
    </row>
    <row r="197" spans="1:12" x14ac:dyDescent="0.3">
      <c r="A197" t="s">
        <v>870</v>
      </c>
      <c r="B197" t="s">
        <v>869</v>
      </c>
      <c r="C197" t="s">
        <v>37</v>
      </c>
      <c r="D197">
        <v>2</v>
      </c>
      <c r="E197" s="1">
        <v>45721</v>
      </c>
      <c r="F197" t="s">
        <v>663</v>
      </c>
      <c r="G197">
        <v>5</v>
      </c>
      <c r="H197" t="s">
        <v>581</v>
      </c>
      <c r="I197" t="s">
        <v>570</v>
      </c>
      <c r="J197" t="str">
        <f t="shared" si="9"/>
        <v>March</v>
      </c>
      <c r="K197" t="str">
        <f t="shared" si="10"/>
        <v>Q1</v>
      </c>
      <c r="L197">
        <f t="shared" si="11"/>
        <v>2025</v>
      </c>
    </row>
    <row r="198" spans="1:12" x14ac:dyDescent="0.3">
      <c r="A198" t="s">
        <v>871</v>
      </c>
      <c r="B198" t="s">
        <v>872</v>
      </c>
      <c r="C198" t="s">
        <v>51</v>
      </c>
      <c r="D198">
        <v>1</v>
      </c>
      <c r="E198" s="1">
        <v>45956</v>
      </c>
      <c r="F198" t="s">
        <v>596</v>
      </c>
      <c r="G198">
        <v>2</v>
      </c>
      <c r="H198" t="s">
        <v>569</v>
      </c>
      <c r="I198" t="s">
        <v>570</v>
      </c>
      <c r="J198" t="str">
        <f t="shared" si="9"/>
        <v>October</v>
      </c>
      <c r="K198" t="str">
        <f t="shared" si="10"/>
        <v>Q4</v>
      </c>
      <c r="L198">
        <f t="shared" si="11"/>
        <v>2025</v>
      </c>
    </row>
    <row r="199" spans="1:12" x14ac:dyDescent="0.3">
      <c r="A199" t="s">
        <v>873</v>
      </c>
      <c r="B199" t="s">
        <v>872</v>
      </c>
      <c r="C199" t="s">
        <v>51</v>
      </c>
      <c r="D199">
        <v>2</v>
      </c>
      <c r="E199" s="1">
        <v>45964</v>
      </c>
      <c r="F199" t="s">
        <v>568</v>
      </c>
      <c r="G199">
        <v>4</v>
      </c>
      <c r="H199" t="s">
        <v>581</v>
      </c>
      <c r="I199" t="s">
        <v>597</v>
      </c>
      <c r="J199" t="str">
        <f t="shared" si="9"/>
        <v>November</v>
      </c>
      <c r="K199" t="str">
        <f t="shared" si="10"/>
        <v>Q4</v>
      </c>
      <c r="L199">
        <f t="shared" si="11"/>
        <v>2025</v>
      </c>
    </row>
    <row r="200" spans="1:12" x14ac:dyDescent="0.3">
      <c r="A200" t="s">
        <v>874</v>
      </c>
      <c r="B200" t="s">
        <v>875</v>
      </c>
      <c r="C200" t="s">
        <v>27</v>
      </c>
      <c r="D200">
        <v>1</v>
      </c>
      <c r="E200" s="1">
        <v>45882</v>
      </c>
      <c r="F200" t="s">
        <v>592</v>
      </c>
      <c r="G200">
        <v>1</v>
      </c>
      <c r="H200" t="s">
        <v>569</v>
      </c>
      <c r="I200" t="s">
        <v>597</v>
      </c>
      <c r="J200" t="str">
        <f t="shared" si="9"/>
        <v>August</v>
      </c>
      <c r="K200" t="str">
        <f t="shared" si="10"/>
        <v>Q3</v>
      </c>
      <c r="L200">
        <f t="shared" si="11"/>
        <v>2025</v>
      </c>
    </row>
    <row r="201" spans="1:12" x14ac:dyDescent="0.3">
      <c r="A201" t="s">
        <v>876</v>
      </c>
      <c r="B201" t="s">
        <v>875</v>
      </c>
      <c r="C201" t="s">
        <v>27</v>
      </c>
      <c r="D201">
        <v>2</v>
      </c>
      <c r="E201" s="1">
        <v>45893</v>
      </c>
      <c r="F201" t="s">
        <v>629</v>
      </c>
      <c r="G201">
        <v>2</v>
      </c>
      <c r="H201" t="s">
        <v>569</v>
      </c>
      <c r="I201" t="s">
        <v>570</v>
      </c>
      <c r="J201" t="str">
        <f t="shared" si="9"/>
        <v>August</v>
      </c>
      <c r="K201" t="str">
        <f t="shared" si="10"/>
        <v>Q3</v>
      </c>
      <c r="L201">
        <f t="shared" si="11"/>
        <v>2025</v>
      </c>
    </row>
    <row r="202" spans="1:12" x14ac:dyDescent="0.3">
      <c r="A202" t="s">
        <v>877</v>
      </c>
      <c r="B202" t="s">
        <v>878</v>
      </c>
      <c r="C202" t="s">
        <v>156</v>
      </c>
      <c r="D202">
        <v>1</v>
      </c>
      <c r="E202" s="1">
        <v>45735</v>
      </c>
      <c r="F202" t="s">
        <v>592</v>
      </c>
      <c r="G202">
        <v>3</v>
      </c>
      <c r="H202" t="s">
        <v>578</v>
      </c>
      <c r="I202" t="s">
        <v>570</v>
      </c>
      <c r="J202" t="str">
        <f t="shared" si="9"/>
        <v>March</v>
      </c>
      <c r="K202" t="str">
        <f t="shared" si="10"/>
        <v>Q1</v>
      </c>
      <c r="L202">
        <f t="shared" si="11"/>
        <v>2025</v>
      </c>
    </row>
    <row r="203" spans="1:12" x14ac:dyDescent="0.3">
      <c r="A203" t="s">
        <v>879</v>
      </c>
      <c r="B203" t="s">
        <v>878</v>
      </c>
      <c r="C203" t="s">
        <v>156</v>
      </c>
      <c r="D203">
        <v>2</v>
      </c>
      <c r="E203" s="1">
        <v>45740</v>
      </c>
      <c r="F203" t="s">
        <v>741</v>
      </c>
      <c r="G203">
        <v>2</v>
      </c>
      <c r="H203" t="s">
        <v>569</v>
      </c>
      <c r="I203" t="s">
        <v>570</v>
      </c>
      <c r="J203" t="str">
        <f t="shared" si="9"/>
        <v>March</v>
      </c>
      <c r="K203" t="str">
        <f t="shared" si="10"/>
        <v>Q1</v>
      </c>
      <c r="L203">
        <f t="shared" si="11"/>
        <v>2025</v>
      </c>
    </row>
    <row r="204" spans="1:12" x14ac:dyDescent="0.3">
      <c r="A204" t="s">
        <v>880</v>
      </c>
      <c r="B204" t="s">
        <v>881</v>
      </c>
      <c r="C204" t="s">
        <v>32</v>
      </c>
      <c r="D204">
        <v>1</v>
      </c>
      <c r="E204" s="1">
        <v>45768</v>
      </c>
      <c r="F204" t="s">
        <v>575</v>
      </c>
      <c r="G204">
        <v>2</v>
      </c>
      <c r="H204" t="s">
        <v>569</v>
      </c>
      <c r="I204" t="s">
        <v>570</v>
      </c>
      <c r="J204" t="str">
        <f t="shared" si="9"/>
        <v>April</v>
      </c>
      <c r="K204" t="str">
        <f t="shared" si="10"/>
        <v>Q2</v>
      </c>
      <c r="L204">
        <f t="shared" si="11"/>
        <v>2025</v>
      </c>
    </row>
    <row r="205" spans="1:12" x14ac:dyDescent="0.3">
      <c r="A205" t="s">
        <v>882</v>
      </c>
      <c r="B205" t="s">
        <v>881</v>
      </c>
      <c r="C205" t="s">
        <v>32</v>
      </c>
      <c r="D205">
        <v>2</v>
      </c>
      <c r="E205" s="1">
        <v>45774</v>
      </c>
      <c r="F205" t="s">
        <v>638</v>
      </c>
      <c r="G205">
        <v>1</v>
      </c>
      <c r="H205" t="s">
        <v>569</v>
      </c>
      <c r="I205" t="s">
        <v>570</v>
      </c>
      <c r="J205" t="str">
        <f t="shared" si="9"/>
        <v>April</v>
      </c>
      <c r="K205" t="str">
        <f t="shared" si="10"/>
        <v>Q2</v>
      </c>
      <c r="L205">
        <f t="shared" si="11"/>
        <v>2025</v>
      </c>
    </row>
    <row r="206" spans="1:12" x14ac:dyDescent="0.3">
      <c r="A206" t="s">
        <v>883</v>
      </c>
      <c r="B206" t="s">
        <v>884</v>
      </c>
      <c r="C206" t="s">
        <v>176</v>
      </c>
      <c r="D206">
        <v>1</v>
      </c>
      <c r="E206" s="1">
        <v>45700</v>
      </c>
      <c r="F206" t="s">
        <v>572</v>
      </c>
      <c r="G206">
        <v>1</v>
      </c>
      <c r="H206" t="s">
        <v>569</v>
      </c>
      <c r="I206" t="s">
        <v>597</v>
      </c>
      <c r="J206" t="str">
        <f t="shared" si="9"/>
        <v>February</v>
      </c>
      <c r="K206" t="str">
        <f t="shared" si="10"/>
        <v>Q1</v>
      </c>
      <c r="L206">
        <f t="shared" si="11"/>
        <v>2025</v>
      </c>
    </row>
    <row r="207" spans="1:12" x14ac:dyDescent="0.3">
      <c r="A207" t="s">
        <v>885</v>
      </c>
      <c r="B207" t="s">
        <v>886</v>
      </c>
      <c r="C207" t="s">
        <v>195</v>
      </c>
      <c r="D207">
        <v>1</v>
      </c>
      <c r="E207" s="1">
        <v>45845</v>
      </c>
      <c r="F207" t="s">
        <v>592</v>
      </c>
      <c r="G207">
        <v>3</v>
      </c>
      <c r="H207" t="s">
        <v>578</v>
      </c>
      <c r="I207" t="s">
        <v>570</v>
      </c>
      <c r="J207" t="str">
        <f t="shared" si="9"/>
        <v>July</v>
      </c>
      <c r="K207" t="str">
        <f t="shared" si="10"/>
        <v>Q3</v>
      </c>
      <c r="L207">
        <f t="shared" si="11"/>
        <v>2025</v>
      </c>
    </row>
    <row r="208" spans="1:12" x14ac:dyDescent="0.3">
      <c r="A208" t="s">
        <v>887</v>
      </c>
      <c r="B208" t="s">
        <v>886</v>
      </c>
      <c r="C208" t="s">
        <v>195</v>
      </c>
      <c r="D208">
        <v>2</v>
      </c>
      <c r="E208" s="1">
        <v>45849</v>
      </c>
      <c r="F208" t="s">
        <v>586</v>
      </c>
      <c r="G208">
        <v>4</v>
      </c>
      <c r="H208" t="s">
        <v>581</v>
      </c>
      <c r="I208" t="s">
        <v>570</v>
      </c>
      <c r="J208" t="str">
        <f t="shared" si="9"/>
        <v>July</v>
      </c>
      <c r="K208" t="str">
        <f t="shared" si="10"/>
        <v>Q3</v>
      </c>
      <c r="L208">
        <f t="shared" si="11"/>
        <v>2025</v>
      </c>
    </row>
    <row r="209" spans="1:12" x14ac:dyDescent="0.3">
      <c r="A209" t="s">
        <v>888</v>
      </c>
      <c r="B209" t="s">
        <v>886</v>
      </c>
      <c r="C209" t="s">
        <v>195</v>
      </c>
      <c r="D209">
        <v>3</v>
      </c>
      <c r="E209" s="1">
        <v>45859</v>
      </c>
      <c r="F209" t="s">
        <v>586</v>
      </c>
      <c r="G209">
        <v>2</v>
      </c>
      <c r="H209" t="s">
        <v>569</v>
      </c>
      <c r="I209" t="s">
        <v>570</v>
      </c>
      <c r="J209" t="str">
        <f t="shared" si="9"/>
        <v>July</v>
      </c>
      <c r="K209" t="str">
        <f t="shared" si="10"/>
        <v>Q3</v>
      </c>
      <c r="L209">
        <f t="shared" si="11"/>
        <v>2025</v>
      </c>
    </row>
    <row r="210" spans="1:12" x14ac:dyDescent="0.3">
      <c r="A210" t="s">
        <v>889</v>
      </c>
      <c r="B210" t="s">
        <v>886</v>
      </c>
      <c r="C210" t="s">
        <v>195</v>
      </c>
      <c r="D210">
        <v>4</v>
      </c>
      <c r="E210" s="1">
        <v>45870</v>
      </c>
      <c r="F210" t="s">
        <v>632</v>
      </c>
      <c r="G210">
        <v>1</v>
      </c>
      <c r="H210" t="s">
        <v>569</v>
      </c>
      <c r="I210" t="s">
        <v>570</v>
      </c>
      <c r="J210" t="str">
        <f t="shared" si="9"/>
        <v>August</v>
      </c>
      <c r="K210" t="str">
        <f t="shared" si="10"/>
        <v>Q3</v>
      </c>
      <c r="L210">
        <f t="shared" si="11"/>
        <v>2025</v>
      </c>
    </row>
    <row r="211" spans="1:12" x14ac:dyDescent="0.3">
      <c r="A211" t="s">
        <v>890</v>
      </c>
      <c r="B211" t="s">
        <v>392</v>
      </c>
      <c r="C211" t="s">
        <v>41</v>
      </c>
      <c r="D211">
        <v>1</v>
      </c>
      <c r="E211" s="1">
        <v>45820</v>
      </c>
      <c r="F211" t="s">
        <v>625</v>
      </c>
      <c r="G211">
        <v>3</v>
      </c>
      <c r="H211" t="s">
        <v>578</v>
      </c>
      <c r="I211" t="s">
        <v>570</v>
      </c>
      <c r="J211" t="str">
        <f t="shared" si="9"/>
        <v>June</v>
      </c>
      <c r="K211" t="str">
        <f t="shared" si="10"/>
        <v>Q2</v>
      </c>
      <c r="L211">
        <f t="shared" si="11"/>
        <v>2025</v>
      </c>
    </row>
    <row r="212" spans="1:12" x14ac:dyDescent="0.3">
      <c r="A212" t="s">
        <v>891</v>
      </c>
      <c r="B212" t="s">
        <v>392</v>
      </c>
      <c r="C212" t="s">
        <v>41</v>
      </c>
      <c r="D212">
        <v>2</v>
      </c>
      <c r="E212" s="1">
        <v>45831</v>
      </c>
      <c r="F212" t="s">
        <v>603</v>
      </c>
      <c r="G212">
        <v>4</v>
      </c>
      <c r="H212" t="s">
        <v>581</v>
      </c>
      <c r="I212" t="s">
        <v>570</v>
      </c>
      <c r="J212" t="str">
        <f t="shared" si="9"/>
        <v>June</v>
      </c>
      <c r="K212" t="str">
        <f t="shared" si="10"/>
        <v>Q2</v>
      </c>
      <c r="L212">
        <f t="shared" si="11"/>
        <v>2025</v>
      </c>
    </row>
    <row r="213" spans="1:12" x14ac:dyDescent="0.3">
      <c r="A213" t="s">
        <v>892</v>
      </c>
      <c r="B213" t="s">
        <v>392</v>
      </c>
      <c r="C213" t="s">
        <v>41</v>
      </c>
      <c r="D213">
        <v>3</v>
      </c>
      <c r="E213" s="1">
        <v>45836</v>
      </c>
      <c r="F213" t="s">
        <v>572</v>
      </c>
      <c r="G213">
        <v>4</v>
      </c>
      <c r="H213" t="s">
        <v>581</v>
      </c>
      <c r="I213" t="s">
        <v>570</v>
      </c>
      <c r="J213" t="str">
        <f t="shared" si="9"/>
        <v>June</v>
      </c>
      <c r="K213" t="str">
        <f t="shared" si="10"/>
        <v>Q2</v>
      </c>
      <c r="L213">
        <f t="shared" si="11"/>
        <v>2025</v>
      </c>
    </row>
    <row r="214" spans="1:12" x14ac:dyDescent="0.3">
      <c r="A214" t="s">
        <v>893</v>
      </c>
      <c r="B214" t="s">
        <v>894</v>
      </c>
      <c r="C214" t="s">
        <v>429</v>
      </c>
      <c r="D214">
        <v>1</v>
      </c>
      <c r="E214" s="1">
        <v>45775</v>
      </c>
      <c r="F214" t="s">
        <v>741</v>
      </c>
      <c r="G214">
        <v>4</v>
      </c>
      <c r="H214" t="s">
        <v>581</v>
      </c>
      <c r="I214" t="s">
        <v>570</v>
      </c>
      <c r="J214" t="str">
        <f t="shared" si="9"/>
        <v>April</v>
      </c>
      <c r="K214" t="str">
        <f t="shared" si="10"/>
        <v>Q2</v>
      </c>
      <c r="L214">
        <f t="shared" si="11"/>
        <v>2025</v>
      </c>
    </row>
    <row r="215" spans="1:12" x14ac:dyDescent="0.3">
      <c r="A215" t="s">
        <v>895</v>
      </c>
      <c r="B215" t="s">
        <v>894</v>
      </c>
      <c r="C215" t="s">
        <v>429</v>
      </c>
      <c r="D215">
        <v>2</v>
      </c>
      <c r="E215" s="1">
        <v>45785</v>
      </c>
      <c r="F215" t="s">
        <v>592</v>
      </c>
      <c r="G215">
        <v>4</v>
      </c>
      <c r="H215" t="s">
        <v>581</v>
      </c>
      <c r="I215" t="s">
        <v>570</v>
      </c>
      <c r="J215" t="str">
        <f t="shared" si="9"/>
        <v>May</v>
      </c>
      <c r="K215" t="str">
        <f t="shared" si="10"/>
        <v>Q2</v>
      </c>
      <c r="L215">
        <f t="shared" si="11"/>
        <v>2025</v>
      </c>
    </row>
    <row r="216" spans="1:12" x14ac:dyDescent="0.3">
      <c r="A216" t="s">
        <v>896</v>
      </c>
      <c r="B216" t="s">
        <v>897</v>
      </c>
      <c r="C216" t="s">
        <v>208</v>
      </c>
      <c r="D216">
        <v>1</v>
      </c>
      <c r="E216" s="1">
        <v>45802</v>
      </c>
      <c r="F216" t="s">
        <v>766</v>
      </c>
      <c r="G216">
        <v>1</v>
      </c>
      <c r="H216" t="s">
        <v>569</v>
      </c>
      <c r="I216" t="s">
        <v>570</v>
      </c>
      <c r="J216" t="str">
        <f t="shared" si="9"/>
        <v>May</v>
      </c>
      <c r="K216" t="str">
        <f t="shared" si="10"/>
        <v>Q2</v>
      </c>
      <c r="L216">
        <f t="shared" si="11"/>
        <v>2025</v>
      </c>
    </row>
    <row r="217" spans="1:12" x14ac:dyDescent="0.3">
      <c r="A217" t="s">
        <v>898</v>
      </c>
      <c r="B217" t="s">
        <v>899</v>
      </c>
      <c r="C217" t="s">
        <v>187</v>
      </c>
      <c r="D217">
        <v>1</v>
      </c>
      <c r="E217" s="1">
        <v>45827</v>
      </c>
      <c r="F217" t="s">
        <v>575</v>
      </c>
      <c r="G217">
        <v>2</v>
      </c>
      <c r="H217" t="s">
        <v>569</v>
      </c>
      <c r="I217" t="s">
        <v>570</v>
      </c>
      <c r="J217" t="str">
        <f t="shared" si="9"/>
        <v>June</v>
      </c>
      <c r="K217" t="str">
        <f t="shared" si="10"/>
        <v>Q2</v>
      </c>
      <c r="L217">
        <f t="shared" si="11"/>
        <v>2025</v>
      </c>
    </row>
    <row r="218" spans="1:12" x14ac:dyDescent="0.3">
      <c r="A218" t="s">
        <v>900</v>
      </c>
      <c r="B218" t="s">
        <v>899</v>
      </c>
      <c r="C218" t="s">
        <v>187</v>
      </c>
      <c r="D218">
        <v>2</v>
      </c>
      <c r="E218" s="1">
        <v>45839</v>
      </c>
      <c r="F218" t="s">
        <v>575</v>
      </c>
      <c r="G218">
        <v>1</v>
      </c>
      <c r="H218" t="s">
        <v>569</v>
      </c>
      <c r="I218" t="s">
        <v>570</v>
      </c>
      <c r="J218" t="str">
        <f t="shared" si="9"/>
        <v>July</v>
      </c>
      <c r="K218" t="str">
        <f t="shared" si="10"/>
        <v>Q3</v>
      </c>
      <c r="L218">
        <f t="shared" si="11"/>
        <v>2025</v>
      </c>
    </row>
    <row r="219" spans="1:12" x14ac:dyDescent="0.3">
      <c r="A219" t="s">
        <v>901</v>
      </c>
      <c r="B219" t="s">
        <v>902</v>
      </c>
      <c r="C219" t="s">
        <v>37</v>
      </c>
      <c r="D219">
        <v>1</v>
      </c>
      <c r="E219" s="1">
        <v>45713</v>
      </c>
      <c r="F219" t="s">
        <v>580</v>
      </c>
      <c r="G219">
        <v>2</v>
      </c>
      <c r="H219" t="s">
        <v>569</v>
      </c>
      <c r="I219" t="s">
        <v>570</v>
      </c>
      <c r="J219" t="str">
        <f t="shared" si="9"/>
        <v>February</v>
      </c>
      <c r="K219" t="str">
        <f t="shared" si="10"/>
        <v>Q1</v>
      </c>
      <c r="L219">
        <f t="shared" si="11"/>
        <v>2025</v>
      </c>
    </row>
    <row r="220" spans="1:12" x14ac:dyDescent="0.3">
      <c r="A220" t="s">
        <v>903</v>
      </c>
      <c r="B220" t="s">
        <v>902</v>
      </c>
      <c r="C220" t="s">
        <v>37</v>
      </c>
      <c r="D220">
        <v>2</v>
      </c>
      <c r="E220" s="1">
        <v>45724</v>
      </c>
      <c r="F220" t="s">
        <v>580</v>
      </c>
      <c r="G220">
        <v>2</v>
      </c>
      <c r="H220" t="s">
        <v>569</v>
      </c>
      <c r="I220" t="s">
        <v>570</v>
      </c>
      <c r="J220" t="str">
        <f t="shared" si="9"/>
        <v>March</v>
      </c>
      <c r="K220" t="str">
        <f t="shared" si="10"/>
        <v>Q1</v>
      </c>
      <c r="L220">
        <f t="shared" si="11"/>
        <v>2025</v>
      </c>
    </row>
    <row r="221" spans="1:12" x14ac:dyDescent="0.3">
      <c r="A221" t="s">
        <v>904</v>
      </c>
      <c r="B221" t="s">
        <v>902</v>
      </c>
      <c r="C221" t="s">
        <v>37</v>
      </c>
      <c r="D221">
        <v>3</v>
      </c>
      <c r="E221" s="1">
        <v>45732</v>
      </c>
      <c r="F221" t="s">
        <v>586</v>
      </c>
      <c r="G221">
        <v>2</v>
      </c>
      <c r="H221" t="s">
        <v>569</v>
      </c>
      <c r="I221" t="s">
        <v>570</v>
      </c>
      <c r="J221" t="str">
        <f t="shared" si="9"/>
        <v>March</v>
      </c>
      <c r="K221" t="str">
        <f t="shared" si="10"/>
        <v>Q1</v>
      </c>
      <c r="L221">
        <f t="shared" si="11"/>
        <v>2025</v>
      </c>
    </row>
    <row r="222" spans="1:12" x14ac:dyDescent="0.3">
      <c r="A222" t="s">
        <v>905</v>
      </c>
      <c r="B222" t="s">
        <v>902</v>
      </c>
      <c r="C222" t="s">
        <v>37</v>
      </c>
      <c r="D222">
        <v>4</v>
      </c>
      <c r="E222" s="1">
        <v>45741</v>
      </c>
      <c r="F222" t="s">
        <v>580</v>
      </c>
      <c r="G222">
        <v>2</v>
      </c>
      <c r="H222" t="s">
        <v>569</v>
      </c>
      <c r="I222" t="s">
        <v>570</v>
      </c>
      <c r="J222" t="str">
        <f t="shared" si="9"/>
        <v>March</v>
      </c>
      <c r="K222" t="str">
        <f t="shared" si="10"/>
        <v>Q1</v>
      </c>
      <c r="L222">
        <f t="shared" si="11"/>
        <v>2025</v>
      </c>
    </row>
    <row r="223" spans="1:12" x14ac:dyDescent="0.3">
      <c r="A223" t="s">
        <v>906</v>
      </c>
      <c r="B223" t="s">
        <v>412</v>
      </c>
      <c r="C223" t="s">
        <v>58</v>
      </c>
      <c r="D223">
        <v>1</v>
      </c>
      <c r="E223" s="1">
        <v>45808</v>
      </c>
      <c r="F223" t="s">
        <v>625</v>
      </c>
      <c r="G223">
        <v>4</v>
      </c>
      <c r="H223" t="s">
        <v>581</v>
      </c>
      <c r="I223" t="s">
        <v>570</v>
      </c>
      <c r="J223" t="str">
        <f t="shared" si="9"/>
        <v>May</v>
      </c>
      <c r="K223" t="str">
        <f t="shared" si="10"/>
        <v>Q2</v>
      </c>
      <c r="L223">
        <f t="shared" si="11"/>
        <v>2025</v>
      </c>
    </row>
    <row r="224" spans="1:12" x14ac:dyDescent="0.3">
      <c r="A224" t="s">
        <v>907</v>
      </c>
      <c r="B224" t="s">
        <v>412</v>
      </c>
      <c r="C224" t="s">
        <v>58</v>
      </c>
      <c r="D224">
        <v>2</v>
      </c>
      <c r="E224" s="1">
        <v>45817</v>
      </c>
      <c r="F224" t="s">
        <v>605</v>
      </c>
      <c r="G224">
        <v>5</v>
      </c>
      <c r="H224" t="s">
        <v>581</v>
      </c>
      <c r="I224" t="s">
        <v>570</v>
      </c>
      <c r="J224" t="str">
        <f t="shared" si="9"/>
        <v>June</v>
      </c>
      <c r="K224" t="str">
        <f t="shared" si="10"/>
        <v>Q2</v>
      </c>
      <c r="L224">
        <f t="shared" si="11"/>
        <v>2025</v>
      </c>
    </row>
    <row r="225" spans="1:12" x14ac:dyDescent="0.3">
      <c r="A225" t="s">
        <v>908</v>
      </c>
      <c r="B225" t="s">
        <v>909</v>
      </c>
      <c r="C225" t="s">
        <v>37</v>
      </c>
      <c r="D225">
        <v>1</v>
      </c>
      <c r="E225" s="1">
        <v>45714</v>
      </c>
      <c r="F225" t="s">
        <v>663</v>
      </c>
      <c r="G225">
        <v>2</v>
      </c>
      <c r="H225" t="s">
        <v>569</v>
      </c>
      <c r="I225" t="s">
        <v>608</v>
      </c>
      <c r="J225" t="str">
        <f t="shared" si="9"/>
        <v>February</v>
      </c>
      <c r="K225" t="str">
        <f t="shared" si="10"/>
        <v>Q1</v>
      </c>
      <c r="L225">
        <f t="shared" si="11"/>
        <v>2025</v>
      </c>
    </row>
    <row r="226" spans="1:12" x14ac:dyDescent="0.3">
      <c r="A226" t="s">
        <v>910</v>
      </c>
      <c r="B226" t="s">
        <v>909</v>
      </c>
      <c r="C226" t="s">
        <v>37</v>
      </c>
      <c r="D226">
        <v>2</v>
      </c>
      <c r="E226" s="1">
        <v>45723</v>
      </c>
      <c r="F226" t="s">
        <v>596</v>
      </c>
      <c r="G226">
        <v>1</v>
      </c>
      <c r="H226" t="s">
        <v>569</v>
      </c>
      <c r="I226" t="s">
        <v>570</v>
      </c>
      <c r="J226" t="str">
        <f t="shared" si="9"/>
        <v>March</v>
      </c>
      <c r="K226" t="str">
        <f t="shared" si="10"/>
        <v>Q1</v>
      </c>
      <c r="L226">
        <f t="shared" si="11"/>
        <v>2025</v>
      </c>
    </row>
    <row r="227" spans="1:12" x14ac:dyDescent="0.3">
      <c r="A227" t="s">
        <v>911</v>
      </c>
      <c r="B227" t="s">
        <v>909</v>
      </c>
      <c r="C227" t="s">
        <v>37</v>
      </c>
      <c r="D227">
        <v>3</v>
      </c>
      <c r="E227" s="1">
        <v>45727</v>
      </c>
      <c r="F227" t="s">
        <v>580</v>
      </c>
      <c r="G227">
        <v>1</v>
      </c>
      <c r="H227" t="s">
        <v>569</v>
      </c>
      <c r="I227" t="s">
        <v>570</v>
      </c>
      <c r="J227" t="str">
        <f t="shared" si="9"/>
        <v>March</v>
      </c>
      <c r="K227" t="str">
        <f t="shared" si="10"/>
        <v>Q1</v>
      </c>
      <c r="L227">
        <f t="shared" si="11"/>
        <v>2025</v>
      </c>
    </row>
    <row r="228" spans="1:12" x14ac:dyDescent="0.3">
      <c r="A228" t="s">
        <v>912</v>
      </c>
      <c r="B228" t="s">
        <v>913</v>
      </c>
      <c r="C228" t="s">
        <v>108</v>
      </c>
      <c r="D228">
        <v>1</v>
      </c>
      <c r="E228" s="1">
        <v>45763</v>
      </c>
      <c r="F228" t="s">
        <v>577</v>
      </c>
      <c r="G228">
        <v>3</v>
      </c>
      <c r="H228" t="s">
        <v>578</v>
      </c>
      <c r="I228" t="s">
        <v>570</v>
      </c>
      <c r="J228" t="str">
        <f t="shared" si="9"/>
        <v>April</v>
      </c>
      <c r="K228" t="str">
        <f t="shared" si="10"/>
        <v>Q2</v>
      </c>
      <c r="L228">
        <f t="shared" si="11"/>
        <v>2025</v>
      </c>
    </row>
    <row r="229" spans="1:12" x14ac:dyDescent="0.3">
      <c r="A229" t="s">
        <v>914</v>
      </c>
      <c r="B229" t="s">
        <v>913</v>
      </c>
      <c r="C229" t="s">
        <v>108</v>
      </c>
      <c r="D229">
        <v>2</v>
      </c>
      <c r="E229" s="1">
        <v>45772</v>
      </c>
      <c r="F229" t="s">
        <v>577</v>
      </c>
      <c r="G229">
        <v>2</v>
      </c>
      <c r="H229" t="s">
        <v>569</v>
      </c>
      <c r="I229" t="s">
        <v>570</v>
      </c>
      <c r="J229" t="str">
        <f t="shared" si="9"/>
        <v>April</v>
      </c>
      <c r="K229" t="str">
        <f t="shared" si="10"/>
        <v>Q2</v>
      </c>
      <c r="L229">
        <f t="shared" si="11"/>
        <v>2025</v>
      </c>
    </row>
    <row r="230" spans="1:12" x14ac:dyDescent="0.3">
      <c r="A230" t="s">
        <v>915</v>
      </c>
      <c r="B230" t="s">
        <v>913</v>
      </c>
      <c r="C230" t="s">
        <v>108</v>
      </c>
      <c r="D230">
        <v>3</v>
      </c>
      <c r="E230" s="1">
        <v>45780</v>
      </c>
      <c r="F230" t="s">
        <v>577</v>
      </c>
      <c r="G230">
        <v>1</v>
      </c>
      <c r="H230" t="s">
        <v>569</v>
      </c>
      <c r="I230" t="s">
        <v>570</v>
      </c>
      <c r="J230" t="str">
        <f t="shared" si="9"/>
        <v>May</v>
      </c>
      <c r="K230" t="str">
        <f t="shared" si="10"/>
        <v>Q2</v>
      </c>
      <c r="L230">
        <f t="shared" si="11"/>
        <v>2025</v>
      </c>
    </row>
    <row r="231" spans="1:12" x14ac:dyDescent="0.3">
      <c r="A231" t="s">
        <v>916</v>
      </c>
      <c r="B231" t="s">
        <v>913</v>
      </c>
      <c r="C231" t="s">
        <v>108</v>
      </c>
      <c r="D231">
        <v>4</v>
      </c>
      <c r="E231" s="1">
        <v>45785</v>
      </c>
      <c r="F231" t="s">
        <v>577</v>
      </c>
      <c r="G231">
        <v>1</v>
      </c>
      <c r="H231" t="s">
        <v>569</v>
      </c>
      <c r="I231" t="s">
        <v>570</v>
      </c>
      <c r="J231" t="str">
        <f t="shared" si="9"/>
        <v>May</v>
      </c>
      <c r="K231" t="str">
        <f t="shared" si="10"/>
        <v>Q2</v>
      </c>
      <c r="L231">
        <f t="shared" si="11"/>
        <v>2025</v>
      </c>
    </row>
    <row r="232" spans="1:12" x14ac:dyDescent="0.3">
      <c r="A232" t="s">
        <v>917</v>
      </c>
      <c r="B232" t="s">
        <v>918</v>
      </c>
      <c r="C232" t="s">
        <v>51</v>
      </c>
      <c r="D232">
        <v>1</v>
      </c>
      <c r="E232" s="1">
        <v>45956</v>
      </c>
      <c r="F232" t="s">
        <v>596</v>
      </c>
      <c r="G232">
        <v>1</v>
      </c>
      <c r="H232" t="s">
        <v>569</v>
      </c>
      <c r="I232" t="s">
        <v>570</v>
      </c>
      <c r="J232" t="str">
        <f t="shared" si="9"/>
        <v>October</v>
      </c>
      <c r="K232" t="str">
        <f t="shared" si="10"/>
        <v>Q4</v>
      </c>
      <c r="L232">
        <f t="shared" si="11"/>
        <v>2025</v>
      </c>
    </row>
    <row r="233" spans="1:12" x14ac:dyDescent="0.3">
      <c r="A233" t="s">
        <v>919</v>
      </c>
      <c r="B233" t="s">
        <v>918</v>
      </c>
      <c r="C233" t="s">
        <v>51</v>
      </c>
      <c r="D233">
        <v>2</v>
      </c>
      <c r="E233" s="1">
        <v>45964</v>
      </c>
      <c r="F233" t="s">
        <v>572</v>
      </c>
      <c r="G233">
        <v>1</v>
      </c>
      <c r="H233" t="s">
        <v>569</v>
      </c>
      <c r="I233" t="s">
        <v>570</v>
      </c>
      <c r="J233" t="str">
        <f t="shared" si="9"/>
        <v>November</v>
      </c>
      <c r="K233" t="str">
        <f t="shared" si="10"/>
        <v>Q4</v>
      </c>
      <c r="L233">
        <f t="shared" si="11"/>
        <v>2025</v>
      </c>
    </row>
    <row r="234" spans="1:12" x14ac:dyDescent="0.3">
      <c r="A234" t="s">
        <v>920</v>
      </c>
      <c r="B234" t="s">
        <v>921</v>
      </c>
      <c r="C234" t="s">
        <v>166</v>
      </c>
      <c r="D234">
        <v>1</v>
      </c>
      <c r="E234" s="1">
        <v>45791</v>
      </c>
      <c r="F234" t="s">
        <v>577</v>
      </c>
      <c r="G234">
        <v>3</v>
      </c>
      <c r="H234" t="s">
        <v>578</v>
      </c>
      <c r="I234" t="s">
        <v>570</v>
      </c>
      <c r="J234" t="str">
        <f t="shared" si="9"/>
        <v>May</v>
      </c>
      <c r="K234" t="str">
        <f t="shared" si="10"/>
        <v>Q2</v>
      </c>
      <c r="L234">
        <f t="shared" si="11"/>
        <v>2025</v>
      </c>
    </row>
    <row r="235" spans="1:12" x14ac:dyDescent="0.3">
      <c r="A235" t="s">
        <v>922</v>
      </c>
      <c r="B235" t="s">
        <v>921</v>
      </c>
      <c r="C235" t="s">
        <v>166</v>
      </c>
      <c r="D235">
        <v>2</v>
      </c>
      <c r="E235" s="1">
        <v>45795</v>
      </c>
      <c r="F235" t="s">
        <v>621</v>
      </c>
      <c r="G235">
        <v>3</v>
      </c>
      <c r="H235" t="s">
        <v>578</v>
      </c>
      <c r="I235" t="s">
        <v>570</v>
      </c>
      <c r="J235" t="str">
        <f t="shared" si="9"/>
        <v>May</v>
      </c>
      <c r="K235" t="str">
        <f t="shared" si="10"/>
        <v>Q2</v>
      </c>
      <c r="L235">
        <f t="shared" si="11"/>
        <v>2025</v>
      </c>
    </row>
    <row r="236" spans="1:12" x14ac:dyDescent="0.3">
      <c r="A236" t="s">
        <v>923</v>
      </c>
      <c r="B236" t="s">
        <v>924</v>
      </c>
      <c r="C236" t="s">
        <v>156</v>
      </c>
      <c r="D236">
        <v>1</v>
      </c>
      <c r="E236" s="1">
        <v>45738</v>
      </c>
      <c r="F236" t="s">
        <v>590</v>
      </c>
      <c r="G236">
        <v>3</v>
      </c>
      <c r="H236" t="s">
        <v>578</v>
      </c>
      <c r="I236" t="s">
        <v>570</v>
      </c>
      <c r="J236" t="str">
        <f t="shared" si="9"/>
        <v>March</v>
      </c>
      <c r="K236" t="str">
        <f t="shared" si="10"/>
        <v>Q1</v>
      </c>
      <c r="L236">
        <f t="shared" si="11"/>
        <v>2025</v>
      </c>
    </row>
    <row r="237" spans="1:12" x14ac:dyDescent="0.3">
      <c r="A237" t="s">
        <v>925</v>
      </c>
      <c r="B237" t="s">
        <v>924</v>
      </c>
      <c r="C237" t="s">
        <v>156</v>
      </c>
      <c r="D237">
        <v>2</v>
      </c>
      <c r="E237" s="1">
        <v>45744</v>
      </c>
      <c r="F237" t="s">
        <v>590</v>
      </c>
      <c r="G237">
        <v>3</v>
      </c>
      <c r="H237" t="s">
        <v>578</v>
      </c>
      <c r="I237" t="s">
        <v>570</v>
      </c>
      <c r="J237" t="str">
        <f t="shared" si="9"/>
        <v>March</v>
      </c>
      <c r="K237" t="str">
        <f t="shared" si="10"/>
        <v>Q1</v>
      </c>
      <c r="L237">
        <f t="shared" si="11"/>
        <v>2025</v>
      </c>
    </row>
    <row r="238" spans="1:12" x14ac:dyDescent="0.3">
      <c r="A238" t="s">
        <v>926</v>
      </c>
      <c r="B238" t="s">
        <v>924</v>
      </c>
      <c r="C238" t="s">
        <v>156</v>
      </c>
      <c r="D238">
        <v>3</v>
      </c>
      <c r="E238" s="1">
        <v>45752</v>
      </c>
      <c r="G238">
        <v>4</v>
      </c>
      <c r="H238" t="s">
        <v>581</v>
      </c>
      <c r="I238" t="s">
        <v>608</v>
      </c>
      <c r="J238" t="str">
        <f t="shared" si="9"/>
        <v>April</v>
      </c>
      <c r="K238" t="str">
        <f t="shared" si="10"/>
        <v>Q2</v>
      </c>
      <c r="L238">
        <f t="shared" si="11"/>
        <v>2025</v>
      </c>
    </row>
    <row r="239" spans="1:12" x14ac:dyDescent="0.3">
      <c r="A239" t="s">
        <v>927</v>
      </c>
      <c r="B239" t="s">
        <v>924</v>
      </c>
      <c r="C239" t="s">
        <v>156</v>
      </c>
      <c r="D239">
        <v>4</v>
      </c>
      <c r="E239" s="1">
        <v>45760</v>
      </c>
      <c r="F239" t="s">
        <v>580</v>
      </c>
      <c r="G239">
        <v>4</v>
      </c>
      <c r="H239" t="s">
        <v>581</v>
      </c>
      <c r="I239" t="s">
        <v>570</v>
      </c>
      <c r="J239" t="str">
        <f t="shared" si="9"/>
        <v>April</v>
      </c>
      <c r="K239" t="str">
        <f t="shared" si="10"/>
        <v>Q2</v>
      </c>
      <c r="L239">
        <f t="shared" si="11"/>
        <v>2025</v>
      </c>
    </row>
    <row r="240" spans="1:12" x14ac:dyDescent="0.3">
      <c r="A240" t="s">
        <v>928</v>
      </c>
      <c r="B240" t="s">
        <v>929</v>
      </c>
      <c r="C240" t="s">
        <v>32</v>
      </c>
      <c r="D240">
        <v>1</v>
      </c>
      <c r="E240" s="1">
        <v>45771</v>
      </c>
      <c r="F240" t="s">
        <v>577</v>
      </c>
      <c r="G240">
        <v>2</v>
      </c>
      <c r="H240" t="s">
        <v>569</v>
      </c>
      <c r="I240" t="s">
        <v>570</v>
      </c>
      <c r="J240" t="str">
        <f t="shared" si="9"/>
        <v>April</v>
      </c>
      <c r="K240" t="str">
        <f t="shared" si="10"/>
        <v>Q2</v>
      </c>
      <c r="L240">
        <f t="shared" si="11"/>
        <v>2025</v>
      </c>
    </row>
    <row r="241" spans="1:12" x14ac:dyDescent="0.3">
      <c r="A241" t="s">
        <v>930</v>
      </c>
      <c r="B241" t="s">
        <v>929</v>
      </c>
      <c r="C241" t="s">
        <v>32</v>
      </c>
      <c r="D241">
        <v>2</v>
      </c>
      <c r="E241" s="1">
        <v>45783</v>
      </c>
      <c r="F241" t="s">
        <v>572</v>
      </c>
      <c r="G241">
        <v>2</v>
      </c>
      <c r="H241" t="s">
        <v>569</v>
      </c>
      <c r="I241" t="s">
        <v>570</v>
      </c>
      <c r="J241" t="str">
        <f t="shared" si="9"/>
        <v>May</v>
      </c>
      <c r="K241" t="str">
        <f t="shared" si="10"/>
        <v>Q2</v>
      </c>
      <c r="L241">
        <f t="shared" si="11"/>
        <v>2025</v>
      </c>
    </row>
    <row r="242" spans="1:12" x14ac:dyDescent="0.3">
      <c r="A242" t="s">
        <v>931</v>
      </c>
      <c r="B242" t="s">
        <v>929</v>
      </c>
      <c r="C242" t="s">
        <v>32</v>
      </c>
      <c r="D242">
        <v>3</v>
      </c>
      <c r="E242" s="1">
        <v>45789</v>
      </c>
      <c r="F242" t="s">
        <v>621</v>
      </c>
      <c r="G242">
        <v>2</v>
      </c>
      <c r="H242" t="s">
        <v>569</v>
      </c>
      <c r="I242" t="s">
        <v>570</v>
      </c>
      <c r="J242" t="str">
        <f t="shared" si="9"/>
        <v>May</v>
      </c>
      <c r="K242" t="str">
        <f t="shared" si="10"/>
        <v>Q2</v>
      </c>
      <c r="L242">
        <f t="shared" si="11"/>
        <v>2025</v>
      </c>
    </row>
    <row r="243" spans="1:12" x14ac:dyDescent="0.3">
      <c r="A243" t="s">
        <v>932</v>
      </c>
      <c r="B243" t="s">
        <v>933</v>
      </c>
      <c r="C243" t="s">
        <v>108</v>
      </c>
      <c r="D243">
        <v>1</v>
      </c>
      <c r="E243" s="1">
        <v>45749</v>
      </c>
      <c r="F243" t="s">
        <v>621</v>
      </c>
      <c r="G243">
        <v>1</v>
      </c>
      <c r="H243" t="s">
        <v>569</v>
      </c>
      <c r="I243" t="s">
        <v>570</v>
      </c>
      <c r="J243" t="str">
        <f t="shared" si="9"/>
        <v>April</v>
      </c>
      <c r="K243" t="str">
        <f t="shared" si="10"/>
        <v>Q2</v>
      </c>
      <c r="L243">
        <f t="shared" si="11"/>
        <v>2025</v>
      </c>
    </row>
    <row r="244" spans="1:12" x14ac:dyDescent="0.3">
      <c r="A244" t="s">
        <v>934</v>
      </c>
      <c r="B244" t="s">
        <v>933</v>
      </c>
      <c r="C244" t="s">
        <v>108</v>
      </c>
      <c r="D244">
        <v>2</v>
      </c>
      <c r="E244" s="1">
        <v>45753</v>
      </c>
      <c r="F244" t="s">
        <v>575</v>
      </c>
      <c r="G244">
        <v>3</v>
      </c>
      <c r="H244" t="s">
        <v>578</v>
      </c>
      <c r="I244" t="s">
        <v>570</v>
      </c>
      <c r="J244" t="str">
        <f t="shared" si="9"/>
        <v>April</v>
      </c>
      <c r="K244" t="str">
        <f t="shared" si="10"/>
        <v>Q2</v>
      </c>
      <c r="L244">
        <f t="shared" si="11"/>
        <v>2025</v>
      </c>
    </row>
    <row r="245" spans="1:12" x14ac:dyDescent="0.3">
      <c r="A245" t="s">
        <v>935</v>
      </c>
      <c r="B245" t="s">
        <v>936</v>
      </c>
      <c r="C245" t="s">
        <v>156</v>
      </c>
      <c r="D245">
        <v>1</v>
      </c>
      <c r="E245" s="1">
        <v>45734</v>
      </c>
      <c r="F245" t="s">
        <v>638</v>
      </c>
      <c r="G245">
        <v>2</v>
      </c>
      <c r="H245" t="s">
        <v>569</v>
      </c>
      <c r="I245" t="s">
        <v>570</v>
      </c>
      <c r="J245" t="str">
        <f t="shared" si="9"/>
        <v>March</v>
      </c>
      <c r="K245" t="str">
        <f t="shared" si="10"/>
        <v>Q1</v>
      </c>
      <c r="L245">
        <f t="shared" si="11"/>
        <v>2025</v>
      </c>
    </row>
    <row r="246" spans="1:12" x14ac:dyDescent="0.3">
      <c r="A246" t="s">
        <v>937</v>
      </c>
      <c r="B246" t="s">
        <v>936</v>
      </c>
      <c r="C246" t="s">
        <v>156</v>
      </c>
      <c r="D246">
        <v>2</v>
      </c>
      <c r="E246" s="1">
        <v>45744</v>
      </c>
      <c r="F246" t="s">
        <v>590</v>
      </c>
      <c r="G246">
        <v>4</v>
      </c>
      <c r="H246" t="s">
        <v>581</v>
      </c>
      <c r="I246" t="s">
        <v>570</v>
      </c>
      <c r="J246" t="str">
        <f t="shared" si="9"/>
        <v>March</v>
      </c>
      <c r="K246" t="str">
        <f t="shared" si="10"/>
        <v>Q1</v>
      </c>
      <c r="L246">
        <f t="shared" si="11"/>
        <v>2025</v>
      </c>
    </row>
    <row r="247" spans="1:12" x14ac:dyDescent="0.3">
      <c r="A247" t="s">
        <v>938</v>
      </c>
      <c r="B247" t="s">
        <v>936</v>
      </c>
      <c r="C247" t="s">
        <v>156</v>
      </c>
      <c r="D247">
        <v>3</v>
      </c>
      <c r="E247" s="1">
        <v>45749</v>
      </c>
      <c r="F247" t="s">
        <v>766</v>
      </c>
      <c r="G247">
        <v>3</v>
      </c>
      <c r="H247" t="s">
        <v>578</v>
      </c>
      <c r="I247" t="s">
        <v>570</v>
      </c>
      <c r="J247" t="str">
        <f t="shared" si="9"/>
        <v>April</v>
      </c>
      <c r="K247" t="str">
        <f t="shared" si="10"/>
        <v>Q2</v>
      </c>
      <c r="L247">
        <f t="shared" si="11"/>
        <v>2025</v>
      </c>
    </row>
    <row r="248" spans="1:12" x14ac:dyDescent="0.3">
      <c r="A248" t="s">
        <v>939</v>
      </c>
      <c r="B248" t="s">
        <v>940</v>
      </c>
      <c r="C248" t="s">
        <v>187</v>
      </c>
      <c r="D248">
        <v>1</v>
      </c>
      <c r="E248" s="1">
        <v>45825</v>
      </c>
      <c r="F248" t="s">
        <v>572</v>
      </c>
      <c r="G248">
        <v>3</v>
      </c>
      <c r="H248" t="s">
        <v>578</v>
      </c>
      <c r="I248" t="s">
        <v>570</v>
      </c>
      <c r="J248" t="str">
        <f t="shared" si="9"/>
        <v>June</v>
      </c>
      <c r="K248" t="str">
        <f t="shared" si="10"/>
        <v>Q2</v>
      </c>
      <c r="L248">
        <f t="shared" si="11"/>
        <v>2025</v>
      </c>
    </row>
    <row r="249" spans="1:12" x14ac:dyDescent="0.3">
      <c r="A249" t="s">
        <v>941</v>
      </c>
      <c r="B249" t="s">
        <v>942</v>
      </c>
      <c r="C249" t="s">
        <v>99</v>
      </c>
      <c r="D249">
        <v>1</v>
      </c>
      <c r="E249" s="1">
        <v>45856</v>
      </c>
      <c r="F249" t="s">
        <v>584</v>
      </c>
      <c r="G249">
        <v>3</v>
      </c>
      <c r="H249" t="s">
        <v>578</v>
      </c>
      <c r="I249" t="s">
        <v>570</v>
      </c>
      <c r="J249" t="str">
        <f t="shared" si="9"/>
        <v>July</v>
      </c>
      <c r="K249" t="str">
        <f t="shared" si="10"/>
        <v>Q3</v>
      </c>
      <c r="L249">
        <f t="shared" si="11"/>
        <v>2025</v>
      </c>
    </row>
    <row r="250" spans="1:12" x14ac:dyDescent="0.3">
      <c r="A250" t="s">
        <v>943</v>
      </c>
      <c r="B250" t="s">
        <v>178</v>
      </c>
      <c r="C250" t="s">
        <v>92</v>
      </c>
      <c r="D250">
        <v>1</v>
      </c>
      <c r="E250" s="1">
        <v>45764</v>
      </c>
      <c r="F250" t="s">
        <v>612</v>
      </c>
      <c r="G250">
        <v>4</v>
      </c>
      <c r="H250" t="s">
        <v>581</v>
      </c>
      <c r="I250" t="s">
        <v>570</v>
      </c>
      <c r="J250" t="str">
        <f t="shared" si="9"/>
        <v>April</v>
      </c>
      <c r="K250" t="str">
        <f t="shared" si="10"/>
        <v>Q2</v>
      </c>
      <c r="L250">
        <f t="shared" si="11"/>
        <v>2025</v>
      </c>
    </row>
    <row r="251" spans="1:12" x14ac:dyDescent="0.3">
      <c r="A251" t="s">
        <v>944</v>
      </c>
      <c r="B251" t="s">
        <v>945</v>
      </c>
      <c r="C251" t="s">
        <v>88</v>
      </c>
      <c r="D251">
        <v>1</v>
      </c>
      <c r="E251" s="1">
        <v>45746</v>
      </c>
      <c r="F251" t="s">
        <v>572</v>
      </c>
      <c r="G251">
        <v>3</v>
      </c>
      <c r="H251" t="s">
        <v>578</v>
      </c>
      <c r="I251" t="s">
        <v>608</v>
      </c>
      <c r="J251" t="str">
        <f t="shared" si="9"/>
        <v>March</v>
      </c>
      <c r="K251" t="str">
        <f t="shared" si="10"/>
        <v>Q1</v>
      </c>
      <c r="L251">
        <f t="shared" si="11"/>
        <v>2025</v>
      </c>
    </row>
    <row r="252" spans="1:12" x14ac:dyDescent="0.3">
      <c r="A252" t="s">
        <v>946</v>
      </c>
      <c r="B252" t="s">
        <v>945</v>
      </c>
      <c r="C252" t="s">
        <v>88</v>
      </c>
      <c r="D252">
        <v>2</v>
      </c>
      <c r="E252" s="1">
        <v>45753</v>
      </c>
      <c r="F252" t="s">
        <v>621</v>
      </c>
      <c r="G252">
        <v>2</v>
      </c>
      <c r="H252" t="s">
        <v>569</v>
      </c>
      <c r="I252" t="s">
        <v>570</v>
      </c>
      <c r="J252" t="str">
        <f t="shared" si="9"/>
        <v>April</v>
      </c>
      <c r="K252" t="str">
        <f t="shared" si="10"/>
        <v>Q2</v>
      </c>
      <c r="L252">
        <f t="shared" si="11"/>
        <v>2025</v>
      </c>
    </row>
    <row r="253" spans="1:12" x14ac:dyDescent="0.3">
      <c r="A253" t="s">
        <v>947</v>
      </c>
      <c r="B253" t="s">
        <v>945</v>
      </c>
      <c r="C253" t="s">
        <v>88</v>
      </c>
      <c r="D253">
        <v>3</v>
      </c>
      <c r="E253" s="1">
        <v>45759</v>
      </c>
      <c r="F253" t="s">
        <v>621</v>
      </c>
      <c r="G253">
        <v>1</v>
      </c>
      <c r="H253" t="s">
        <v>569</v>
      </c>
      <c r="I253" t="s">
        <v>570</v>
      </c>
      <c r="J253" t="str">
        <f t="shared" si="9"/>
        <v>April</v>
      </c>
      <c r="K253" t="str">
        <f t="shared" si="10"/>
        <v>Q2</v>
      </c>
      <c r="L253">
        <f t="shared" si="11"/>
        <v>2025</v>
      </c>
    </row>
    <row r="254" spans="1:12" x14ac:dyDescent="0.3">
      <c r="A254" t="s">
        <v>948</v>
      </c>
      <c r="B254" t="s">
        <v>351</v>
      </c>
      <c r="C254" t="s">
        <v>88</v>
      </c>
      <c r="D254">
        <v>1</v>
      </c>
      <c r="E254" s="1">
        <v>45750</v>
      </c>
      <c r="F254" t="s">
        <v>575</v>
      </c>
      <c r="G254">
        <v>4</v>
      </c>
      <c r="H254" t="s">
        <v>581</v>
      </c>
      <c r="I254" t="s">
        <v>570</v>
      </c>
      <c r="J254" t="str">
        <f t="shared" si="9"/>
        <v>April</v>
      </c>
      <c r="K254" t="str">
        <f t="shared" si="10"/>
        <v>Q2</v>
      </c>
      <c r="L254">
        <f t="shared" si="11"/>
        <v>2025</v>
      </c>
    </row>
    <row r="255" spans="1:12" x14ac:dyDescent="0.3">
      <c r="A255" t="s">
        <v>949</v>
      </c>
      <c r="B255" t="s">
        <v>950</v>
      </c>
      <c r="C255" t="s">
        <v>201</v>
      </c>
      <c r="D255">
        <v>1</v>
      </c>
      <c r="E255" s="1">
        <v>45962</v>
      </c>
      <c r="F255" t="s">
        <v>612</v>
      </c>
      <c r="G255">
        <v>2</v>
      </c>
      <c r="H255" t="s">
        <v>569</v>
      </c>
      <c r="I255" t="s">
        <v>570</v>
      </c>
      <c r="J255" t="str">
        <f t="shared" si="9"/>
        <v>November</v>
      </c>
      <c r="K255" t="str">
        <f t="shared" si="10"/>
        <v>Q4</v>
      </c>
      <c r="L255">
        <f t="shared" si="11"/>
        <v>2025</v>
      </c>
    </row>
    <row r="256" spans="1:12" x14ac:dyDescent="0.3">
      <c r="A256" t="s">
        <v>951</v>
      </c>
      <c r="B256" t="s">
        <v>950</v>
      </c>
      <c r="C256" t="s">
        <v>201</v>
      </c>
      <c r="D256">
        <v>2</v>
      </c>
      <c r="E256" s="1">
        <v>45969</v>
      </c>
      <c r="F256" t="s">
        <v>577</v>
      </c>
      <c r="G256">
        <v>3</v>
      </c>
      <c r="H256" t="s">
        <v>578</v>
      </c>
      <c r="I256" t="s">
        <v>570</v>
      </c>
      <c r="J256" t="str">
        <f t="shared" si="9"/>
        <v>November</v>
      </c>
      <c r="K256" t="str">
        <f t="shared" si="10"/>
        <v>Q4</v>
      </c>
      <c r="L256">
        <f t="shared" si="11"/>
        <v>2025</v>
      </c>
    </row>
    <row r="257" spans="1:12" x14ac:dyDescent="0.3">
      <c r="A257" t="s">
        <v>952</v>
      </c>
      <c r="B257" t="s">
        <v>950</v>
      </c>
      <c r="C257" t="s">
        <v>201</v>
      </c>
      <c r="D257">
        <v>3</v>
      </c>
      <c r="E257" s="1">
        <v>45974</v>
      </c>
      <c r="F257" t="s">
        <v>612</v>
      </c>
      <c r="G257">
        <v>2</v>
      </c>
      <c r="H257" t="s">
        <v>569</v>
      </c>
      <c r="I257" t="s">
        <v>570</v>
      </c>
      <c r="J257" t="str">
        <f t="shared" si="9"/>
        <v>November</v>
      </c>
      <c r="K257" t="str">
        <f t="shared" si="10"/>
        <v>Q4</v>
      </c>
      <c r="L257">
        <f t="shared" si="11"/>
        <v>2025</v>
      </c>
    </row>
    <row r="258" spans="1:12" x14ac:dyDescent="0.3">
      <c r="A258" t="s">
        <v>953</v>
      </c>
      <c r="B258" t="s">
        <v>954</v>
      </c>
      <c r="C258" t="s">
        <v>201</v>
      </c>
      <c r="D258">
        <v>1</v>
      </c>
      <c r="E258" s="1">
        <v>45970</v>
      </c>
      <c r="F258" t="s">
        <v>603</v>
      </c>
      <c r="G258">
        <v>1</v>
      </c>
      <c r="H258" t="s">
        <v>569</v>
      </c>
      <c r="I258" t="s">
        <v>570</v>
      </c>
      <c r="J258" t="str">
        <f t="shared" ref="J258:J321" si="12">TEXT(E258,"mmmm")</f>
        <v>November</v>
      </c>
      <c r="K258" t="str">
        <f t="shared" ref="K258:K321" si="13">"Q"&amp;ROUNDUP(MONTH(E258)/3,0)</f>
        <v>Q4</v>
      </c>
      <c r="L258">
        <f t="shared" ref="L258:L321" si="14">YEAR(E258)</f>
        <v>2025</v>
      </c>
    </row>
    <row r="259" spans="1:12" x14ac:dyDescent="0.3">
      <c r="A259" t="s">
        <v>955</v>
      </c>
      <c r="B259" t="s">
        <v>954</v>
      </c>
      <c r="C259" t="s">
        <v>201</v>
      </c>
      <c r="D259">
        <v>2</v>
      </c>
      <c r="E259" s="1">
        <v>45979</v>
      </c>
      <c r="F259" t="s">
        <v>612</v>
      </c>
      <c r="G259">
        <v>1</v>
      </c>
      <c r="H259" t="s">
        <v>569</v>
      </c>
      <c r="I259" t="s">
        <v>570</v>
      </c>
      <c r="J259" t="str">
        <f t="shared" si="12"/>
        <v>November</v>
      </c>
      <c r="K259" t="str">
        <f t="shared" si="13"/>
        <v>Q4</v>
      </c>
      <c r="L259">
        <f t="shared" si="14"/>
        <v>2025</v>
      </c>
    </row>
    <row r="260" spans="1:12" x14ac:dyDescent="0.3">
      <c r="A260" t="s">
        <v>956</v>
      </c>
      <c r="B260" t="s">
        <v>954</v>
      </c>
      <c r="C260" t="s">
        <v>201</v>
      </c>
      <c r="D260">
        <v>3</v>
      </c>
      <c r="E260" s="1">
        <v>45987</v>
      </c>
      <c r="F260" t="s">
        <v>625</v>
      </c>
      <c r="G260">
        <v>1</v>
      </c>
      <c r="H260" t="s">
        <v>569</v>
      </c>
      <c r="I260" t="s">
        <v>570</v>
      </c>
      <c r="J260" t="str">
        <f t="shared" si="12"/>
        <v>November</v>
      </c>
      <c r="K260" t="str">
        <f t="shared" si="13"/>
        <v>Q4</v>
      </c>
      <c r="L260">
        <f t="shared" si="14"/>
        <v>2025</v>
      </c>
    </row>
    <row r="261" spans="1:12" x14ac:dyDescent="0.3">
      <c r="A261" t="s">
        <v>957</v>
      </c>
      <c r="B261" t="s">
        <v>958</v>
      </c>
      <c r="C261" t="s">
        <v>68</v>
      </c>
      <c r="D261">
        <v>1</v>
      </c>
      <c r="E261" s="1">
        <v>45741</v>
      </c>
      <c r="F261" t="s">
        <v>586</v>
      </c>
      <c r="G261">
        <v>2</v>
      </c>
      <c r="H261" t="s">
        <v>569</v>
      </c>
      <c r="I261" t="s">
        <v>570</v>
      </c>
      <c r="J261" t="str">
        <f t="shared" si="12"/>
        <v>March</v>
      </c>
      <c r="K261" t="str">
        <f t="shared" si="13"/>
        <v>Q1</v>
      </c>
      <c r="L261">
        <f t="shared" si="14"/>
        <v>2025</v>
      </c>
    </row>
    <row r="262" spans="1:12" x14ac:dyDescent="0.3">
      <c r="A262" t="s">
        <v>959</v>
      </c>
      <c r="B262" t="s">
        <v>958</v>
      </c>
      <c r="C262" t="s">
        <v>68</v>
      </c>
      <c r="D262">
        <v>2</v>
      </c>
      <c r="E262" s="1">
        <v>45746</v>
      </c>
      <c r="F262" t="s">
        <v>586</v>
      </c>
      <c r="G262">
        <v>2</v>
      </c>
      <c r="H262" t="s">
        <v>569</v>
      </c>
      <c r="I262" t="s">
        <v>570</v>
      </c>
      <c r="J262" t="str">
        <f t="shared" si="12"/>
        <v>March</v>
      </c>
      <c r="K262" t="str">
        <f t="shared" si="13"/>
        <v>Q1</v>
      </c>
      <c r="L262">
        <f t="shared" si="14"/>
        <v>2025</v>
      </c>
    </row>
    <row r="263" spans="1:12" x14ac:dyDescent="0.3">
      <c r="A263" t="s">
        <v>960</v>
      </c>
      <c r="B263" t="s">
        <v>958</v>
      </c>
      <c r="C263" t="s">
        <v>68</v>
      </c>
      <c r="D263">
        <v>3</v>
      </c>
      <c r="E263" s="1">
        <v>45751</v>
      </c>
      <c r="F263" t="s">
        <v>592</v>
      </c>
      <c r="G263">
        <v>1</v>
      </c>
      <c r="H263" t="s">
        <v>569</v>
      </c>
      <c r="I263" t="s">
        <v>608</v>
      </c>
      <c r="J263" t="str">
        <f t="shared" si="12"/>
        <v>April</v>
      </c>
      <c r="K263" t="str">
        <f t="shared" si="13"/>
        <v>Q2</v>
      </c>
      <c r="L263">
        <f t="shared" si="14"/>
        <v>2025</v>
      </c>
    </row>
    <row r="264" spans="1:12" x14ac:dyDescent="0.3">
      <c r="A264" t="s">
        <v>961</v>
      </c>
      <c r="B264" t="s">
        <v>962</v>
      </c>
      <c r="C264" t="s">
        <v>96</v>
      </c>
      <c r="D264">
        <v>1</v>
      </c>
      <c r="E264" s="1">
        <v>45880</v>
      </c>
      <c r="F264" t="s">
        <v>577</v>
      </c>
      <c r="G264">
        <v>2</v>
      </c>
      <c r="H264" t="s">
        <v>569</v>
      </c>
      <c r="I264" t="s">
        <v>570</v>
      </c>
      <c r="J264" t="str">
        <f t="shared" si="12"/>
        <v>August</v>
      </c>
      <c r="K264" t="str">
        <f t="shared" si="13"/>
        <v>Q3</v>
      </c>
      <c r="L264">
        <f t="shared" si="14"/>
        <v>2025</v>
      </c>
    </row>
    <row r="265" spans="1:12" x14ac:dyDescent="0.3">
      <c r="A265" t="s">
        <v>963</v>
      </c>
      <c r="B265" t="s">
        <v>962</v>
      </c>
      <c r="C265" t="s">
        <v>96</v>
      </c>
      <c r="D265">
        <v>2</v>
      </c>
      <c r="E265" s="1">
        <v>45885</v>
      </c>
      <c r="F265" t="s">
        <v>577</v>
      </c>
      <c r="G265">
        <v>3</v>
      </c>
      <c r="H265" t="s">
        <v>578</v>
      </c>
      <c r="I265" t="s">
        <v>570</v>
      </c>
      <c r="J265" t="str">
        <f t="shared" si="12"/>
        <v>August</v>
      </c>
      <c r="K265" t="str">
        <f t="shared" si="13"/>
        <v>Q3</v>
      </c>
      <c r="L265">
        <f t="shared" si="14"/>
        <v>2025</v>
      </c>
    </row>
    <row r="266" spans="1:12" x14ac:dyDescent="0.3">
      <c r="A266" t="s">
        <v>964</v>
      </c>
      <c r="B266" t="s">
        <v>965</v>
      </c>
      <c r="C266" t="s">
        <v>156</v>
      </c>
      <c r="D266">
        <v>1</v>
      </c>
      <c r="E266" s="1">
        <v>45738</v>
      </c>
      <c r="F266" t="s">
        <v>580</v>
      </c>
      <c r="G266">
        <v>2</v>
      </c>
      <c r="H266" t="s">
        <v>569</v>
      </c>
      <c r="I266" t="s">
        <v>570</v>
      </c>
      <c r="J266" t="str">
        <f t="shared" si="12"/>
        <v>March</v>
      </c>
      <c r="K266" t="str">
        <f t="shared" si="13"/>
        <v>Q1</v>
      </c>
      <c r="L266">
        <f t="shared" si="14"/>
        <v>2025</v>
      </c>
    </row>
    <row r="267" spans="1:12" x14ac:dyDescent="0.3">
      <c r="A267" t="s">
        <v>966</v>
      </c>
      <c r="B267" t="s">
        <v>965</v>
      </c>
      <c r="C267" t="s">
        <v>156</v>
      </c>
      <c r="D267">
        <v>2</v>
      </c>
      <c r="E267" s="1">
        <v>45746</v>
      </c>
      <c r="F267" t="s">
        <v>590</v>
      </c>
      <c r="G267">
        <v>1</v>
      </c>
      <c r="H267" t="s">
        <v>569</v>
      </c>
      <c r="I267" t="s">
        <v>570</v>
      </c>
      <c r="J267" t="str">
        <f t="shared" si="12"/>
        <v>March</v>
      </c>
      <c r="K267" t="str">
        <f t="shared" si="13"/>
        <v>Q1</v>
      </c>
      <c r="L267">
        <f t="shared" si="14"/>
        <v>2025</v>
      </c>
    </row>
    <row r="268" spans="1:12" x14ac:dyDescent="0.3">
      <c r="A268" t="s">
        <v>967</v>
      </c>
      <c r="B268" t="s">
        <v>467</v>
      </c>
      <c r="C268" t="s">
        <v>85</v>
      </c>
      <c r="D268">
        <v>1</v>
      </c>
      <c r="E268" s="1">
        <v>45856</v>
      </c>
      <c r="F268" t="s">
        <v>580</v>
      </c>
      <c r="G268">
        <v>5</v>
      </c>
      <c r="H268" t="s">
        <v>581</v>
      </c>
      <c r="I268" t="s">
        <v>570</v>
      </c>
      <c r="J268" t="str">
        <f t="shared" si="12"/>
        <v>July</v>
      </c>
      <c r="K268" t="str">
        <f t="shared" si="13"/>
        <v>Q3</v>
      </c>
      <c r="L268">
        <f t="shared" si="14"/>
        <v>2025</v>
      </c>
    </row>
    <row r="269" spans="1:12" x14ac:dyDescent="0.3">
      <c r="A269" t="s">
        <v>968</v>
      </c>
      <c r="B269" t="s">
        <v>345</v>
      </c>
      <c r="C269" t="s">
        <v>240</v>
      </c>
      <c r="D269">
        <v>1</v>
      </c>
      <c r="E269" s="1">
        <v>45964</v>
      </c>
      <c r="F269" t="s">
        <v>663</v>
      </c>
      <c r="G269">
        <v>4</v>
      </c>
      <c r="H269" t="s">
        <v>581</v>
      </c>
      <c r="I269" t="s">
        <v>570</v>
      </c>
      <c r="J269" t="str">
        <f t="shared" si="12"/>
        <v>November</v>
      </c>
      <c r="K269" t="str">
        <f t="shared" si="13"/>
        <v>Q4</v>
      </c>
      <c r="L269">
        <f t="shared" si="14"/>
        <v>2025</v>
      </c>
    </row>
    <row r="270" spans="1:12" x14ac:dyDescent="0.3">
      <c r="A270" t="s">
        <v>969</v>
      </c>
      <c r="B270" t="s">
        <v>345</v>
      </c>
      <c r="C270" t="s">
        <v>240</v>
      </c>
      <c r="D270">
        <v>2</v>
      </c>
      <c r="E270" s="1">
        <v>45969</v>
      </c>
      <c r="F270" t="s">
        <v>596</v>
      </c>
      <c r="G270">
        <v>3</v>
      </c>
      <c r="H270" t="s">
        <v>578</v>
      </c>
      <c r="I270" t="s">
        <v>570</v>
      </c>
      <c r="J270" t="str">
        <f t="shared" si="12"/>
        <v>November</v>
      </c>
      <c r="K270" t="str">
        <f t="shared" si="13"/>
        <v>Q4</v>
      </c>
      <c r="L270">
        <f t="shared" si="14"/>
        <v>2025</v>
      </c>
    </row>
    <row r="271" spans="1:12" x14ac:dyDescent="0.3">
      <c r="A271" t="s">
        <v>970</v>
      </c>
      <c r="B271" t="s">
        <v>345</v>
      </c>
      <c r="C271" t="s">
        <v>240</v>
      </c>
      <c r="D271">
        <v>3</v>
      </c>
      <c r="E271" s="1">
        <v>45976</v>
      </c>
      <c r="F271" t="s">
        <v>663</v>
      </c>
      <c r="G271">
        <v>4</v>
      </c>
      <c r="H271" t="s">
        <v>581</v>
      </c>
      <c r="I271" t="s">
        <v>570</v>
      </c>
      <c r="J271" t="str">
        <f t="shared" si="12"/>
        <v>November</v>
      </c>
      <c r="K271" t="str">
        <f t="shared" si="13"/>
        <v>Q4</v>
      </c>
      <c r="L271">
        <f t="shared" si="14"/>
        <v>2025</v>
      </c>
    </row>
    <row r="272" spans="1:12" x14ac:dyDescent="0.3">
      <c r="A272" t="s">
        <v>971</v>
      </c>
      <c r="B272" t="s">
        <v>972</v>
      </c>
      <c r="C272" t="s">
        <v>973</v>
      </c>
      <c r="D272">
        <v>1</v>
      </c>
      <c r="E272" s="1">
        <v>45928</v>
      </c>
      <c r="F272" t="s">
        <v>706</v>
      </c>
      <c r="G272">
        <v>2</v>
      </c>
      <c r="H272" t="s">
        <v>569</v>
      </c>
      <c r="I272" t="s">
        <v>570</v>
      </c>
      <c r="J272" t="str">
        <f t="shared" si="12"/>
        <v>September</v>
      </c>
      <c r="K272" t="str">
        <f t="shared" si="13"/>
        <v>Q3</v>
      </c>
      <c r="L272">
        <f t="shared" si="14"/>
        <v>2025</v>
      </c>
    </row>
    <row r="273" spans="1:12" x14ac:dyDescent="0.3">
      <c r="A273" t="s">
        <v>974</v>
      </c>
      <c r="B273" t="s">
        <v>975</v>
      </c>
      <c r="C273" t="s">
        <v>16</v>
      </c>
      <c r="D273">
        <v>1</v>
      </c>
      <c r="E273" s="1">
        <v>45761</v>
      </c>
      <c r="F273" t="s">
        <v>636</v>
      </c>
      <c r="G273">
        <v>2</v>
      </c>
      <c r="H273" t="s">
        <v>569</v>
      </c>
      <c r="I273" t="s">
        <v>570</v>
      </c>
      <c r="J273" t="str">
        <f t="shared" si="12"/>
        <v>April</v>
      </c>
      <c r="K273" t="str">
        <f t="shared" si="13"/>
        <v>Q2</v>
      </c>
      <c r="L273">
        <f t="shared" si="14"/>
        <v>2025</v>
      </c>
    </row>
    <row r="274" spans="1:12" x14ac:dyDescent="0.3">
      <c r="A274" t="s">
        <v>976</v>
      </c>
      <c r="B274" t="s">
        <v>975</v>
      </c>
      <c r="C274" t="s">
        <v>16</v>
      </c>
      <c r="D274">
        <v>2</v>
      </c>
      <c r="E274" s="1">
        <v>45773</v>
      </c>
      <c r="F274" t="s">
        <v>706</v>
      </c>
      <c r="G274">
        <v>2</v>
      </c>
      <c r="H274" t="s">
        <v>569</v>
      </c>
      <c r="I274" t="s">
        <v>570</v>
      </c>
      <c r="J274" t="str">
        <f t="shared" si="12"/>
        <v>April</v>
      </c>
      <c r="K274" t="str">
        <f t="shared" si="13"/>
        <v>Q2</v>
      </c>
      <c r="L274">
        <f t="shared" si="14"/>
        <v>2025</v>
      </c>
    </row>
    <row r="275" spans="1:12" x14ac:dyDescent="0.3">
      <c r="A275" t="s">
        <v>977</v>
      </c>
      <c r="B275" t="s">
        <v>465</v>
      </c>
      <c r="C275" t="s">
        <v>32</v>
      </c>
      <c r="D275">
        <v>1</v>
      </c>
      <c r="E275" s="1">
        <v>45770</v>
      </c>
      <c r="F275" t="s">
        <v>638</v>
      </c>
      <c r="G275">
        <v>3</v>
      </c>
      <c r="H275" t="s">
        <v>578</v>
      </c>
      <c r="I275" t="s">
        <v>570</v>
      </c>
      <c r="J275" t="str">
        <f t="shared" si="12"/>
        <v>April</v>
      </c>
      <c r="K275" t="str">
        <f t="shared" si="13"/>
        <v>Q2</v>
      </c>
      <c r="L275">
        <f t="shared" si="14"/>
        <v>2025</v>
      </c>
    </row>
    <row r="276" spans="1:12" x14ac:dyDescent="0.3">
      <c r="A276" t="s">
        <v>978</v>
      </c>
      <c r="B276" t="s">
        <v>465</v>
      </c>
      <c r="C276" t="s">
        <v>32</v>
      </c>
      <c r="D276">
        <v>2</v>
      </c>
      <c r="E276" s="1">
        <v>45776</v>
      </c>
      <c r="F276" t="s">
        <v>577</v>
      </c>
      <c r="G276">
        <v>5</v>
      </c>
      <c r="H276" t="s">
        <v>581</v>
      </c>
      <c r="I276" t="s">
        <v>570</v>
      </c>
      <c r="J276" t="str">
        <f t="shared" si="12"/>
        <v>April</v>
      </c>
      <c r="K276" t="str">
        <f t="shared" si="13"/>
        <v>Q2</v>
      </c>
      <c r="L276">
        <f t="shared" si="14"/>
        <v>2025</v>
      </c>
    </row>
    <row r="277" spans="1:12" x14ac:dyDescent="0.3">
      <c r="A277" t="s">
        <v>979</v>
      </c>
      <c r="B277" t="s">
        <v>171</v>
      </c>
      <c r="C277" t="s">
        <v>51</v>
      </c>
      <c r="D277">
        <v>1</v>
      </c>
      <c r="E277" s="1">
        <v>45957</v>
      </c>
      <c r="F277" t="s">
        <v>663</v>
      </c>
      <c r="G277">
        <v>4</v>
      </c>
      <c r="H277" t="s">
        <v>581</v>
      </c>
      <c r="I277" t="s">
        <v>570</v>
      </c>
      <c r="J277" t="str">
        <f t="shared" si="12"/>
        <v>October</v>
      </c>
      <c r="K277" t="str">
        <f t="shared" si="13"/>
        <v>Q4</v>
      </c>
      <c r="L277">
        <f t="shared" si="14"/>
        <v>2025</v>
      </c>
    </row>
    <row r="278" spans="1:12" x14ac:dyDescent="0.3">
      <c r="A278" t="s">
        <v>980</v>
      </c>
      <c r="B278" t="s">
        <v>171</v>
      </c>
      <c r="C278" t="s">
        <v>51</v>
      </c>
      <c r="D278">
        <v>2</v>
      </c>
      <c r="E278" s="1">
        <v>45965</v>
      </c>
      <c r="F278" t="s">
        <v>663</v>
      </c>
      <c r="G278">
        <v>4</v>
      </c>
      <c r="H278" t="s">
        <v>581</v>
      </c>
      <c r="I278" t="s">
        <v>570</v>
      </c>
      <c r="J278" t="str">
        <f t="shared" si="12"/>
        <v>November</v>
      </c>
      <c r="K278" t="str">
        <f t="shared" si="13"/>
        <v>Q4</v>
      </c>
      <c r="L278">
        <f t="shared" si="14"/>
        <v>2025</v>
      </c>
    </row>
    <row r="279" spans="1:12" x14ac:dyDescent="0.3">
      <c r="A279" t="s">
        <v>981</v>
      </c>
      <c r="B279" t="s">
        <v>982</v>
      </c>
      <c r="C279" t="s">
        <v>429</v>
      </c>
      <c r="D279">
        <v>1</v>
      </c>
      <c r="E279" s="1">
        <v>45772</v>
      </c>
      <c r="F279" t="s">
        <v>741</v>
      </c>
      <c r="G279">
        <v>2</v>
      </c>
      <c r="H279" t="s">
        <v>569</v>
      </c>
      <c r="I279" t="s">
        <v>570</v>
      </c>
      <c r="J279" t="str">
        <f t="shared" si="12"/>
        <v>April</v>
      </c>
      <c r="K279" t="str">
        <f t="shared" si="13"/>
        <v>Q2</v>
      </c>
      <c r="L279">
        <f t="shared" si="14"/>
        <v>2025</v>
      </c>
    </row>
    <row r="280" spans="1:12" x14ac:dyDescent="0.3">
      <c r="A280" t="s">
        <v>983</v>
      </c>
      <c r="B280" t="s">
        <v>982</v>
      </c>
      <c r="C280" t="s">
        <v>429</v>
      </c>
      <c r="D280">
        <v>2</v>
      </c>
      <c r="E280" s="1">
        <v>45779</v>
      </c>
      <c r="F280" t="s">
        <v>741</v>
      </c>
      <c r="G280">
        <v>2</v>
      </c>
      <c r="H280" t="s">
        <v>569</v>
      </c>
      <c r="I280" t="s">
        <v>570</v>
      </c>
      <c r="J280" t="str">
        <f t="shared" si="12"/>
        <v>May</v>
      </c>
      <c r="K280" t="str">
        <f t="shared" si="13"/>
        <v>Q2</v>
      </c>
      <c r="L280">
        <f t="shared" si="14"/>
        <v>2025</v>
      </c>
    </row>
    <row r="281" spans="1:12" x14ac:dyDescent="0.3">
      <c r="A281" t="s">
        <v>984</v>
      </c>
      <c r="B281" t="s">
        <v>985</v>
      </c>
      <c r="C281" t="s">
        <v>183</v>
      </c>
      <c r="D281">
        <v>1</v>
      </c>
      <c r="E281" s="1">
        <v>45855</v>
      </c>
      <c r="F281" t="s">
        <v>649</v>
      </c>
      <c r="G281">
        <v>1</v>
      </c>
      <c r="H281" t="s">
        <v>569</v>
      </c>
      <c r="I281" t="s">
        <v>570</v>
      </c>
      <c r="J281" t="str">
        <f t="shared" si="12"/>
        <v>July</v>
      </c>
      <c r="K281" t="str">
        <f t="shared" si="13"/>
        <v>Q3</v>
      </c>
      <c r="L281">
        <f t="shared" si="14"/>
        <v>2025</v>
      </c>
    </row>
    <row r="282" spans="1:12" x14ac:dyDescent="0.3">
      <c r="A282" t="s">
        <v>986</v>
      </c>
      <c r="B282" t="s">
        <v>987</v>
      </c>
      <c r="C282" t="s">
        <v>191</v>
      </c>
      <c r="D282">
        <v>1</v>
      </c>
      <c r="E282" s="1">
        <v>45673</v>
      </c>
      <c r="F282" t="s">
        <v>988</v>
      </c>
      <c r="G282">
        <v>1</v>
      </c>
      <c r="H282" t="s">
        <v>569</v>
      </c>
      <c r="I282" t="s">
        <v>597</v>
      </c>
      <c r="J282" t="str">
        <f t="shared" si="12"/>
        <v>January</v>
      </c>
      <c r="K282" t="str">
        <f t="shared" si="13"/>
        <v>Q1</v>
      </c>
      <c r="L282">
        <f t="shared" si="14"/>
        <v>2025</v>
      </c>
    </row>
    <row r="283" spans="1:12" x14ac:dyDescent="0.3">
      <c r="A283" t="s">
        <v>989</v>
      </c>
      <c r="B283" t="s">
        <v>987</v>
      </c>
      <c r="C283" t="s">
        <v>191</v>
      </c>
      <c r="D283">
        <v>2</v>
      </c>
      <c r="E283" s="1">
        <v>45679</v>
      </c>
      <c r="F283" t="s">
        <v>743</v>
      </c>
      <c r="G283">
        <v>2</v>
      </c>
      <c r="H283" t="s">
        <v>569</v>
      </c>
      <c r="I283" t="s">
        <v>570</v>
      </c>
      <c r="J283" t="str">
        <f t="shared" si="12"/>
        <v>January</v>
      </c>
      <c r="K283" t="str">
        <f t="shared" si="13"/>
        <v>Q1</v>
      </c>
      <c r="L283">
        <f t="shared" si="14"/>
        <v>2025</v>
      </c>
    </row>
    <row r="284" spans="1:12" x14ac:dyDescent="0.3">
      <c r="A284" t="s">
        <v>990</v>
      </c>
      <c r="B284" t="s">
        <v>987</v>
      </c>
      <c r="C284" t="s">
        <v>191</v>
      </c>
      <c r="D284">
        <v>3</v>
      </c>
      <c r="E284" s="1">
        <v>45684</v>
      </c>
      <c r="F284" t="s">
        <v>988</v>
      </c>
      <c r="G284">
        <v>2</v>
      </c>
      <c r="H284" t="s">
        <v>569</v>
      </c>
      <c r="I284" t="s">
        <v>570</v>
      </c>
      <c r="J284" t="str">
        <f t="shared" si="12"/>
        <v>January</v>
      </c>
      <c r="K284" t="str">
        <f t="shared" si="13"/>
        <v>Q1</v>
      </c>
      <c r="L284">
        <f t="shared" si="14"/>
        <v>2025</v>
      </c>
    </row>
    <row r="285" spans="1:12" x14ac:dyDescent="0.3">
      <c r="A285" t="s">
        <v>991</v>
      </c>
      <c r="B285" t="s">
        <v>987</v>
      </c>
      <c r="C285" t="s">
        <v>191</v>
      </c>
      <c r="D285">
        <v>4</v>
      </c>
      <c r="E285" s="1">
        <v>45690</v>
      </c>
      <c r="F285" t="s">
        <v>621</v>
      </c>
      <c r="G285">
        <v>1</v>
      </c>
      <c r="H285" t="s">
        <v>569</v>
      </c>
      <c r="I285" t="s">
        <v>608</v>
      </c>
      <c r="J285" t="str">
        <f t="shared" si="12"/>
        <v>February</v>
      </c>
      <c r="K285" t="str">
        <f t="shared" si="13"/>
        <v>Q1</v>
      </c>
      <c r="L285">
        <f t="shared" si="14"/>
        <v>2025</v>
      </c>
    </row>
    <row r="286" spans="1:12" x14ac:dyDescent="0.3">
      <c r="A286" t="s">
        <v>992</v>
      </c>
      <c r="B286" t="s">
        <v>993</v>
      </c>
      <c r="C286" t="s">
        <v>166</v>
      </c>
      <c r="D286">
        <v>1</v>
      </c>
      <c r="E286" s="1">
        <v>45777</v>
      </c>
      <c r="F286" t="s">
        <v>596</v>
      </c>
      <c r="G286">
        <v>4</v>
      </c>
      <c r="H286" t="s">
        <v>581</v>
      </c>
      <c r="I286" t="s">
        <v>570</v>
      </c>
      <c r="J286" t="str">
        <f t="shared" si="12"/>
        <v>April</v>
      </c>
      <c r="K286" t="str">
        <f t="shared" si="13"/>
        <v>Q2</v>
      </c>
      <c r="L286">
        <f t="shared" si="14"/>
        <v>2025</v>
      </c>
    </row>
    <row r="287" spans="1:12" x14ac:dyDescent="0.3">
      <c r="A287" t="s">
        <v>994</v>
      </c>
      <c r="B287" t="s">
        <v>993</v>
      </c>
      <c r="C287" t="s">
        <v>166</v>
      </c>
      <c r="D287">
        <v>2</v>
      </c>
      <c r="E287" s="1">
        <v>45789</v>
      </c>
      <c r="F287" t="s">
        <v>596</v>
      </c>
      <c r="G287">
        <v>3</v>
      </c>
      <c r="H287" t="s">
        <v>578</v>
      </c>
      <c r="I287" t="s">
        <v>570</v>
      </c>
      <c r="J287" t="str">
        <f t="shared" si="12"/>
        <v>May</v>
      </c>
      <c r="K287" t="str">
        <f t="shared" si="13"/>
        <v>Q2</v>
      </c>
      <c r="L287">
        <f t="shared" si="14"/>
        <v>2025</v>
      </c>
    </row>
    <row r="288" spans="1:12" x14ac:dyDescent="0.3">
      <c r="A288" t="s">
        <v>995</v>
      </c>
      <c r="B288" t="s">
        <v>993</v>
      </c>
      <c r="C288" t="s">
        <v>166</v>
      </c>
      <c r="D288">
        <v>3</v>
      </c>
      <c r="E288" s="1">
        <v>45797</v>
      </c>
      <c r="F288" t="s">
        <v>596</v>
      </c>
      <c r="G288">
        <v>3</v>
      </c>
      <c r="H288" t="s">
        <v>578</v>
      </c>
      <c r="I288" t="s">
        <v>570</v>
      </c>
      <c r="J288" t="str">
        <f t="shared" si="12"/>
        <v>May</v>
      </c>
      <c r="K288" t="str">
        <f t="shared" si="13"/>
        <v>Q2</v>
      </c>
      <c r="L288">
        <f t="shared" si="14"/>
        <v>2025</v>
      </c>
    </row>
    <row r="289" spans="1:12" x14ac:dyDescent="0.3">
      <c r="A289" t="s">
        <v>996</v>
      </c>
      <c r="B289" t="s">
        <v>997</v>
      </c>
      <c r="C289" t="s">
        <v>208</v>
      </c>
      <c r="D289">
        <v>1</v>
      </c>
      <c r="E289" s="1">
        <v>45801</v>
      </c>
      <c r="F289" t="s">
        <v>580</v>
      </c>
      <c r="G289">
        <v>1</v>
      </c>
      <c r="H289" t="s">
        <v>569</v>
      </c>
      <c r="I289" t="s">
        <v>570</v>
      </c>
      <c r="J289" t="str">
        <f t="shared" si="12"/>
        <v>May</v>
      </c>
      <c r="K289" t="str">
        <f t="shared" si="13"/>
        <v>Q2</v>
      </c>
      <c r="L289">
        <f t="shared" si="14"/>
        <v>2025</v>
      </c>
    </row>
    <row r="290" spans="1:12" x14ac:dyDescent="0.3">
      <c r="A290" t="s">
        <v>998</v>
      </c>
      <c r="B290" t="s">
        <v>997</v>
      </c>
      <c r="C290" t="s">
        <v>208</v>
      </c>
      <c r="D290">
        <v>2</v>
      </c>
      <c r="E290" s="1">
        <v>45809</v>
      </c>
      <c r="F290" t="s">
        <v>592</v>
      </c>
      <c r="G290">
        <v>2</v>
      </c>
      <c r="H290" t="s">
        <v>569</v>
      </c>
      <c r="I290" t="s">
        <v>570</v>
      </c>
      <c r="J290" t="str">
        <f t="shared" si="12"/>
        <v>June</v>
      </c>
      <c r="K290" t="str">
        <f t="shared" si="13"/>
        <v>Q2</v>
      </c>
      <c r="L290">
        <f t="shared" si="14"/>
        <v>2025</v>
      </c>
    </row>
    <row r="291" spans="1:12" x14ac:dyDescent="0.3">
      <c r="A291" t="s">
        <v>999</v>
      </c>
      <c r="B291" t="s">
        <v>997</v>
      </c>
      <c r="C291" t="s">
        <v>208</v>
      </c>
      <c r="D291">
        <v>3</v>
      </c>
      <c r="E291" s="1">
        <v>45815</v>
      </c>
      <c r="F291" t="s">
        <v>592</v>
      </c>
      <c r="G291">
        <v>3</v>
      </c>
      <c r="H291" t="s">
        <v>578</v>
      </c>
      <c r="I291" t="s">
        <v>570</v>
      </c>
      <c r="J291" t="str">
        <f t="shared" si="12"/>
        <v>June</v>
      </c>
      <c r="K291" t="str">
        <f t="shared" si="13"/>
        <v>Q2</v>
      </c>
      <c r="L291">
        <f t="shared" si="14"/>
        <v>2025</v>
      </c>
    </row>
    <row r="292" spans="1:12" x14ac:dyDescent="0.3">
      <c r="A292" t="s">
        <v>1000</v>
      </c>
      <c r="B292" t="s">
        <v>997</v>
      </c>
      <c r="C292" t="s">
        <v>208</v>
      </c>
      <c r="D292">
        <v>4</v>
      </c>
      <c r="E292" s="1">
        <v>45821</v>
      </c>
      <c r="G292">
        <v>1</v>
      </c>
      <c r="H292" t="s">
        <v>569</v>
      </c>
      <c r="I292" t="s">
        <v>570</v>
      </c>
      <c r="J292" t="str">
        <f t="shared" si="12"/>
        <v>June</v>
      </c>
      <c r="K292" t="str">
        <f t="shared" si="13"/>
        <v>Q2</v>
      </c>
      <c r="L292">
        <f t="shared" si="14"/>
        <v>2025</v>
      </c>
    </row>
    <row r="293" spans="1:12" x14ac:dyDescent="0.3">
      <c r="A293" t="s">
        <v>1001</v>
      </c>
      <c r="B293" t="s">
        <v>1002</v>
      </c>
      <c r="C293" t="s">
        <v>99</v>
      </c>
      <c r="D293">
        <v>1</v>
      </c>
      <c r="E293" s="1">
        <v>45855</v>
      </c>
      <c r="F293" t="s">
        <v>656</v>
      </c>
      <c r="G293">
        <v>1</v>
      </c>
      <c r="H293" t="s">
        <v>569</v>
      </c>
      <c r="I293" t="s">
        <v>570</v>
      </c>
      <c r="J293" t="str">
        <f t="shared" si="12"/>
        <v>July</v>
      </c>
      <c r="K293" t="str">
        <f t="shared" si="13"/>
        <v>Q3</v>
      </c>
      <c r="L293">
        <f t="shared" si="14"/>
        <v>2025</v>
      </c>
    </row>
    <row r="294" spans="1:12" x14ac:dyDescent="0.3">
      <c r="A294" t="s">
        <v>1003</v>
      </c>
      <c r="B294" t="s">
        <v>1002</v>
      </c>
      <c r="C294" t="s">
        <v>99</v>
      </c>
      <c r="D294">
        <v>2</v>
      </c>
      <c r="E294" s="1">
        <v>45859</v>
      </c>
      <c r="F294" t="s">
        <v>670</v>
      </c>
      <c r="G294">
        <v>3</v>
      </c>
      <c r="H294" t="s">
        <v>578</v>
      </c>
      <c r="I294" t="s">
        <v>570</v>
      </c>
      <c r="J294" t="str">
        <f t="shared" si="12"/>
        <v>July</v>
      </c>
      <c r="K294" t="str">
        <f t="shared" si="13"/>
        <v>Q3</v>
      </c>
      <c r="L294">
        <f t="shared" si="14"/>
        <v>2025</v>
      </c>
    </row>
    <row r="295" spans="1:12" x14ac:dyDescent="0.3">
      <c r="A295" t="s">
        <v>1004</v>
      </c>
      <c r="B295" t="s">
        <v>1002</v>
      </c>
      <c r="C295" t="s">
        <v>99</v>
      </c>
      <c r="D295">
        <v>3</v>
      </c>
      <c r="E295" s="1">
        <v>45869</v>
      </c>
      <c r="F295" t="s">
        <v>649</v>
      </c>
      <c r="G295">
        <v>3</v>
      </c>
      <c r="H295" t="s">
        <v>578</v>
      </c>
      <c r="I295" t="s">
        <v>570</v>
      </c>
      <c r="J295" t="str">
        <f t="shared" si="12"/>
        <v>July</v>
      </c>
      <c r="K295" t="str">
        <f t="shared" si="13"/>
        <v>Q3</v>
      </c>
      <c r="L295">
        <f t="shared" si="14"/>
        <v>2025</v>
      </c>
    </row>
    <row r="296" spans="1:12" x14ac:dyDescent="0.3">
      <c r="A296" t="s">
        <v>1005</v>
      </c>
      <c r="B296" t="s">
        <v>1006</v>
      </c>
      <c r="C296" t="s">
        <v>78</v>
      </c>
      <c r="D296">
        <v>1</v>
      </c>
      <c r="E296" s="1">
        <v>45908</v>
      </c>
      <c r="F296" t="s">
        <v>663</v>
      </c>
      <c r="G296">
        <v>3</v>
      </c>
      <c r="H296" t="s">
        <v>578</v>
      </c>
      <c r="I296" t="s">
        <v>570</v>
      </c>
      <c r="J296" t="str">
        <f t="shared" si="12"/>
        <v>September</v>
      </c>
      <c r="K296" t="str">
        <f t="shared" si="13"/>
        <v>Q3</v>
      </c>
      <c r="L296">
        <f t="shared" si="14"/>
        <v>2025</v>
      </c>
    </row>
    <row r="297" spans="1:12" x14ac:dyDescent="0.3">
      <c r="A297" t="s">
        <v>1007</v>
      </c>
      <c r="B297" t="s">
        <v>1006</v>
      </c>
      <c r="C297" t="s">
        <v>78</v>
      </c>
      <c r="D297">
        <v>2</v>
      </c>
      <c r="E297" s="1">
        <v>45913</v>
      </c>
      <c r="F297" t="s">
        <v>586</v>
      </c>
      <c r="G297">
        <v>1</v>
      </c>
      <c r="H297" t="s">
        <v>569</v>
      </c>
      <c r="I297" t="s">
        <v>570</v>
      </c>
      <c r="J297" t="str">
        <f t="shared" si="12"/>
        <v>September</v>
      </c>
      <c r="K297" t="str">
        <f t="shared" si="13"/>
        <v>Q3</v>
      </c>
      <c r="L297">
        <f t="shared" si="14"/>
        <v>2025</v>
      </c>
    </row>
    <row r="298" spans="1:12" x14ac:dyDescent="0.3">
      <c r="A298" t="s">
        <v>1008</v>
      </c>
      <c r="B298" t="s">
        <v>1009</v>
      </c>
      <c r="C298" t="s">
        <v>140</v>
      </c>
      <c r="D298">
        <v>1</v>
      </c>
      <c r="E298" s="1">
        <v>45930</v>
      </c>
      <c r="F298" t="s">
        <v>663</v>
      </c>
      <c r="G298">
        <v>3</v>
      </c>
      <c r="H298" t="s">
        <v>578</v>
      </c>
      <c r="I298" t="s">
        <v>570</v>
      </c>
      <c r="J298" t="str">
        <f t="shared" si="12"/>
        <v>September</v>
      </c>
      <c r="K298" t="str">
        <f t="shared" si="13"/>
        <v>Q3</v>
      </c>
      <c r="L298">
        <f t="shared" si="14"/>
        <v>2025</v>
      </c>
    </row>
    <row r="299" spans="1:12" x14ac:dyDescent="0.3">
      <c r="A299" t="s">
        <v>1010</v>
      </c>
      <c r="B299" t="s">
        <v>1011</v>
      </c>
      <c r="C299" t="s">
        <v>58</v>
      </c>
      <c r="D299">
        <v>1</v>
      </c>
      <c r="E299" s="1">
        <v>45810</v>
      </c>
      <c r="F299" t="s">
        <v>612</v>
      </c>
      <c r="G299">
        <v>2</v>
      </c>
      <c r="H299" t="s">
        <v>569</v>
      </c>
      <c r="I299" t="s">
        <v>570</v>
      </c>
      <c r="J299" t="str">
        <f t="shared" si="12"/>
        <v>June</v>
      </c>
      <c r="K299" t="str">
        <f t="shared" si="13"/>
        <v>Q2</v>
      </c>
      <c r="L299">
        <f t="shared" si="14"/>
        <v>2025</v>
      </c>
    </row>
    <row r="300" spans="1:12" x14ac:dyDescent="0.3">
      <c r="A300" t="s">
        <v>1012</v>
      </c>
      <c r="B300" t="s">
        <v>1011</v>
      </c>
      <c r="C300" t="s">
        <v>58</v>
      </c>
      <c r="D300">
        <v>2</v>
      </c>
      <c r="E300" s="1">
        <v>45818</v>
      </c>
      <c r="F300" t="s">
        <v>612</v>
      </c>
      <c r="G300">
        <v>2</v>
      </c>
      <c r="H300" t="s">
        <v>569</v>
      </c>
      <c r="I300" t="s">
        <v>570</v>
      </c>
      <c r="J300" t="str">
        <f t="shared" si="12"/>
        <v>June</v>
      </c>
      <c r="K300" t="str">
        <f t="shared" si="13"/>
        <v>Q2</v>
      </c>
      <c r="L300">
        <f t="shared" si="14"/>
        <v>2025</v>
      </c>
    </row>
    <row r="301" spans="1:12" x14ac:dyDescent="0.3">
      <c r="A301" t="s">
        <v>1013</v>
      </c>
      <c r="B301" t="s">
        <v>1014</v>
      </c>
      <c r="C301" t="s">
        <v>41</v>
      </c>
      <c r="D301">
        <v>1</v>
      </c>
      <c r="E301" s="1">
        <v>45824</v>
      </c>
      <c r="F301" t="s">
        <v>612</v>
      </c>
      <c r="G301">
        <v>1</v>
      </c>
      <c r="H301" t="s">
        <v>569</v>
      </c>
      <c r="I301" t="s">
        <v>570</v>
      </c>
      <c r="J301" t="str">
        <f t="shared" si="12"/>
        <v>June</v>
      </c>
      <c r="K301" t="str">
        <f t="shared" si="13"/>
        <v>Q2</v>
      </c>
      <c r="L301">
        <f t="shared" si="14"/>
        <v>2025</v>
      </c>
    </row>
    <row r="302" spans="1:12" x14ac:dyDescent="0.3">
      <c r="A302" t="s">
        <v>1015</v>
      </c>
      <c r="B302" t="s">
        <v>1014</v>
      </c>
      <c r="C302" t="s">
        <v>41</v>
      </c>
      <c r="D302">
        <v>2</v>
      </c>
      <c r="E302" s="1">
        <v>45830</v>
      </c>
      <c r="F302" t="s">
        <v>577</v>
      </c>
      <c r="G302">
        <v>1</v>
      </c>
      <c r="H302" t="s">
        <v>569</v>
      </c>
      <c r="I302" t="s">
        <v>570</v>
      </c>
      <c r="J302" t="str">
        <f t="shared" si="12"/>
        <v>June</v>
      </c>
      <c r="K302" t="str">
        <f t="shared" si="13"/>
        <v>Q2</v>
      </c>
      <c r="L302">
        <f t="shared" si="14"/>
        <v>2025</v>
      </c>
    </row>
    <row r="303" spans="1:12" x14ac:dyDescent="0.3">
      <c r="A303" t="s">
        <v>1016</v>
      </c>
      <c r="B303" t="s">
        <v>1017</v>
      </c>
      <c r="C303" t="s">
        <v>45</v>
      </c>
      <c r="D303">
        <v>1</v>
      </c>
      <c r="E303" s="1">
        <v>45860</v>
      </c>
      <c r="F303" t="s">
        <v>741</v>
      </c>
      <c r="G303">
        <v>1</v>
      </c>
      <c r="H303" t="s">
        <v>569</v>
      </c>
      <c r="I303" t="s">
        <v>570</v>
      </c>
      <c r="J303" t="str">
        <f t="shared" si="12"/>
        <v>July</v>
      </c>
      <c r="K303" t="str">
        <f t="shared" si="13"/>
        <v>Q3</v>
      </c>
      <c r="L303">
        <f t="shared" si="14"/>
        <v>2025</v>
      </c>
    </row>
    <row r="304" spans="1:12" x14ac:dyDescent="0.3">
      <c r="A304" t="s">
        <v>1018</v>
      </c>
      <c r="B304" t="s">
        <v>1017</v>
      </c>
      <c r="C304" t="s">
        <v>45</v>
      </c>
      <c r="D304">
        <v>2</v>
      </c>
      <c r="E304" s="1">
        <v>45864</v>
      </c>
      <c r="F304" t="s">
        <v>766</v>
      </c>
      <c r="G304">
        <v>1</v>
      </c>
      <c r="H304" t="s">
        <v>569</v>
      </c>
      <c r="I304" t="s">
        <v>570</v>
      </c>
      <c r="J304" t="str">
        <f t="shared" si="12"/>
        <v>July</v>
      </c>
      <c r="K304" t="str">
        <f t="shared" si="13"/>
        <v>Q3</v>
      </c>
      <c r="L304">
        <f t="shared" si="14"/>
        <v>2025</v>
      </c>
    </row>
    <row r="305" spans="1:12" x14ac:dyDescent="0.3">
      <c r="A305" t="s">
        <v>1019</v>
      </c>
      <c r="B305" t="s">
        <v>1017</v>
      </c>
      <c r="C305" t="s">
        <v>45</v>
      </c>
      <c r="D305">
        <v>3</v>
      </c>
      <c r="E305" s="1">
        <v>45876</v>
      </c>
      <c r="F305" t="s">
        <v>741</v>
      </c>
      <c r="G305">
        <v>3</v>
      </c>
      <c r="H305" t="s">
        <v>578</v>
      </c>
      <c r="I305" t="s">
        <v>570</v>
      </c>
      <c r="J305" t="str">
        <f t="shared" si="12"/>
        <v>August</v>
      </c>
      <c r="K305" t="str">
        <f t="shared" si="13"/>
        <v>Q3</v>
      </c>
      <c r="L305">
        <f t="shared" si="14"/>
        <v>2025</v>
      </c>
    </row>
    <row r="306" spans="1:12" x14ac:dyDescent="0.3">
      <c r="A306" t="s">
        <v>1020</v>
      </c>
      <c r="B306" t="s">
        <v>1017</v>
      </c>
      <c r="C306" t="s">
        <v>45</v>
      </c>
      <c r="D306">
        <v>4</v>
      </c>
      <c r="E306" s="1">
        <v>45881</v>
      </c>
      <c r="F306" t="s">
        <v>741</v>
      </c>
      <c r="G306">
        <v>1</v>
      </c>
      <c r="H306" t="s">
        <v>569</v>
      </c>
      <c r="I306" t="s">
        <v>570</v>
      </c>
      <c r="J306" t="str">
        <f t="shared" si="12"/>
        <v>August</v>
      </c>
      <c r="K306" t="str">
        <f t="shared" si="13"/>
        <v>Q3</v>
      </c>
      <c r="L306">
        <f t="shared" si="14"/>
        <v>2025</v>
      </c>
    </row>
    <row r="307" spans="1:12" x14ac:dyDescent="0.3">
      <c r="A307" t="s">
        <v>1021</v>
      </c>
      <c r="B307" t="s">
        <v>1022</v>
      </c>
      <c r="C307" t="s">
        <v>27</v>
      </c>
      <c r="D307">
        <v>1</v>
      </c>
      <c r="E307" s="1">
        <v>45883</v>
      </c>
      <c r="F307" t="s">
        <v>632</v>
      </c>
      <c r="G307">
        <v>3</v>
      </c>
      <c r="H307" t="s">
        <v>578</v>
      </c>
      <c r="I307" t="s">
        <v>570</v>
      </c>
      <c r="J307" t="str">
        <f t="shared" si="12"/>
        <v>August</v>
      </c>
      <c r="K307" t="str">
        <f t="shared" si="13"/>
        <v>Q3</v>
      </c>
      <c r="L307">
        <f t="shared" si="14"/>
        <v>2025</v>
      </c>
    </row>
    <row r="308" spans="1:12" x14ac:dyDescent="0.3">
      <c r="A308" t="s">
        <v>1023</v>
      </c>
      <c r="B308" t="s">
        <v>1022</v>
      </c>
      <c r="C308" t="s">
        <v>27</v>
      </c>
      <c r="D308">
        <v>2</v>
      </c>
      <c r="E308" s="1">
        <v>45887</v>
      </c>
      <c r="F308" t="s">
        <v>766</v>
      </c>
      <c r="G308">
        <v>3</v>
      </c>
      <c r="H308" t="s">
        <v>578</v>
      </c>
      <c r="I308" t="s">
        <v>570</v>
      </c>
      <c r="J308" t="str">
        <f t="shared" si="12"/>
        <v>August</v>
      </c>
      <c r="K308" t="str">
        <f t="shared" si="13"/>
        <v>Q3</v>
      </c>
      <c r="L308">
        <f t="shared" si="14"/>
        <v>2025</v>
      </c>
    </row>
    <row r="309" spans="1:12" x14ac:dyDescent="0.3">
      <c r="A309" t="s">
        <v>1024</v>
      </c>
      <c r="B309" t="s">
        <v>279</v>
      </c>
      <c r="C309" t="s">
        <v>240</v>
      </c>
      <c r="D309">
        <v>1</v>
      </c>
      <c r="E309" s="1">
        <v>45949</v>
      </c>
      <c r="F309" t="s">
        <v>663</v>
      </c>
      <c r="G309">
        <v>4</v>
      </c>
      <c r="H309" t="s">
        <v>581</v>
      </c>
      <c r="I309" t="s">
        <v>570</v>
      </c>
      <c r="J309" t="str">
        <f t="shared" si="12"/>
        <v>October</v>
      </c>
      <c r="K309" t="str">
        <f t="shared" si="13"/>
        <v>Q4</v>
      </c>
      <c r="L309">
        <f t="shared" si="14"/>
        <v>2025</v>
      </c>
    </row>
    <row r="310" spans="1:12" x14ac:dyDescent="0.3">
      <c r="A310" t="s">
        <v>1025</v>
      </c>
      <c r="B310" t="s">
        <v>1026</v>
      </c>
      <c r="C310" t="s">
        <v>195</v>
      </c>
      <c r="D310">
        <v>1</v>
      </c>
      <c r="E310" s="1">
        <v>45856</v>
      </c>
      <c r="F310" t="s">
        <v>632</v>
      </c>
      <c r="G310">
        <v>5</v>
      </c>
      <c r="H310" t="s">
        <v>581</v>
      </c>
      <c r="I310" t="s">
        <v>570</v>
      </c>
      <c r="J310" t="str">
        <f t="shared" si="12"/>
        <v>July</v>
      </c>
      <c r="K310" t="str">
        <f t="shared" si="13"/>
        <v>Q3</v>
      </c>
      <c r="L310">
        <f t="shared" si="14"/>
        <v>2025</v>
      </c>
    </row>
    <row r="311" spans="1:12" x14ac:dyDescent="0.3">
      <c r="A311" t="s">
        <v>1027</v>
      </c>
      <c r="B311" t="s">
        <v>1026</v>
      </c>
      <c r="C311" t="s">
        <v>195</v>
      </c>
      <c r="D311">
        <v>2</v>
      </c>
      <c r="E311" s="1">
        <v>45866</v>
      </c>
      <c r="F311" t="s">
        <v>584</v>
      </c>
      <c r="G311">
        <v>2</v>
      </c>
      <c r="H311" t="s">
        <v>569</v>
      </c>
      <c r="I311" t="s">
        <v>570</v>
      </c>
      <c r="J311" t="str">
        <f t="shared" si="12"/>
        <v>July</v>
      </c>
      <c r="K311" t="str">
        <f t="shared" si="13"/>
        <v>Q3</v>
      </c>
      <c r="L311">
        <f t="shared" si="14"/>
        <v>2025</v>
      </c>
    </row>
    <row r="312" spans="1:12" x14ac:dyDescent="0.3">
      <c r="A312" t="s">
        <v>1028</v>
      </c>
      <c r="B312" t="s">
        <v>1026</v>
      </c>
      <c r="C312" t="s">
        <v>195</v>
      </c>
      <c r="D312">
        <v>3</v>
      </c>
      <c r="E312" s="1">
        <v>45874</v>
      </c>
      <c r="F312" t="s">
        <v>632</v>
      </c>
      <c r="G312">
        <v>3</v>
      </c>
      <c r="H312" t="s">
        <v>578</v>
      </c>
      <c r="I312" t="s">
        <v>570</v>
      </c>
      <c r="J312" t="str">
        <f t="shared" si="12"/>
        <v>August</v>
      </c>
      <c r="K312" t="str">
        <f t="shared" si="13"/>
        <v>Q3</v>
      </c>
      <c r="L312">
        <f t="shared" si="14"/>
        <v>2025</v>
      </c>
    </row>
    <row r="313" spans="1:12" x14ac:dyDescent="0.3">
      <c r="A313" t="s">
        <v>1029</v>
      </c>
      <c r="B313" t="s">
        <v>1030</v>
      </c>
      <c r="C313" t="s">
        <v>58</v>
      </c>
      <c r="D313">
        <v>1</v>
      </c>
      <c r="E313" s="1">
        <v>45806</v>
      </c>
      <c r="F313" t="s">
        <v>612</v>
      </c>
      <c r="G313">
        <v>2</v>
      </c>
      <c r="H313" t="s">
        <v>569</v>
      </c>
      <c r="I313" t="s">
        <v>570</v>
      </c>
      <c r="J313" t="str">
        <f t="shared" si="12"/>
        <v>May</v>
      </c>
      <c r="K313" t="str">
        <f t="shared" si="13"/>
        <v>Q2</v>
      </c>
      <c r="L313">
        <f t="shared" si="14"/>
        <v>2025</v>
      </c>
    </row>
    <row r="314" spans="1:12" x14ac:dyDescent="0.3">
      <c r="A314" t="s">
        <v>1031</v>
      </c>
      <c r="B314" t="s">
        <v>1030</v>
      </c>
      <c r="C314" t="s">
        <v>58</v>
      </c>
      <c r="D314">
        <v>2</v>
      </c>
      <c r="E314" s="1">
        <v>45810</v>
      </c>
      <c r="F314" t="s">
        <v>603</v>
      </c>
      <c r="G314">
        <v>1</v>
      </c>
      <c r="H314" t="s">
        <v>569</v>
      </c>
      <c r="I314" t="s">
        <v>570</v>
      </c>
      <c r="J314" t="str">
        <f t="shared" si="12"/>
        <v>June</v>
      </c>
      <c r="K314" t="str">
        <f t="shared" si="13"/>
        <v>Q2</v>
      </c>
      <c r="L314">
        <f t="shared" si="14"/>
        <v>2025</v>
      </c>
    </row>
    <row r="315" spans="1:12" x14ac:dyDescent="0.3">
      <c r="A315" t="s">
        <v>1032</v>
      </c>
      <c r="B315" t="s">
        <v>1030</v>
      </c>
      <c r="C315" t="s">
        <v>58</v>
      </c>
      <c r="D315">
        <v>3</v>
      </c>
      <c r="E315" s="1">
        <v>45821</v>
      </c>
      <c r="F315" t="s">
        <v>603</v>
      </c>
      <c r="G315">
        <v>1</v>
      </c>
      <c r="H315" t="s">
        <v>569</v>
      </c>
      <c r="I315" t="s">
        <v>570</v>
      </c>
      <c r="J315" t="str">
        <f t="shared" si="12"/>
        <v>June</v>
      </c>
      <c r="K315" t="str">
        <f t="shared" si="13"/>
        <v>Q2</v>
      </c>
      <c r="L315">
        <f t="shared" si="14"/>
        <v>2025</v>
      </c>
    </row>
    <row r="316" spans="1:12" x14ac:dyDescent="0.3">
      <c r="A316" t="s">
        <v>1033</v>
      </c>
      <c r="B316" t="s">
        <v>469</v>
      </c>
      <c r="C316" t="s">
        <v>68</v>
      </c>
      <c r="D316">
        <v>1</v>
      </c>
      <c r="E316" s="1">
        <v>45742</v>
      </c>
      <c r="F316" t="s">
        <v>632</v>
      </c>
      <c r="G316">
        <v>4</v>
      </c>
      <c r="H316" t="s">
        <v>581</v>
      </c>
      <c r="I316" t="s">
        <v>570</v>
      </c>
      <c r="J316" t="str">
        <f t="shared" si="12"/>
        <v>March</v>
      </c>
      <c r="K316" t="str">
        <f t="shared" si="13"/>
        <v>Q1</v>
      </c>
      <c r="L316">
        <f t="shared" si="14"/>
        <v>2025</v>
      </c>
    </row>
    <row r="317" spans="1:12" x14ac:dyDescent="0.3">
      <c r="A317" t="s">
        <v>1034</v>
      </c>
      <c r="B317" t="s">
        <v>469</v>
      </c>
      <c r="C317" t="s">
        <v>68</v>
      </c>
      <c r="D317">
        <v>2</v>
      </c>
      <c r="E317" s="1">
        <v>45749</v>
      </c>
      <c r="F317" t="s">
        <v>632</v>
      </c>
      <c r="G317">
        <v>5</v>
      </c>
      <c r="H317" t="s">
        <v>581</v>
      </c>
      <c r="I317" t="s">
        <v>570</v>
      </c>
      <c r="J317" t="str">
        <f t="shared" si="12"/>
        <v>April</v>
      </c>
      <c r="K317" t="str">
        <f t="shared" si="13"/>
        <v>Q2</v>
      </c>
      <c r="L317">
        <f t="shared" si="14"/>
        <v>2025</v>
      </c>
    </row>
    <row r="318" spans="1:12" x14ac:dyDescent="0.3">
      <c r="A318" t="s">
        <v>1035</v>
      </c>
      <c r="B318" t="s">
        <v>469</v>
      </c>
      <c r="C318" t="s">
        <v>68</v>
      </c>
      <c r="D318">
        <v>3</v>
      </c>
      <c r="E318" s="1">
        <v>45759</v>
      </c>
      <c r="F318" t="s">
        <v>612</v>
      </c>
      <c r="G318">
        <v>5</v>
      </c>
      <c r="H318" t="s">
        <v>581</v>
      </c>
      <c r="I318" t="s">
        <v>570</v>
      </c>
      <c r="J318" t="str">
        <f t="shared" si="12"/>
        <v>April</v>
      </c>
      <c r="K318" t="str">
        <f t="shared" si="13"/>
        <v>Q2</v>
      </c>
      <c r="L318">
        <f t="shared" si="14"/>
        <v>2025</v>
      </c>
    </row>
    <row r="319" spans="1:12" x14ac:dyDescent="0.3">
      <c r="A319" t="s">
        <v>1036</v>
      </c>
      <c r="B319" t="s">
        <v>469</v>
      </c>
      <c r="C319" t="s">
        <v>68</v>
      </c>
      <c r="D319">
        <v>4</v>
      </c>
      <c r="E319" s="1">
        <v>45770</v>
      </c>
      <c r="F319" t="s">
        <v>586</v>
      </c>
      <c r="G319">
        <v>4</v>
      </c>
      <c r="H319" t="s">
        <v>581</v>
      </c>
      <c r="I319" t="s">
        <v>570</v>
      </c>
      <c r="J319" t="str">
        <f t="shared" si="12"/>
        <v>April</v>
      </c>
      <c r="K319" t="str">
        <f t="shared" si="13"/>
        <v>Q2</v>
      </c>
      <c r="L319">
        <f t="shared" si="14"/>
        <v>2025</v>
      </c>
    </row>
    <row r="320" spans="1:12" x14ac:dyDescent="0.3">
      <c r="A320" t="s">
        <v>1037</v>
      </c>
      <c r="B320" t="s">
        <v>1038</v>
      </c>
      <c r="C320" t="s">
        <v>16</v>
      </c>
      <c r="D320">
        <v>1</v>
      </c>
      <c r="E320" s="1">
        <v>45757</v>
      </c>
      <c r="F320" t="s">
        <v>600</v>
      </c>
      <c r="G320">
        <v>3</v>
      </c>
      <c r="H320" t="s">
        <v>578</v>
      </c>
      <c r="I320" t="s">
        <v>570</v>
      </c>
      <c r="J320" t="str">
        <f t="shared" si="12"/>
        <v>April</v>
      </c>
      <c r="K320" t="str">
        <f t="shared" si="13"/>
        <v>Q2</v>
      </c>
      <c r="L320">
        <f t="shared" si="14"/>
        <v>2025</v>
      </c>
    </row>
    <row r="321" spans="1:12" x14ac:dyDescent="0.3">
      <c r="A321" t="s">
        <v>1039</v>
      </c>
      <c r="B321" t="s">
        <v>1038</v>
      </c>
      <c r="C321" t="s">
        <v>16</v>
      </c>
      <c r="D321">
        <v>2</v>
      </c>
      <c r="E321" s="1">
        <v>45768</v>
      </c>
      <c r="F321" t="s">
        <v>575</v>
      </c>
      <c r="G321">
        <v>4</v>
      </c>
      <c r="H321" t="s">
        <v>581</v>
      </c>
      <c r="I321" t="s">
        <v>597</v>
      </c>
      <c r="J321" t="str">
        <f t="shared" si="12"/>
        <v>April</v>
      </c>
      <c r="K321" t="str">
        <f t="shared" si="13"/>
        <v>Q2</v>
      </c>
      <c r="L321">
        <f t="shared" si="14"/>
        <v>2025</v>
      </c>
    </row>
    <row r="322" spans="1:12" x14ac:dyDescent="0.3">
      <c r="A322" t="s">
        <v>1040</v>
      </c>
      <c r="B322" t="s">
        <v>1041</v>
      </c>
      <c r="C322" t="s">
        <v>176</v>
      </c>
      <c r="D322">
        <v>1</v>
      </c>
      <c r="E322" s="1">
        <v>45715</v>
      </c>
      <c r="F322" t="s">
        <v>638</v>
      </c>
      <c r="G322">
        <v>4</v>
      </c>
      <c r="H322" t="s">
        <v>581</v>
      </c>
      <c r="I322" t="s">
        <v>608</v>
      </c>
      <c r="J322" t="str">
        <f t="shared" ref="J322:J385" si="15">TEXT(E322,"mmmm")</f>
        <v>February</v>
      </c>
      <c r="K322" t="str">
        <f t="shared" ref="K322:K385" si="16">"Q"&amp;ROUNDUP(MONTH(E322)/3,0)</f>
        <v>Q1</v>
      </c>
      <c r="L322">
        <f t="shared" ref="L322:L385" si="17">YEAR(E322)</f>
        <v>2025</v>
      </c>
    </row>
    <row r="323" spans="1:12" x14ac:dyDescent="0.3">
      <c r="A323" t="s">
        <v>1042</v>
      </c>
      <c r="B323" t="s">
        <v>1041</v>
      </c>
      <c r="C323" t="s">
        <v>176</v>
      </c>
      <c r="D323">
        <v>2</v>
      </c>
      <c r="E323" s="1">
        <v>45724</v>
      </c>
      <c r="G323">
        <v>4</v>
      </c>
      <c r="H323" t="s">
        <v>581</v>
      </c>
      <c r="I323" t="s">
        <v>570</v>
      </c>
      <c r="J323" t="str">
        <f t="shared" si="15"/>
        <v>March</v>
      </c>
      <c r="K323" t="str">
        <f t="shared" si="16"/>
        <v>Q1</v>
      </c>
      <c r="L323">
        <f t="shared" si="17"/>
        <v>2025</v>
      </c>
    </row>
    <row r="324" spans="1:12" x14ac:dyDescent="0.3">
      <c r="A324" t="s">
        <v>1043</v>
      </c>
      <c r="B324" t="s">
        <v>1041</v>
      </c>
      <c r="C324" t="s">
        <v>176</v>
      </c>
      <c r="D324">
        <v>3</v>
      </c>
      <c r="E324" s="1">
        <v>45735</v>
      </c>
      <c r="F324" t="s">
        <v>575</v>
      </c>
      <c r="G324">
        <v>3</v>
      </c>
      <c r="H324" t="s">
        <v>578</v>
      </c>
      <c r="I324" t="s">
        <v>570</v>
      </c>
      <c r="J324" t="str">
        <f t="shared" si="15"/>
        <v>March</v>
      </c>
      <c r="K324" t="str">
        <f t="shared" si="16"/>
        <v>Q1</v>
      </c>
      <c r="L324">
        <f t="shared" si="17"/>
        <v>2025</v>
      </c>
    </row>
    <row r="325" spans="1:12" x14ac:dyDescent="0.3">
      <c r="A325" t="s">
        <v>1044</v>
      </c>
      <c r="B325" t="s">
        <v>1041</v>
      </c>
      <c r="C325" t="s">
        <v>176</v>
      </c>
      <c r="D325">
        <v>4</v>
      </c>
      <c r="E325" s="1">
        <v>45746</v>
      </c>
      <c r="F325" t="s">
        <v>577</v>
      </c>
      <c r="G325">
        <v>3</v>
      </c>
      <c r="H325" t="s">
        <v>578</v>
      </c>
      <c r="I325" t="s">
        <v>570</v>
      </c>
      <c r="J325" t="str">
        <f t="shared" si="15"/>
        <v>March</v>
      </c>
      <c r="K325" t="str">
        <f t="shared" si="16"/>
        <v>Q1</v>
      </c>
      <c r="L325">
        <f t="shared" si="17"/>
        <v>2025</v>
      </c>
    </row>
    <row r="326" spans="1:12" x14ac:dyDescent="0.3">
      <c r="A326" t="s">
        <v>1045</v>
      </c>
      <c r="B326" t="s">
        <v>1046</v>
      </c>
      <c r="C326" t="s">
        <v>240</v>
      </c>
      <c r="D326">
        <v>1</v>
      </c>
      <c r="E326" s="1">
        <v>45950</v>
      </c>
      <c r="F326" t="s">
        <v>596</v>
      </c>
      <c r="G326">
        <v>2</v>
      </c>
      <c r="H326" t="s">
        <v>569</v>
      </c>
      <c r="I326" t="s">
        <v>570</v>
      </c>
      <c r="J326" t="str">
        <f t="shared" si="15"/>
        <v>October</v>
      </c>
      <c r="K326" t="str">
        <f t="shared" si="16"/>
        <v>Q4</v>
      </c>
      <c r="L326">
        <f t="shared" si="17"/>
        <v>2025</v>
      </c>
    </row>
    <row r="327" spans="1:12" x14ac:dyDescent="0.3">
      <c r="A327" t="s">
        <v>1047</v>
      </c>
      <c r="B327" t="s">
        <v>1048</v>
      </c>
      <c r="C327" t="s">
        <v>37</v>
      </c>
      <c r="D327">
        <v>1</v>
      </c>
      <c r="E327" s="1">
        <v>45721</v>
      </c>
      <c r="F327" t="s">
        <v>663</v>
      </c>
      <c r="G327">
        <v>1</v>
      </c>
      <c r="H327" t="s">
        <v>569</v>
      </c>
      <c r="I327" t="s">
        <v>570</v>
      </c>
      <c r="J327" t="str">
        <f t="shared" si="15"/>
        <v>March</v>
      </c>
      <c r="K327" t="str">
        <f t="shared" si="16"/>
        <v>Q1</v>
      </c>
      <c r="L327">
        <f t="shared" si="17"/>
        <v>2025</v>
      </c>
    </row>
    <row r="328" spans="1:12" x14ac:dyDescent="0.3">
      <c r="A328" t="s">
        <v>1049</v>
      </c>
      <c r="B328" t="s">
        <v>1048</v>
      </c>
      <c r="C328" t="s">
        <v>37</v>
      </c>
      <c r="D328">
        <v>2</v>
      </c>
      <c r="E328" s="1">
        <v>45726</v>
      </c>
      <c r="F328" t="s">
        <v>586</v>
      </c>
      <c r="G328">
        <v>2</v>
      </c>
      <c r="H328" t="s">
        <v>569</v>
      </c>
      <c r="I328" t="s">
        <v>570</v>
      </c>
      <c r="J328" t="str">
        <f t="shared" si="15"/>
        <v>March</v>
      </c>
      <c r="K328" t="str">
        <f t="shared" si="16"/>
        <v>Q1</v>
      </c>
      <c r="L328">
        <f t="shared" si="17"/>
        <v>2025</v>
      </c>
    </row>
    <row r="329" spans="1:12" x14ac:dyDescent="0.3">
      <c r="A329" t="s">
        <v>1050</v>
      </c>
      <c r="B329" t="s">
        <v>1048</v>
      </c>
      <c r="C329" t="s">
        <v>37</v>
      </c>
      <c r="D329">
        <v>3</v>
      </c>
      <c r="E329" s="1">
        <v>45732</v>
      </c>
      <c r="F329" t="s">
        <v>596</v>
      </c>
      <c r="G329">
        <v>1</v>
      </c>
      <c r="H329" t="s">
        <v>569</v>
      </c>
      <c r="I329" t="s">
        <v>570</v>
      </c>
      <c r="J329" t="str">
        <f t="shared" si="15"/>
        <v>March</v>
      </c>
      <c r="K329" t="str">
        <f t="shared" si="16"/>
        <v>Q1</v>
      </c>
      <c r="L329">
        <f t="shared" si="17"/>
        <v>2025</v>
      </c>
    </row>
    <row r="330" spans="1:12" x14ac:dyDescent="0.3">
      <c r="A330" t="s">
        <v>1051</v>
      </c>
      <c r="B330" t="s">
        <v>1052</v>
      </c>
      <c r="C330" t="s">
        <v>191</v>
      </c>
      <c r="D330">
        <v>1</v>
      </c>
      <c r="E330" s="1">
        <v>45667</v>
      </c>
      <c r="F330" t="s">
        <v>577</v>
      </c>
      <c r="G330">
        <v>4</v>
      </c>
      <c r="H330" t="s">
        <v>581</v>
      </c>
      <c r="I330" t="s">
        <v>570</v>
      </c>
      <c r="J330" t="str">
        <f t="shared" si="15"/>
        <v>January</v>
      </c>
      <c r="K330" t="str">
        <f t="shared" si="16"/>
        <v>Q1</v>
      </c>
      <c r="L330">
        <f t="shared" si="17"/>
        <v>2025</v>
      </c>
    </row>
    <row r="331" spans="1:12" x14ac:dyDescent="0.3">
      <c r="A331" t="s">
        <v>1053</v>
      </c>
      <c r="B331" t="s">
        <v>1052</v>
      </c>
      <c r="C331" t="s">
        <v>191</v>
      </c>
      <c r="D331">
        <v>2</v>
      </c>
      <c r="E331" s="1">
        <v>45679</v>
      </c>
      <c r="F331" t="s">
        <v>600</v>
      </c>
      <c r="G331">
        <v>3</v>
      </c>
      <c r="H331" t="s">
        <v>578</v>
      </c>
      <c r="I331" t="s">
        <v>608</v>
      </c>
      <c r="J331" t="str">
        <f t="shared" si="15"/>
        <v>January</v>
      </c>
      <c r="K331" t="str">
        <f t="shared" si="16"/>
        <v>Q1</v>
      </c>
      <c r="L331">
        <f t="shared" si="17"/>
        <v>2025</v>
      </c>
    </row>
    <row r="332" spans="1:12" x14ac:dyDescent="0.3">
      <c r="A332" t="s">
        <v>1054</v>
      </c>
      <c r="B332" t="s">
        <v>1055</v>
      </c>
      <c r="C332" t="s">
        <v>58</v>
      </c>
      <c r="D332">
        <v>1</v>
      </c>
      <c r="E332" s="1">
        <v>45814</v>
      </c>
      <c r="G332">
        <v>2</v>
      </c>
      <c r="H332" t="s">
        <v>569</v>
      </c>
      <c r="I332" t="s">
        <v>570</v>
      </c>
      <c r="J332" t="str">
        <f t="shared" si="15"/>
        <v>June</v>
      </c>
      <c r="K332" t="str">
        <f t="shared" si="16"/>
        <v>Q2</v>
      </c>
      <c r="L332">
        <f t="shared" si="17"/>
        <v>2025</v>
      </c>
    </row>
    <row r="333" spans="1:12" x14ac:dyDescent="0.3">
      <c r="A333" t="s">
        <v>1056</v>
      </c>
      <c r="B333" t="s">
        <v>1055</v>
      </c>
      <c r="C333" t="s">
        <v>58</v>
      </c>
      <c r="D333">
        <v>2</v>
      </c>
      <c r="E333" s="1">
        <v>45819</v>
      </c>
      <c r="F333" t="s">
        <v>612</v>
      </c>
      <c r="G333">
        <v>1</v>
      </c>
      <c r="H333" t="s">
        <v>569</v>
      </c>
      <c r="I333" t="s">
        <v>570</v>
      </c>
      <c r="J333" t="str">
        <f t="shared" si="15"/>
        <v>June</v>
      </c>
      <c r="K333" t="str">
        <f t="shared" si="16"/>
        <v>Q2</v>
      </c>
      <c r="L333">
        <f t="shared" si="17"/>
        <v>2025</v>
      </c>
    </row>
    <row r="334" spans="1:12" x14ac:dyDescent="0.3">
      <c r="A334" t="s">
        <v>1057</v>
      </c>
      <c r="B334" t="s">
        <v>1058</v>
      </c>
      <c r="C334" t="s">
        <v>45</v>
      </c>
      <c r="D334">
        <v>1</v>
      </c>
      <c r="E334" s="1">
        <v>45858</v>
      </c>
      <c r="F334" t="s">
        <v>638</v>
      </c>
      <c r="G334">
        <v>5</v>
      </c>
      <c r="H334" t="s">
        <v>581</v>
      </c>
      <c r="I334" t="s">
        <v>570</v>
      </c>
      <c r="J334" t="str">
        <f t="shared" si="15"/>
        <v>July</v>
      </c>
      <c r="K334" t="str">
        <f t="shared" si="16"/>
        <v>Q3</v>
      </c>
      <c r="L334">
        <f t="shared" si="17"/>
        <v>2025</v>
      </c>
    </row>
    <row r="335" spans="1:12" x14ac:dyDescent="0.3">
      <c r="A335" t="s">
        <v>1059</v>
      </c>
      <c r="B335" t="s">
        <v>1058</v>
      </c>
      <c r="C335" t="s">
        <v>45</v>
      </c>
      <c r="D335">
        <v>2</v>
      </c>
      <c r="E335" s="1">
        <v>45865</v>
      </c>
      <c r="F335" t="s">
        <v>590</v>
      </c>
      <c r="G335">
        <v>4</v>
      </c>
      <c r="H335" t="s">
        <v>581</v>
      </c>
      <c r="I335" t="s">
        <v>608</v>
      </c>
      <c r="J335" t="str">
        <f t="shared" si="15"/>
        <v>July</v>
      </c>
      <c r="K335" t="str">
        <f t="shared" si="16"/>
        <v>Q3</v>
      </c>
      <c r="L335">
        <f t="shared" si="17"/>
        <v>2025</v>
      </c>
    </row>
    <row r="336" spans="1:12" x14ac:dyDescent="0.3">
      <c r="A336" t="s">
        <v>1060</v>
      </c>
      <c r="B336" t="s">
        <v>1061</v>
      </c>
      <c r="C336" t="s">
        <v>195</v>
      </c>
      <c r="D336">
        <v>1</v>
      </c>
      <c r="E336" s="1">
        <v>45850</v>
      </c>
      <c r="F336" t="s">
        <v>592</v>
      </c>
      <c r="G336">
        <v>1</v>
      </c>
      <c r="H336" t="s">
        <v>569</v>
      </c>
      <c r="I336" t="s">
        <v>570</v>
      </c>
      <c r="J336" t="str">
        <f t="shared" si="15"/>
        <v>July</v>
      </c>
      <c r="K336" t="str">
        <f t="shared" si="16"/>
        <v>Q3</v>
      </c>
      <c r="L336">
        <f t="shared" si="17"/>
        <v>2025</v>
      </c>
    </row>
    <row r="337" spans="1:12" x14ac:dyDescent="0.3">
      <c r="A337" t="s">
        <v>1062</v>
      </c>
      <c r="B337" t="s">
        <v>1061</v>
      </c>
      <c r="C337" t="s">
        <v>195</v>
      </c>
      <c r="D337">
        <v>2</v>
      </c>
      <c r="E337" s="1">
        <v>45857</v>
      </c>
      <c r="F337" t="s">
        <v>632</v>
      </c>
      <c r="G337">
        <v>1</v>
      </c>
      <c r="H337" t="s">
        <v>569</v>
      </c>
      <c r="I337" t="s">
        <v>570</v>
      </c>
      <c r="J337" t="str">
        <f t="shared" si="15"/>
        <v>July</v>
      </c>
      <c r="K337" t="str">
        <f t="shared" si="16"/>
        <v>Q3</v>
      </c>
      <c r="L337">
        <f t="shared" si="17"/>
        <v>2025</v>
      </c>
    </row>
    <row r="338" spans="1:12" x14ac:dyDescent="0.3">
      <c r="A338" t="s">
        <v>1063</v>
      </c>
      <c r="B338" t="s">
        <v>529</v>
      </c>
      <c r="C338" t="s">
        <v>88</v>
      </c>
      <c r="D338">
        <v>1</v>
      </c>
      <c r="E338" s="1">
        <v>45752</v>
      </c>
      <c r="F338" t="s">
        <v>596</v>
      </c>
      <c r="G338">
        <v>5</v>
      </c>
      <c r="H338" t="s">
        <v>581</v>
      </c>
      <c r="I338" t="s">
        <v>570</v>
      </c>
      <c r="J338" t="str">
        <f t="shared" si="15"/>
        <v>April</v>
      </c>
      <c r="K338" t="str">
        <f t="shared" si="16"/>
        <v>Q2</v>
      </c>
      <c r="L338">
        <f t="shared" si="17"/>
        <v>2025</v>
      </c>
    </row>
    <row r="339" spans="1:12" x14ac:dyDescent="0.3">
      <c r="A339" t="s">
        <v>1064</v>
      </c>
      <c r="B339" t="s">
        <v>529</v>
      </c>
      <c r="C339" t="s">
        <v>88</v>
      </c>
      <c r="D339">
        <v>2</v>
      </c>
      <c r="E339" s="1">
        <v>45763</v>
      </c>
      <c r="F339" t="s">
        <v>575</v>
      </c>
      <c r="G339">
        <v>3</v>
      </c>
      <c r="H339" t="s">
        <v>578</v>
      </c>
      <c r="I339" t="s">
        <v>570</v>
      </c>
      <c r="J339" t="str">
        <f t="shared" si="15"/>
        <v>April</v>
      </c>
      <c r="K339" t="str">
        <f t="shared" si="16"/>
        <v>Q2</v>
      </c>
      <c r="L339">
        <f t="shared" si="17"/>
        <v>2025</v>
      </c>
    </row>
    <row r="340" spans="1:12" x14ac:dyDescent="0.3">
      <c r="A340" t="s">
        <v>1065</v>
      </c>
      <c r="B340" t="s">
        <v>529</v>
      </c>
      <c r="C340" t="s">
        <v>88</v>
      </c>
      <c r="D340">
        <v>3</v>
      </c>
      <c r="E340" s="1">
        <v>45774</v>
      </c>
      <c r="F340" t="s">
        <v>621</v>
      </c>
      <c r="G340">
        <v>4</v>
      </c>
      <c r="H340" t="s">
        <v>581</v>
      </c>
      <c r="I340" t="s">
        <v>570</v>
      </c>
      <c r="J340" t="str">
        <f t="shared" si="15"/>
        <v>April</v>
      </c>
      <c r="K340" t="str">
        <f t="shared" si="16"/>
        <v>Q2</v>
      </c>
      <c r="L340">
        <f t="shared" si="17"/>
        <v>2025</v>
      </c>
    </row>
    <row r="341" spans="1:12" x14ac:dyDescent="0.3">
      <c r="A341" t="s">
        <v>1066</v>
      </c>
      <c r="B341" t="s">
        <v>103</v>
      </c>
      <c r="C341" t="s">
        <v>22</v>
      </c>
      <c r="D341">
        <v>1</v>
      </c>
      <c r="E341" s="1">
        <v>45849</v>
      </c>
      <c r="F341" t="s">
        <v>605</v>
      </c>
      <c r="G341">
        <v>4</v>
      </c>
      <c r="H341" t="s">
        <v>581</v>
      </c>
      <c r="I341" t="s">
        <v>570</v>
      </c>
      <c r="J341" t="str">
        <f t="shared" si="15"/>
        <v>July</v>
      </c>
      <c r="K341" t="str">
        <f t="shared" si="16"/>
        <v>Q3</v>
      </c>
      <c r="L341">
        <f t="shared" si="17"/>
        <v>2025</v>
      </c>
    </row>
    <row r="342" spans="1:12" x14ac:dyDescent="0.3">
      <c r="A342" t="s">
        <v>1067</v>
      </c>
      <c r="B342" t="s">
        <v>159</v>
      </c>
      <c r="C342" t="s">
        <v>37</v>
      </c>
      <c r="D342">
        <v>1</v>
      </c>
      <c r="E342" s="1">
        <v>45716</v>
      </c>
      <c r="F342" t="s">
        <v>586</v>
      </c>
      <c r="G342">
        <v>4</v>
      </c>
      <c r="H342" t="s">
        <v>581</v>
      </c>
      <c r="I342" t="s">
        <v>570</v>
      </c>
      <c r="J342" t="str">
        <f t="shared" si="15"/>
        <v>February</v>
      </c>
      <c r="K342" t="str">
        <f t="shared" si="16"/>
        <v>Q1</v>
      </c>
      <c r="L342">
        <f t="shared" si="17"/>
        <v>2025</v>
      </c>
    </row>
    <row r="343" spans="1:12" x14ac:dyDescent="0.3">
      <c r="A343" t="s">
        <v>1068</v>
      </c>
      <c r="B343" t="s">
        <v>1069</v>
      </c>
      <c r="C343" t="s">
        <v>292</v>
      </c>
      <c r="D343">
        <v>1</v>
      </c>
      <c r="E343" s="1">
        <v>45721</v>
      </c>
      <c r="F343" t="s">
        <v>568</v>
      </c>
      <c r="G343">
        <v>2</v>
      </c>
      <c r="H343" t="s">
        <v>569</v>
      </c>
      <c r="I343" t="s">
        <v>570</v>
      </c>
      <c r="J343" t="str">
        <f t="shared" si="15"/>
        <v>March</v>
      </c>
      <c r="K343" t="str">
        <f t="shared" si="16"/>
        <v>Q1</v>
      </c>
      <c r="L343">
        <f t="shared" si="17"/>
        <v>2025</v>
      </c>
    </row>
    <row r="344" spans="1:12" x14ac:dyDescent="0.3">
      <c r="A344" t="s">
        <v>1070</v>
      </c>
      <c r="B344" t="s">
        <v>1069</v>
      </c>
      <c r="C344" t="s">
        <v>292</v>
      </c>
      <c r="D344">
        <v>2</v>
      </c>
      <c r="E344" s="1">
        <v>45730</v>
      </c>
      <c r="F344" t="s">
        <v>568</v>
      </c>
      <c r="G344">
        <v>1</v>
      </c>
      <c r="H344" t="s">
        <v>569</v>
      </c>
      <c r="I344" t="s">
        <v>570</v>
      </c>
      <c r="J344" t="str">
        <f t="shared" si="15"/>
        <v>March</v>
      </c>
      <c r="K344" t="str">
        <f t="shared" si="16"/>
        <v>Q1</v>
      </c>
      <c r="L344">
        <f t="shared" si="17"/>
        <v>2025</v>
      </c>
    </row>
    <row r="345" spans="1:12" x14ac:dyDescent="0.3">
      <c r="A345" t="s">
        <v>1071</v>
      </c>
      <c r="B345" t="s">
        <v>1069</v>
      </c>
      <c r="C345" t="s">
        <v>292</v>
      </c>
      <c r="D345">
        <v>3</v>
      </c>
      <c r="E345" s="1">
        <v>45736</v>
      </c>
      <c r="F345" t="s">
        <v>580</v>
      </c>
      <c r="G345">
        <v>1</v>
      </c>
      <c r="H345" t="s">
        <v>569</v>
      </c>
      <c r="I345" t="s">
        <v>570</v>
      </c>
      <c r="J345" t="str">
        <f t="shared" si="15"/>
        <v>March</v>
      </c>
      <c r="K345" t="str">
        <f t="shared" si="16"/>
        <v>Q1</v>
      </c>
      <c r="L345">
        <f t="shared" si="17"/>
        <v>2025</v>
      </c>
    </row>
    <row r="346" spans="1:12" x14ac:dyDescent="0.3">
      <c r="A346" t="s">
        <v>1072</v>
      </c>
      <c r="B346" t="s">
        <v>1073</v>
      </c>
      <c r="C346" t="s">
        <v>429</v>
      </c>
      <c r="D346">
        <v>1</v>
      </c>
      <c r="E346" s="1">
        <v>45772</v>
      </c>
      <c r="F346" t="s">
        <v>741</v>
      </c>
      <c r="G346">
        <v>3</v>
      </c>
      <c r="H346" t="s">
        <v>578</v>
      </c>
      <c r="I346" t="s">
        <v>570</v>
      </c>
      <c r="J346" t="str">
        <f t="shared" si="15"/>
        <v>April</v>
      </c>
      <c r="K346" t="str">
        <f t="shared" si="16"/>
        <v>Q2</v>
      </c>
      <c r="L346">
        <f t="shared" si="17"/>
        <v>2025</v>
      </c>
    </row>
    <row r="347" spans="1:12" x14ac:dyDescent="0.3">
      <c r="A347" t="s">
        <v>1074</v>
      </c>
      <c r="B347" t="s">
        <v>1075</v>
      </c>
      <c r="C347" t="s">
        <v>183</v>
      </c>
      <c r="D347">
        <v>1</v>
      </c>
      <c r="E347" s="1">
        <v>45865</v>
      </c>
      <c r="F347" t="s">
        <v>584</v>
      </c>
      <c r="G347">
        <v>2</v>
      </c>
      <c r="H347" t="s">
        <v>569</v>
      </c>
      <c r="I347" t="s">
        <v>570</v>
      </c>
      <c r="J347" t="str">
        <f t="shared" si="15"/>
        <v>July</v>
      </c>
      <c r="K347" t="str">
        <f t="shared" si="16"/>
        <v>Q3</v>
      </c>
      <c r="L347">
        <f t="shared" si="17"/>
        <v>2025</v>
      </c>
    </row>
    <row r="348" spans="1:12" x14ac:dyDescent="0.3">
      <c r="A348" t="s">
        <v>1076</v>
      </c>
      <c r="B348" t="s">
        <v>1077</v>
      </c>
      <c r="C348" t="s">
        <v>195</v>
      </c>
      <c r="D348">
        <v>1</v>
      </c>
      <c r="E348" s="1">
        <v>45852</v>
      </c>
      <c r="F348" t="s">
        <v>632</v>
      </c>
      <c r="G348">
        <v>3</v>
      </c>
      <c r="H348" t="s">
        <v>578</v>
      </c>
      <c r="I348" t="s">
        <v>570</v>
      </c>
      <c r="J348" t="str">
        <f t="shared" si="15"/>
        <v>July</v>
      </c>
      <c r="K348" t="str">
        <f t="shared" si="16"/>
        <v>Q3</v>
      </c>
      <c r="L348">
        <f t="shared" si="17"/>
        <v>2025</v>
      </c>
    </row>
    <row r="349" spans="1:12" x14ac:dyDescent="0.3">
      <c r="A349" t="s">
        <v>1078</v>
      </c>
      <c r="B349" t="s">
        <v>1077</v>
      </c>
      <c r="C349" t="s">
        <v>195</v>
      </c>
      <c r="D349">
        <v>2</v>
      </c>
      <c r="E349" s="1">
        <v>45858</v>
      </c>
      <c r="F349" t="s">
        <v>592</v>
      </c>
      <c r="G349">
        <v>3</v>
      </c>
      <c r="H349" t="s">
        <v>578</v>
      </c>
      <c r="I349" t="s">
        <v>570</v>
      </c>
      <c r="J349" t="str">
        <f t="shared" si="15"/>
        <v>July</v>
      </c>
      <c r="K349" t="str">
        <f t="shared" si="16"/>
        <v>Q3</v>
      </c>
      <c r="L349">
        <f t="shared" si="17"/>
        <v>2025</v>
      </c>
    </row>
    <row r="350" spans="1:12" x14ac:dyDescent="0.3">
      <c r="A350" t="s">
        <v>1079</v>
      </c>
      <c r="B350" t="s">
        <v>1080</v>
      </c>
      <c r="C350" t="s">
        <v>41</v>
      </c>
      <c r="D350">
        <v>1</v>
      </c>
      <c r="E350" s="1">
        <v>45824</v>
      </c>
      <c r="F350" t="s">
        <v>612</v>
      </c>
      <c r="G350">
        <v>4</v>
      </c>
      <c r="H350" t="s">
        <v>581</v>
      </c>
      <c r="I350" t="s">
        <v>570</v>
      </c>
      <c r="J350" t="str">
        <f t="shared" si="15"/>
        <v>June</v>
      </c>
      <c r="K350" t="str">
        <f t="shared" si="16"/>
        <v>Q2</v>
      </c>
      <c r="L350">
        <f t="shared" si="17"/>
        <v>2025</v>
      </c>
    </row>
    <row r="351" spans="1:12" x14ac:dyDescent="0.3">
      <c r="A351" t="s">
        <v>1081</v>
      </c>
      <c r="B351" t="s">
        <v>1080</v>
      </c>
      <c r="C351" t="s">
        <v>41</v>
      </c>
      <c r="D351">
        <v>2</v>
      </c>
      <c r="E351" s="1">
        <v>45832</v>
      </c>
      <c r="F351" t="s">
        <v>572</v>
      </c>
      <c r="G351">
        <v>4</v>
      </c>
      <c r="H351" t="s">
        <v>581</v>
      </c>
      <c r="I351" t="s">
        <v>570</v>
      </c>
      <c r="J351" t="str">
        <f t="shared" si="15"/>
        <v>June</v>
      </c>
      <c r="K351" t="str">
        <f t="shared" si="16"/>
        <v>Q2</v>
      </c>
      <c r="L351">
        <f t="shared" si="17"/>
        <v>2025</v>
      </c>
    </row>
    <row r="352" spans="1:12" x14ac:dyDescent="0.3">
      <c r="A352" t="s">
        <v>1082</v>
      </c>
      <c r="B352" t="s">
        <v>1080</v>
      </c>
      <c r="C352" t="s">
        <v>41</v>
      </c>
      <c r="D352">
        <v>3</v>
      </c>
      <c r="E352" s="1">
        <v>45836</v>
      </c>
      <c r="F352" t="s">
        <v>572</v>
      </c>
      <c r="G352">
        <v>5</v>
      </c>
      <c r="H352" t="s">
        <v>581</v>
      </c>
      <c r="I352" t="s">
        <v>570</v>
      </c>
      <c r="J352" t="str">
        <f t="shared" si="15"/>
        <v>June</v>
      </c>
      <c r="K352" t="str">
        <f t="shared" si="16"/>
        <v>Q2</v>
      </c>
      <c r="L352">
        <f t="shared" si="17"/>
        <v>2025</v>
      </c>
    </row>
    <row r="353" spans="1:12" x14ac:dyDescent="0.3">
      <c r="A353" t="s">
        <v>1083</v>
      </c>
      <c r="B353" t="s">
        <v>459</v>
      </c>
      <c r="C353" t="s">
        <v>156</v>
      </c>
      <c r="D353">
        <v>1</v>
      </c>
      <c r="E353" s="1">
        <v>45732</v>
      </c>
      <c r="F353" t="s">
        <v>638</v>
      </c>
      <c r="G353">
        <v>4</v>
      </c>
      <c r="H353" t="s">
        <v>581</v>
      </c>
      <c r="I353" t="s">
        <v>570</v>
      </c>
      <c r="J353" t="str">
        <f t="shared" si="15"/>
        <v>March</v>
      </c>
      <c r="K353" t="str">
        <f t="shared" si="16"/>
        <v>Q1</v>
      </c>
      <c r="L353">
        <f t="shared" si="17"/>
        <v>2025</v>
      </c>
    </row>
    <row r="354" spans="1:12" x14ac:dyDescent="0.3">
      <c r="A354" t="s">
        <v>1084</v>
      </c>
      <c r="B354" t="s">
        <v>1085</v>
      </c>
      <c r="C354" t="s">
        <v>176</v>
      </c>
      <c r="D354">
        <v>1</v>
      </c>
      <c r="E354" s="1">
        <v>45713</v>
      </c>
      <c r="F354" t="s">
        <v>575</v>
      </c>
      <c r="G354">
        <v>1</v>
      </c>
      <c r="H354" t="s">
        <v>569</v>
      </c>
      <c r="I354" t="s">
        <v>570</v>
      </c>
      <c r="J354" t="str">
        <f t="shared" si="15"/>
        <v>February</v>
      </c>
      <c r="K354" t="str">
        <f t="shared" si="16"/>
        <v>Q1</v>
      </c>
      <c r="L354">
        <f t="shared" si="17"/>
        <v>2025</v>
      </c>
    </row>
    <row r="355" spans="1:12" x14ac:dyDescent="0.3">
      <c r="A355" t="s">
        <v>1086</v>
      </c>
      <c r="B355" t="s">
        <v>1087</v>
      </c>
      <c r="C355" t="s">
        <v>429</v>
      </c>
      <c r="D355">
        <v>1</v>
      </c>
      <c r="E355" s="1">
        <v>45763</v>
      </c>
      <c r="F355" t="s">
        <v>590</v>
      </c>
      <c r="G355">
        <v>3</v>
      </c>
      <c r="H355" t="s">
        <v>578</v>
      </c>
      <c r="I355" t="s">
        <v>597</v>
      </c>
      <c r="J355" t="str">
        <f t="shared" si="15"/>
        <v>April</v>
      </c>
      <c r="K355" t="str">
        <f t="shared" si="16"/>
        <v>Q2</v>
      </c>
      <c r="L355">
        <f t="shared" si="17"/>
        <v>2025</v>
      </c>
    </row>
    <row r="356" spans="1:12" x14ac:dyDescent="0.3">
      <c r="A356" t="s">
        <v>1088</v>
      </c>
      <c r="B356" t="s">
        <v>1089</v>
      </c>
      <c r="C356" t="s">
        <v>32</v>
      </c>
      <c r="D356">
        <v>1</v>
      </c>
      <c r="E356" s="1">
        <v>45760</v>
      </c>
      <c r="F356" t="s">
        <v>577</v>
      </c>
      <c r="G356">
        <v>1</v>
      </c>
      <c r="H356" t="s">
        <v>569</v>
      </c>
      <c r="I356" t="s">
        <v>570</v>
      </c>
      <c r="J356" t="str">
        <f t="shared" si="15"/>
        <v>April</v>
      </c>
      <c r="K356" t="str">
        <f t="shared" si="16"/>
        <v>Q2</v>
      </c>
      <c r="L356">
        <f t="shared" si="17"/>
        <v>2025</v>
      </c>
    </row>
    <row r="357" spans="1:12" x14ac:dyDescent="0.3">
      <c r="A357" t="s">
        <v>1090</v>
      </c>
      <c r="B357" t="s">
        <v>1089</v>
      </c>
      <c r="C357" t="s">
        <v>32</v>
      </c>
      <c r="D357">
        <v>2</v>
      </c>
      <c r="E357" s="1">
        <v>45770</v>
      </c>
      <c r="F357" t="s">
        <v>621</v>
      </c>
      <c r="G357">
        <v>1</v>
      </c>
      <c r="H357" t="s">
        <v>569</v>
      </c>
      <c r="I357" t="s">
        <v>570</v>
      </c>
      <c r="J357" t="str">
        <f t="shared" si="15"/>
        <v>April</v>
      </c>
      <c r="K357" t="str">
        <f t="shared" si="16"/>
        <v>Q2</v>
      </c>
      <c r="L357">
        <f t="shared" si="17"/>
        <v>2025</v>
      </c>
    </row>
    <row r="358" spans="1:12" x14ac:dyDescent="0.3">
      <c r="A358" t="s">
        <v>1091</v>
      </c>
      <c r="B358" t="s">
        <v>1092</v>
      </c>
      <c r="C358" t="s">
        <v>73</v>
      </c>
      <c r="D358">
        <v>1</v>
      </c>
      <c r="E358" s="1">
        <v>45802</v>
      </c>
      <c r="F358" t="s">
        <v>600</v>
      </c>
      <c r="G358">
        <v>1</v>
      </c>
      <c r="H358" t="s">
        <v>569</v>
      </c>
      <c r="I358" t="s">
        <v>570</v>
      </c>
      <c r="J358" t="str">
        <f t="shared" si="15"/>
        <v>May</v>
      </c>
      <c r="K358" t="str">
        <f t="shared" si="16"/>
        <v>Q2</v>
      </c>
      <c r="L358">
        <f t="shared" si="17"/>
        <v>2025</v>
      </c>
    </row>
    <row r="359" spans="1:12" x14ac:dyDescent="0.3">
      <c r="A359" t="s">
        <v>1093</v>
      </c>
      <c r="B359" t="s">
        <v>1092</v>
      </c>
      <c r="C359" t="s">
        <v>73</v>
      </c>
      <c r="D359">
        <v>2</v>
      </c>
      <c r="E359" s="1">
        <v>45813</v>
      </c>
      <c r="F359" t="s">
        <v>743</v>
      </c>
      <c r="G359">
        <v>1</v>
      </c>
      <c r="H359" t="s">
        <v>569</v>
      </c>
      <c r="I359" t="s">
        <v>570</v>
      </c>
      <c r="J359" t="str">
        <f t="shared" si="15"/>
        <v>June</v>
      </c>
      <c r="K359" t="str">
        <f t="shared" si="16"/>
        <v>Q2</v>
      </c>
      <c r="L359">
        <f t="shared" si="17"/>
        <v>2025</v>
      </c>
    </row>
    <row r="360" spans="1:12" x14ac:dyDescent="0.3">
      <c r="A360" t="s">
        <v>1094</v>
      </c>
      <c r="B360" t="s">
        <v>1095</v>
      </c>
      <c r="C360" t="s">
        <v>41</v>
      </c>
      <c r="D360">
        <v>1</v>
      </c>
      <c r="E360" s="1">
        <v>45827</v>
      </c>
      <c r="F360" t="s">
        <v>625</v>
      </c>
      <c r="G360">
        <v>2</v>
      </c>
      <c r="H360" t="s">
        <v>569</v>
      </c>
      <c r="I360" t="s">
        <v>570</v>
      </c>
      <c r="J360" t="str">
        <f t="shared" si="15"/>
        <v>June</v>
      </c>
      <c r="K360" t="str">
        <f t="shared" si="16"/>
        <v>Q2</v>
      </c>
      <c r="L360">
        <f t="shared" si="17"/>
        <v>2025</v>
      </c>
    </row>
    <row r="361" spans="1:12" x14ac:dyDescent="0.3">
      <c r="A361" t="s">
        <v>1096</v>
      </c>
      <c r="B361" t="s">
        <v>1095</v>
      </c>
      <c r="C361" t="s">
        <v>41</v>
      </c>
      <c r="D361">
        <v>2</v>
      </c>
      <c r="E361" s="1">
        <v>45833</v>
      </c>
      <c r="F361" t="s">
        <v>577</v>
      </c>
      <c r="G361">
        <v>3</v>
      </c>
      <c r="H361" t="s">
        <v>578</v>
      </c>
      <c r="I361" t="s">
        <v>570</v>
      </c>
      <c r="J361" t="str">
        <f t="shared" si="15"/>
        <v>June</v>
      </c>
      <c r="K361" t="str">
        <f t="shared" si="16"/>
        <v>Q2</v>
      </c>
      <c r="L361">
        <f t="shared" si="17"/>
        <v>2025</v>
      </c>
    </row>
    <row r="362" spans="1:12" x14ac:dyDescent="0.3">
      <c r="A362" t="s">
        <v>1097</v>
      </c>
      <c r="B362" t="s">
        <v>1095</v>
      </c>
      <c r="C362" t="s">
        <v>41</v>
      </c>
      <c r="D362">
        <v>3</v>
      </c>
      <c r="E362" s="1">
        <v>45840</v>
      </c>
      <c r="F362" t="s">
        <v>625</v>
      </c>
      <c r="G362">
        <v>3</v>
      </c>
      <c r="H362" t="s">
        <v>578</v>
      </c>
      <c r="I362" t="s">
        <v>570</v>
      </c>
      <c r="J362" t="str">
        <f t="shared" si="15"/>
        <v>July</v>
      </c>
      <c r="K362" t="str">
        <f t="shared" si="16"/>
        <v>Q3</v>
      </c>
      <c r="L362">
        <f t="shared" si="17"/>
        <v>2025</v>
      </c>
    </row>
    <row r="363" spans="1:12" x14ac:dyDescent="0.3">
      <c r="A363" t="s">
        <v>1098</v>
      </c>
      <c r="B363" t="s">
        <v>1095</v>
      </c>
      <c r="C363" t="s">
        <v>41</v>
      </c>
      <c r="D363">
        <v>4</v>
      </c>
      <c r="E363" s="1">
        <v>45847</v>
      </c>
      <c r="F363" t="s">
        <v>577</v>
      </c>
      <c r="G363">
        <v>1</v>
      </c>
      <c r="H363" t="s">
        <v>569</v>
      </c>
      <c r="I363" t="s">
        <v>570</v>
      </c>
      <c r="J363" t="str">
        <f t="shared" si="15"/>
        <v>July</v>
      </c>
      <c r="K363" t="str">
        <f t="shared" si="16"/>
        <v>Q3</v>
      </c>
      <c r="L363">
        <f t="shared" si="17"/>
        <v>2025</v>
      </c>
    </row>
    <row r="364" spans="1:12" x14ac:dyDescent="0.3">
      <c r="A364" t="s">
        <v>1099</v>
      </c>
      <c r="B364" t="s">
        <v>1100</v>
      </c>
      <c r="C364" t="s">
        <v>195</v>
      </c>
      <c r="D364">
        <v>1</v>
      </c>
      <c r="E364" s="1">
        <v>45853</v>
      </c>
      <c r="F364" t="s">
        <v>592</v>
      </c>
      <c r="G364">
        <v>3</v>
      </c>
      <c r="H364" t="s">
        <v>578</v>
      </c>
      <c r="I364" t="s">
        <v>570</v>
      </c>
      <c r="J364" t="str">
        <f t="shared" si="15"/>
        <v>July</v>
      </c>
      <c r="K364" t="str">
        <f t="shared" si="16"/>
        <v>Q3</v>
      </c>
      <c r="L364">
        <f t="shared" si="17"/>
        <v>2025</v>
      </c>
    </row>
    <row r="365" spans="1:12" x14ac:dyDescent="0.3">
      <c r="A365" t="s">
        <v>1101</v>
      </c>
      <c r="B365" t="s">
        <v>1100</v>
      </c>
      <c r="C365" t="s">
        <v>195</v>
      </c>
      <c r="D365">
        <v>2</v>
      </c>
      <c r="E365" s="1">
        <v>45864</v>
      </c>
      <c r="F365" t="s">
        <v>612</v>
      </c>
      <c r="G365">
        <v>3</v>
      </c>
      <c r="H365" t="s">
        <v>578</v>
      </c>
      <c r="I365" t="s">
        <v>570</v>
      </c>
      <c r="J365" t="str">
        <f t="shared" si="15"/>
        <v>July</v>
      </c>
      <c r="K365" t="str">
        <f t="shared" si="16"/>
        <v>Q3</v>
      </c>
      <c r="L365">
        <f t="shared" si="17"/>
        <v>2025</v>
      </c>
    </row>
    <row r="366" spans="1:12" x14ac:dyDescent="0.3">
      <c r="A366" t="s">
        <v>1102</v>
      </c>
      <c r="B366" t="s">
        <v>1103</v>
      </c>
      <c r="C366" t="s">
        <v>108</v>
      </c>
      <c r="D366">
        <v>1</v>
      </c>
      <c r="E366" s="1">
        <v>45760</v>
      </c>
      <c r="G366">
        <v>3</v>
      </c>
      <c r="H366" t="s">
        <v>578</v>
      </c>
      <c r="I366" t="s">
        <v>570</v>
      </c>
      <c r="J366" t="str">
        <f t="shared" si="15"/>
        <v>April</v>
      </c>
      <c r="K366" t="str">
        <f t="shared" si="16"/>
        <v>Q2</v>
      </c>
      <c r="L366">
        <f t="shared" si="17"/>
        <v>2025</v>
      </c>
    </row>
    <row r="367" spans="1:12" x14ac:dyDescent="0.3">
      <c r="A367" t="s">
        <v>1104</v>
      </c>
      <c r="B367" t="s">
        <v>1103</v>
      </c>
      <c r="C367" t="s">
        <v>108</v>
      </c>
      <c r="D367">
        <v>2</v>
      </c>
      <c r="E367" s="1">
        <v>45772</v>
      </c>
      <c r="F367" t="s">
        <v>575</v>
      </c>
      <c r="G367">
        <v>1</v>
      </c>
      <c r="H367" t="s">
        <v>569</v>
      </c>
      <c r="I367" t="s">
        <v>570</v>
      </c>
      <c r="J367" t="str">
        <f t="shared" si="15"/>
        <v>April</v>
      </c>
      <c r="K367" t="str">
        <f t="shared" si="16"/>
        <v>Q2</v>
      </c>
      <c r="L367">
        <f t="shared" si="17"/>
        <v>2025</v>
      </c>
    </row>
    <row r="368" spans="1:12" x14ac:dyDescent="0.3">
      <c r="A368" t="s">
        <v>1105</v>
      </c>
      <c r="B368" t="s">
        <v>1103</v>
      </c>
      <c r="C368" t="s">
        <v>108</v>
      </c>
      <c r="D368">
        <v>3</v>
      </c>
      <c r="E368" s="1">
        <v>45783</v>
      </c>
      <c r="F368" t="s">
        <v>596</v>
      </c>
      <c r="G368">
        <v>2</v>
      </c>
      <c r="H368" t="s">
        <v>569</v>
      </c>
      <c r="I368" t="s">
        <v>570</v>
      </c>
      <c r="J368" t="str">
        <f t="shared" si="15"/>
        <v>May</v>
      </c>
      <c r="K368" t="str">
        <f t="shared" si="16"/>
        <v>Q2</v>
      </c>
      <c r="L368">
        <f t="shared" si="17"/>
        <v>2025</v>
      </c>
    </row>
    <row r="369" spans="1:12" x14ac:dyDescent="0.3">
      <c r="A369" t="s">
        <v>1106</v>
      </c>
      <c r="B369" t="s">
        <v>1107</v>
      </c>
      <c r="C369" t="s">
        <v>96</v>
      </c>
      <c r="D369">
        <v>1</v>
      </c>
      <c r="E369" s="1">
        <v>45875</v>
      </c>
      <c r="F369" t="s">
        <v>612</v>
      </c>
      <c r="G369">
        <v>3</v>
      </c>
      <c r="H369" t="s">
        <v>578</v>
      </c>
      <c r="I369" t="s">
        <v>570</v>
      </c>
      <c r="J369" t="str">
        <f t="shared" si="15"/>
        <v>August</v>
      </c>
      <c r="K369" t="str">
        <f t="shared" si="16"/>
        <v>Q3</v>
      </c>
      <c r="L369">
        <f t="shared" si="17"/>
        <v>2025</v>
      </c>
    </row>
    <row r="370" spans="1:12" x14ac:dyDescent="0.3">
      <c r="A370" t="s">
        <v>1108</v>
      </c>
      <c r="B370" t="s">
        <v>1107</v>
      </c>
      <c r="C370" t="s">
        <v>96</v>
      </c>
      <c r="D370">
        <v>2</v>
      </c>
      <c r="E370" s="1">
        <v>45883</v>
      </c>
      <c r="F370" t="s">
        <v>603</v>
      </c>
      <c r="G370">
        <v>3</v>
      </c>
      <c r="H370" t="s">
        <v>578</v>
      </c>
      <c r="I370" t="s">
        <v>570</v>
      </c>
      <c r="J370" t="str">
        <f t="shared" si="15"/>
        <v>August</v>
      </c>
      <c r="K370" t="str">
        <f t="shared" si="16"/>
        <v>Q3</v>
      </c>
      <c r="L370">
        <f t="shared" si="17"/>
        <v>2025</v>
      </c>
    </row>
    <row r="371" spans="1:12" x14ac:dyDescent="0.3">
      <c r="A371" t="s">
        <v>1109</v>
      </c>
      <c r="B371" t="s">
        <v>1107</v>
      </c>
      <c r="C371" t="s">
        <v>96</v>
      </c>
      <c r="D371">
        <v>3</v>
      </c>
      <c r="E371" s="1">
        <v>45893</v>
      </c>
      <c r="F371" t="s">
        <v>577</v>
      </c>
      <c r="G371">
        <v>5</v>
      </c>
      <c r="H371" t="s">
        <v>581</v>
      </c>
      <c r="I371" t="s">
        <v>570</v>
      </c>
      <c r="J371" t="str">
        <f t="shared" si="15"/>
        <v>August</v>
      </c>
      <c r="K371" t="str">
        <f t="shared" si="16"/>
        <v>Q3</v>
      </c>
      <c r="L371">
        <f t="shared" si="17"/>
        <v>2025</v>
      </c>
    </row>
    <row r="372" spans="1:12" x14ac:dyDescent="0.3">
      <c r="A372" t="s">
        <v>1110</v>
      </c>
      <c r="B372" t="s">
        <v>439</v>
      </c>
      <c r="C372" t="s">
        <v>73</v>
      </c>
      <c r="D372">
        <v>1</v>
      </c>
      <c r="E372" s="1">
        <v>45809</v>
      </c>
      <c r="F372" t="s">
        <v>600</v>
      </c>
      <c r="G372">
        <v>4</v>
      </c>
      <c r="H372" t="s">
        <v>581</v>
      </c>
      <c r="I372" t="s">
        <v>570</v>
      </c>
      <c r="J372" t="str">
        <f t="shared" si="15"/>
        <v>June</v>
      </c>
      <c r="K372" t="str">
        <f t="shared" si="16"/>
        <v>Q2</v>
      </c>
      <c r="L372">
        <f t="shared" si="17"/>
        <v>2025</v>
      </c>
    </row>
    <row r="373" spans="1:12" x14ac:dyDescent="0.3">
      <c r="A373" t="s">
        <v>1111</v>
      </c>
      <c r="B373" t="s">
        <v>1112</v>
      </c>
      <c r="C373" t="s">
        <v>156</v>
      </c>
      <c r="D373">
        <v>1</v>
      </c>
      <c r="E373" s="1">
        <v>45737</v>
      </c>
      <c r="F373" t="s">
        <v>741</v>
      </c>
      <c r="G373">
        <v>2</v>
      </c>
      <c r="H373" t="s">
        <v>569</v>
      </c>
      <c r="I373" t="s">
        <v>570</v>
      </c>
      <c r="J373" t="str">
        <f t="shared" si="15"/>
        <v>March</v>
      </c>
      <c r="K373" t="str">
        <f t="shared" si="16"/>
        <v>Q1</v>
      </c>
      <c r="L373">
        <f t="shared" si="17"/>
        <v>2025</v>
      </c>
    </row>
    <row r="374" spans="1:12" x14ac:dyDescent="0.3">
      <c r="A374" t="s">
        <v>1113</v>
      </c>
      <c r="B374" t="s">
        <v>1112</v>
      </c>
      <c r="C374" t="s">
        <v>156</v>
      </c>
      <c r="D374">
        <v>2</v>
      </c>
      <c r="E374" s="1">
        <v>45744</v>
      </c>
      <c r="F374" t="s">
        <v>580</v>
      </c>
      <c r="G374">
        <v>2</v>
      </c>
      <c r="H374" t="s">
        <v>569</v>
      </c>
      <c r="I374" t="s">
        <v>570</v>
      </c>
      <c r="J374" t="str">
        <f t="shared" si="15"/>
        <v>March</v>
      </c>
      <c r="K374" t="str">
        <f t="shared" si="16"/>
        <v>Q1</v>
      </c>
      <c r="L374">
        <f t="shared" si="17"/>
        <v>2025</v>
      </c>
    </row>
    <row r="375" spans="1:12" x14ac:dyDescent="0.3">
      <c r="A375" t="s">
        <v>1114</v>
      </c>
      <c r="B375" t="s">
        <v>1112</v>
      </c>
      <c r="C375" t="s">
        <v>156</v>
      </c>
      <c r="D375">
        <v>3</v>
      </c>
      <c r="E375" s="1">
        <v>45748</v>
      </c>
      <c r="F375" t="s">
        <v>638</v>
      </c>
      <c r="G375">
        <v>3</v>
      </c>
      <c r="H375" t="s">
        <v>578</v>
      </c>
      <c r="I375" t="s">
        <v>570</v>
      </c>
      <c r="J375" t="str">
        <f t="shared" si="15"/>
        <v>April</v>
      </c>
      <c r="K375" t="str">
        <f t="shared" si="16"/>
        <v>Q2</v>
      </c>
      <c r="L375">
        <f t="shared" si="17"/>
        <v>2025</v>
      </c>
    </row>
    <row r="376" spans="1:12" x14ac:dyDescent="0.3">
      <c r="A376" t="s">
        <v>1115</v>
      </c>
      <c r="B376" t="s">
        <v>135</v>
      </c>
      <c r="C376" t="s">
        <v>133</v>
      </c>
      <c r="D376">
        <v>1</v>
      </c>
      <c r="E376" s="1">
        <v>45702</v>
      </c>
      <c r="F376" t="s">
        <v>592</v>
      </c>
      <c r="G376">
        <v>4</v>
      </c>
      <c r="H376" t="s">
        <v>581</v>
      </c>
      <c r="I376" t="s">
        <v>570</v>
      </c>
      <c r="J376" t="str">
        <f t="shared" si="15"/>
        <v>February</v>
      </c>
      <c r="K376" t="str">
        <f t="shared" si="16"/>
        <v>Q1</v>
      </c>
      <c r="L376">
        <f t="shared" si="17"/>
        <v>2025</v>
      </c>
    </row>
    <row r="377" spans="1:12" x14ac:dyDescent="0.3">
      <c r="A377" t="s">
        <v>1116</v>
      </c>
      <c r="B377" t="s">
        <v>1117</v>
      </c>
      <c r="C377" t="s">
        <v>73</v>
      </c>
      <c r="D377">
        <v>1</v>
      </c>
      <c r="E377" s="1">
        <v>45810</v>
      </c>
      <c r="F377" t="s">
        <v>743</v>
      </c>
      <c r="G377">
        <v>1</v>
      </c>
      <c r="H377" t="s">
        <v>569</v>
      </c>
      <c r="I377" t="s">
        <v>608</v>
      </c>
      <c r="J377" t="str">
        <f t="shared" si="15"/>
        <v>June</v>
      </c>
      <c r="K377" t="str">
        <f t="shared" si="16"/>
        <v>Q2</v>
      </c>
      <c r="L377">
        <f t="shared" si="17"/>
        <v>2025</v>
      </c>
    </row>
    <row r="378" spans="1:12" x14ac:dyDescent="0.3">
      <c r="A378" t="s">
        <v>1118</v>
      </c>
      <c r="B378" t="s">
        <v>1117</v>
      </c>
      <c r="C378" t="s">
        <v>73</v>
      </c>
      <c r="D378">
        <v>2</v>
      </c>
      <c r="E378" s="1">
        <v>45816</v>
      </c>
      <c r="F378" t="s">
        <v>600</v>
      </c>
      <c r="G378">
        <v>2</v>
      </c>
      <c r="H378" t="s">
        <v>569</v>
      </c>
      <c r="I378" t="s">
        <v>570</v>
      </c>
      <c r="J378" t="str">
        <f t="shared" si="15"/>
        <v>June</v>
      </c>
      <c r="K378" t="str">
        <f t="shared" si="16"/>
        <v>Q2</v>
      </c>
      <c r="L378">
        <f t="shared" si="17"/>
        <v>2025</v>
      </c>
    </row>
    <row r="379" spans="1:12" x14ac:dyDescent="0.3">
      <c r="A379" t="s">
        <v>1119</v>
      </c>
      <c r="B379" t="s">
        <v>1120</v>
      </c>
      <c r="C379" t="s">
        <v>99</v>
      </c>
      <c r="D379">
        <v>1</v>
      </c>
      <c r="E379" s="1">
        <v>45855</v>
      </c>
      <c r="F379" t="s">
        <v>649</v>
      </c>
      <c r="G379">
        <v>3</v>
      </c>
      <c r="H379" t="s">
        <v>578</v>
      </c>
      <c r="I379" t="s">
        <v>570</v>
      </c>
      <c r="J379" t="str">
        <f t="shared" si="15"/>
        <v>July</v>
      </c>
      <c r="K379" t="str">
        <f t="shared" si="16"/>
        <v>Q3</v>
      </c>
      <c r="L379">
        <f t="shared" si="17"/>
        <v>2025</v>
      </c>
    </row>
    <row r="380" spans="1:12" x14ac:dyDescent="0.3">
      <c r="A380" t="s">
        <v>1121</v>
      </c>
      <c r="B380" t="s">
        <v>1120</v>
      </c>
      <c r="C380" t="s">
        <v>99</v>
      </c>
      <c r="D380">
        <v>2</v>
      </c>
      <c r="E380" s="1">
        <v>45865</v>
      </c>
      <c r="F380" t="s">
        <v>670</v>
      </c>
      <c r="G380">
        <v>1</v>
      </c>
      <c r="H380" t="s">
        <v>569</v>
      </c>
      <c r="I380" t="s">
        <v>597</v>
      </c>
      <c r="J380" t="str">
        <f t="shared" si="15"/>
        <v>July</v>
      </c>
      <c r="K380" t="str">
        <f t="shared" si="16"/>
        <v>Q3</v>
      </c>
      <c r="L380">
        <f t="shared" si="17"/>
        <v>2025</v>
      </c>
    </row>
    <row r="381" spans="1:12" x14ac:dyDescent="0.3">
      <c r="A381" t="s">
        <v>1122</v>
      </c>
      <c r="B381" t="s">
        <v>1120</v>
      </c>
      <c r="C381" t="s">
        <v>99</v>
      </c>
      <c r="D381">
        <v>3</v>
      </c>
      <c r="E381" s="1">
        <v>45870</v>
      </c>
      <c r="F381" t="s">
        <v>670</v>
      </c>
      <c r="G381">
        <v>1</v>
      </c>
      <c r="H381" t="s">
        <v>569</v>
      </c>
      <c r="I381" t="s">
        <v>570</v>
      </c>
      <c r="J381" t="str">
        <f t="shared" si="15"/>
        <v>August</v>
      </c>
      <c r="K381" t="str">
        <f t="shared" si="16"/>
        <v>Q3</v>
      </c>
      <c r="L381">
        <f t="shared" si="17"/>
        <v>2025</v>
      </c>
    </row>
    <row r="382" spans="1:12" x14ac:dyDescent="0.3">
      <c r="A382" t="s">
        <v>1123</v>
      </c>
      <c r="B382" t="s">
        <v>404</v>
      </c>
      <c r="C382" t="s">
        <v>10</v>
      </c>
      <c r="D382">
        <v>1</v>
      </c>
      <c r="E382" s="1">
        <v>45923</v>
      </c>
      <c r="F382" t="s">
        <v>596</v>
      </c>
      <c r="G382">
        <v>4</v>
      </c>
      <c r="H382" t="s">
        <v>581</v>
      </c>
      <c r="I382" t="s">
        <v>570</v>
      </c>
      <c r="J382" t="str">
        <f t="shared" si="15"/>
        <v>September</v>
      </c>
      <c r="K382" t="str">
        <f t="shared" si="16"/>
        <v>Q3</v>
      </c>
      <c r="L382">
        <f t="shared" si="17"/>
        <v>2025</v>
      </c>
    </row>
    <row r="383" spans="1:12" x14ac:dyDescent="0.3">
      <c r="A383" t="s">
        <v>1124</v>
      </c>
      <c r="B383" t="s">
        <v>404</v>
      </c>
      <c r="C383" t="s">
        <v>10</v>
      </c>
      <c r="D383">
        <v>2</v>
      </c>
      <c r="E383" s="1">
        <v>45927</v>
      </c>
      <c r="F383" t="s">
        <v>580</v>
      </c>
      <c r="G383">
        <v>5</v>
      </c>
      <c r="H383" t="s">
        <v>581</v>
      </c>
      <c r="I383" t="s">
        <v>597</v>
      </c>
      <c r="J383" t="str">
        <f t="shared" si="15"/>
        <v>September</v>
      </c>
      <c r="K383" t="str">
        <f t="shared" si="16"/>
        <v>Q3</v>
      </c>
      <c r="L383">
        <f t="shared" si="17"/>
        <v>2025</v>
      </c>
    </row>
    <row r="384" spans="1:12" x14ac:dyDescent="0.3">
      <c r="A384" t="s">
        <v>1125</v>
      </c>
      <c r="B384" t="s">
        <v>404</v>
      </c>
      <c r="C384" t="s">
        <v>10</v>
      </c>
      <c r="D384">
        <v>3</v>
      </c>
      <c r="E384" s="1">
        <v>45935</v>
      </c>
      <c r="F384" t="s">
        <v>663</v>
      </c>
      <c r="G384">
        <v>4</v>
      </c>
      <c r="H384" t="s">
        <v>581</v>
      </c>
      <c r="I384" t="s">
        <v>570</v>
      </c>
      <c r="J384" t="str">
        <f t="shared" si="15"/>
        <v>October</v>
      </c>
      <c r="K384" t="str">
        <f t="shared" si="16"/>
        <v>Q4</v>
      </c>
      <c r="L384">
        <f t="shared" si="17"/>
        <v>2025</v>
      </c>
    </row>
    <row r="385" spans="1:12" x14ac:dyDescent="0.3">
      <c r="A385" t="s">
        <v>1126</v>
      </c>
      <c r="B385" t="s">
        <v>1127</v>
      </c>
      <c r="C385" t="s">
        <v>58</v>
      </c>
      <c r="D385">
        <v>1</v>
      </c>
      <c r="E385" s="1">
        <v>45818</v>
      </c>
      <c r="F385" t="s">
        <v>577</v>
      </c>
      <c r="G385">
        <v>2</v>
      </c>
      <c r="H385" t="s">
        <v>569</v>
      </c>
      <c r="I385" t="s">
        <v>570</v>
      </c>
      <c r="J385" t="str">
        <f t="shared" si="15"/>
        <v>June</v>
      </c>
      <c r="K385" t="str">
        <f t="shared" si="16"/>
        <v>Q2</v>
      </c>
      <c r="L385">
        <f t="shared" si="17"/>
        <v>2025</v>
      </c>
    </row>
    <row r="386" spans="1:12" x14ac:dyDescent="0.3">
      <c r="A386" t="s">
        <v>1128</v>
      </c>
      <c r="B386" t="s">
        <v>1127</v>
      </c>
      <c r="C386" t="s">
        <v>58</v>
      </c>
      <c r="D386">
        <v>2</v>
      </c>
      <c r="E386" s="1">
        <v>45830</v>
      </c>
      <c r="F386" t="s">
        <v>625</v>
      </c>
      <c r="G386">
        <v>1</v>
      </c>
      <c r="H386" t="s">
        <v>569</v>
      </c>
      <c r="I386" t="s">
        <v>570</v>
      </c>
      <c r="J386" t="str">
        <f t="shared" ref="J386:J449" si="18">TEXT(E386,"mmmm")</f>
        <v>June</v>
      </c>
      <c r="K386" t="str">
        <f t="shared" ref="K386:K449" si="19">"Q"&amp;ROUNDUP(MONTH(E386)/3,0)</f>
        <v>Q2</v>
      </c>
      <c r="L386">
        <f t="shared" ref="L386:L449" si="20">YEAR(E386)</f>
        <v>2025</v>
      </c>
    </row>
    <row r="387" spans="1:12" x14ac:dyDescent="0.3">
      <c r="A387" t="s">
        <v>1129</v>
      </c>
      <c r="B387" t="s">
        <v>231</v>
      </c>
      <c r="C387" t="s">
        <v>22</v>
      </c>
      <c r="D387">
        <v>1</v>
      </c>
      <c r="E387" s="1">
        <v>45846</v>
      </c>
      <c r="F387" t="s">
        <v>605</v>
      </c>
      <c r="G387">
        <v>5</v>
      </c>
      <c r="H387" t="s">
        <v>581</v>
      </c>
      <c r="I387" t="s">
        <v>570</v>
      </c>
      <c r="J387" t="str">
        <f t="shared" si="18"/>
        <v>July</v>
      </c>
      <c r="K387" t="str">
        <f t="shared" si="19"/>
        <v>Q3</v>
      </c>
      <c r="L387">
        <f t="shared" si="20"/>
        <v>2025</v>
      </c>
    </row>
    <row r="388" spans="1:12" x14ac:dyDescent="0.3">
      <c r="A388" t="s">
        <v>1130</v>
      </c>
      <c r="B388" t="s">
        <v>1131</v>
      </c>
      <c r="C388" t="s">
        <v>292</v>
      </c>
      <c r="D388">
        <v>1</v>
      </c>
      <c r="E388" s="1">
        <v>45722</v>
      </c>
      <c r="F388" t="s">
        <v>663</v>
      </c>
      <c r="G388">
        <v>4</v>
      </c>
      <c r="H388" t="s">
        <v>581</v>
      </c>
      <c r="I388" t="s">
        <v>570</v>
      </c>
      <c r="J388" t="str">
        <f t="shared" si="18"/>
        <v>March</v>
      </c>
      <c r="K388" t="str">
        <f t="shared" si="19"/>
        <v>Q1</v>
      </c>
      <c r="L388">
        <f t="shared" si="20"/>
        <v>2025</v>
      </c>
    </row>
    <row r="389" spans="1:12" x14ac:dyDescent="0.3">
      <c r="A389" t="s">
        <v>1132</v>
      </c>
      <c r="B389" t="s">
        <v>1133</v>
      </c>
      <c r="C389" t="s">
        <v>156</v>
      </c>
      <c r="D389">
        <v>1</v>
      </c>
      <c r="E389" s="1">
        <v>45730</v>
      </c>
      <c r="F389" t="s">
        <v>741</v>
      </c>
      <c r="G389">
        <v>1</v>
      </c>
      <c r="H389" t="s">
        <v>569</v>
      </c>
      <c r="I389" t="s">
        <v>570</v>
      </c>
      <c r="J389" t="str">
        <f t="shared" si="18"/>
        <v>March</v>
      </c>
      <c r="K389" t="str">
        <f t="shared" si="19"/>
        <v>Q1</v>
      </c>
      <c r="L389">
        <f t="shared" si="20"/>
        <v>2025</v>
      </c>
    </row>
    <row r="390" spans="1:12" x14ac:dyDescent="0.3">
      <c r="A390" t="s">
        <v>1134</v>
      </c>
      <c r="B390" t="s">
        <v>1133</v>
      </c>
      <c r="C390" t="s">
        <v>156</v>
      </c>
      <c r="D390">
        <v>2</v>
      </c>
      <c r="E390" s="1">
        <v>45735</v>
      </c>
      <c r="F390" t="s">
        <v>741</v>
      </c>
      <c r="G390">
        <v>2</v>
      </c>
      <c r="H390" t="s">
        <v>569</v>
      </c>
      <c r="I390" t="s">
        <v>570</v>
      </c>
      <c r="J390" t="str">
        <f t="shared" si="18"/>
        <v>March</v>
      </c>
      <c r="K390" t="str">
        <f t="shared" si="19"/>
        <v>Q1</v>
      </c>
      <c r="L390">
        <f t="shared" si="20"/>
        <v>2025</v>
      </c>
    </row>
    <row r="391" spans="1:12" x14ac:dyDescent="0.3">
      <c r="A391" t="s">
        <v>1135</v>
      </c>
      <c r="B391" t="s">
        <v>1136</v>
      </c>
      <c r="C391" t="s">
        <v>73</v>
      </c>
      <c r="D391">
        <v>1</v>
      </c>
      <c r="E391" s="1">
        <v>45805</v>
      </c>
      <c r="F391" t="s">
        <v>988</v>
      </c>
      <c r="G391">
        <v>3</v>
      </c>
      <c r="H391" t="s">
        <v>578</v>
      </c>
      <c r="I391" t="s">
        <v>570</v>
      </c>
      <c r="J391" t="str">
        <f t="shared" si="18"/>
        <v>May</v>
      </c>
      <c r="K391" t="str">
        <f t="shared" si="19"/>
        <v>Q2</v>
      </c>
      <c r="L391">
        <f t="shared" si="20"/>
        <v>2025</v>
      </c>
    </row>
    <row r="392" spans="1:12" x14ac:dyDescent="0.3">
      <c r="A392" t="s">
        <v>1137</v>
      </c>
      <c r="B392" t="s">
        <v>1138</v>
      </c>
      <c r="C392" t="s">
        <v>68</v>
      </c>
      <c r="D392">
        <v>1</v>
      </c>
      <c r="E392" s="1">
        <v>45740</v>
      </c>
      <c r="F392" t="s">
        <v>575</v>
      </c>
      <c r="G392">
        <v>4</v>
      </c>
      <c r="H392" t="s">
        <v>581</v>
      </c>
      <c r="I392" t="s">
        <v>570</v>
      </c>
      <c r="J392" t="str">
        <f t="shared" si="18"/>
        <v>March</v>
      </c>
      <c r="K392" t="str">
        <f t="shared" si="19"/>
        <v>Q1</v>
      </c>
      <c r="L392">
        <f t="shared" si="20"/>
        <v>2025</v>
      </c>
    </row>
    <row r="393" spans="1:12" x14ac:dyDescent="0.3">
      <c r="A393" t="s">
        <v>1139</v>
      </c>
      <c r="B393" t="s">
        <v>1138</v>
      </c>
      <c r="C393" t="s">
        <v>68</v>
      </c>
      <c r="D393">
        <v>2</v>
      </c>
      <c r="E393" s="1">
        <v>45751</v>
      </c>
      <c r="F393" t="s">
        <v>586</v>
      </c>
      <c r="G393">
        <v>4</v>
      </c>
      <c r="H393" t="s">
        <v>581</v>
      </c>
      <c r="I393" t="s">
        <v>597</v>
      </c>
      <c r="J393" t="str">
        <f t="shared" si="18"/>
        <v>April</v>
      </c>
      <c r="K393" t="str">
        <f t="shared" si="19"/>
        <v>Q2</v>
      </c>
      <c r="L393">
        <f t="shared" si="20"/>
        <v>2025</v>
      </c>
    </row>
    <row r="394" spans="1:12" x14ac:dyDescent="0.3">
      <c r="A394" t="s">
        <v>1140</v>
      </c>
      <c r="B394" t="s">
        <v>1141</v>
      </c>
      <c r="C394" t="s">
        <v>78</v>
      </c>
      <c r="D394">
        <v>1</v>
      </c>
      <c r="E394" s="1">
        <v>45904</v>
      </c>
      <c r="F394" t="s">
        <v>580</v>
      </c>
      <c r="G394">
        <v>2</v>
      </c>
      <c r="H394" t="s">
        <v>569</v>
      </c>
      <c r="I394" t="s">
        <v>570</v>
      </c>
      <c r="J394" t="str">
        <f t="shared" si="18"/>
        <v>September</v>
      </c>
      <c r="K394" t="str">
        <f t="shared" si="19"/>
        <v>Q3</v>
      </c>
      <c r="L394">
        <f t="shared" si="20"/>
        <v>2025</v>
      </c>
    </row>
    <row r="395" spans="1:12" x14ac:dyDescent="0.3">
      <c r="A395" t="s">
        <v>1142</v>
      </c>
      <c r="B395" t="s">
        <v>1141</v>
      </c>
      <c r="C395" t="s">
        <v>78</v>
      </c>
      <c r="D395">
        <v>2</v>
      </c>
      <c r="E395" s="1">
        <v>45910</v>
      </c>
      <c r="F395" t="s">
        <v>580</v>
      </c>
      <c r="G395">
        <v>2</v>
      </c>
      <c r="H395" t="s">
        <v>569</v>
      </c>
      <c r="I395" t="s">
        <v>570</v>
      </c>
      <c r="J395" t="str">
        <f t="shared" si="18"/>
        <v>September</v>
      </c>
      <c r="K395" t="str">
        <f t="shared" si="19"/>
        <v>Q3</v>
      </c>
      <c r="L395">
        <f t="shared" si="20"/>
        <v>2025</v>
      </c>
    </row>
    <row r="396" spans="1:12" x14ac:dyDescent="0.3">
      <c r="A396" t="s">
        <v>1143</v>
      </c>
      <c r="B396" t="s">
        <v>1141</v>
      </c>
      <c r="C396" t="s">
        <v>78</v>
      </c>
      <c r="D396">
        <v>3</v>
      </c>
      <c r="E396" s="1">
        <v>45917</v>
      </c>
      <c r="F396" t="s">
        <v>596</v>
      </c>
      <c r="G396">
        <v>1</v>
      </c>
      <c r="H396" t="s">
        <v>569</v>
      </c>
      <c r="I396" t="s">
        <v>570</v>
      </c>
      <c r="J396" t="str">
        <f t="shared" si="18"/>
        <v>September</v>
      </c>
      <c r="K396" t="str">
        <f t="shared" si="19"/>
        <v>Q3</v>
      </c>
      <c r="L396">
        <f t="shared" si="20"/>
        <v>2025</v>
      </c>
    </row>
    <row r="397" spans="1:12" x14ac:dyDescent="0.3">
      <c r="A397" t="s">
        <v>1144</v>
      </c>
      <c r="B397" t="s">
        <v>1141</v>
      </c>
      <c r="C397" t="s">
        <v>78</v>
      </c>
      <c r="D397">
        <v>4</v>
      </c>
      <c r="E397" s="1">
        <v>45924</v>
      </c>
      <c r="F397" t="s">
        <v>572</v>
      </c>
      <c r="G397">
        <v>2</v>
      </c>
      <c r="H397" t="s">
        <v>569</v>
      </c>
      <c r="I397" t="s">
        <v>570</v>
      </c>
      <c r="J397" t="str">
        <f t="shared" si="18"/>
        <v>September</v>
      </c>
      <c r="K397" t="str">
        <f t="shared" si="19"/>
        <v>Q3</v>
      </c>
      <c r="L397">
        <f t="shared" si="20"/>
        <v>2025</v>
      </c>
    </row>
    <row r="398" spans="1:12" x14ac:dyDescent="0.3">
      <c r="A398" t="s">
        <v>1145</v>
      </c>
      <c r="B398" t="s">
        <v>1146</v>
      </c>
      <c r="C398" t="s">
        <v>96</v>
      </c>
      <c r="D398">
        <v>1</v>
      </c>
      <c r="E398" s="1">
        <v>45884</v>
      </c>
      <c r="F398" t="s">
        <v>612</v>
      </c>
      <c r="G398">
        <v>2</v>
      </c>
      <c r="H398" t="s">
        <v>569</v>
      </c>
      <c r="I398" t="s">
        <v>570</v>
      </c>
      <c r="J398" t="str">
        <f t="shared" si="18"/>
        <v>August</v>
      </c>
      <c r="K398" t="str">
        <f t="shared" si="19"/>
        <v>Q3</v>
      </c>
      <c r="L398">
        <f t="shared" si="20"/>
        <v>2025</v>
      </c>
    </row>
    <row r="399" spans="1:12" x14ac:dyDescent="0.3">
      <c r="A399" t="s">
        <v>1147</v>
      </c>
      <c r="B399" t="s">
        <v>1146</v>
      </c>
      <c r="C399" t="s">
        <v>96</v>
      </c>
      <c r="D399">
        <v>2</v>
      </c>
      <c r="E399" s="1">
        <v>45889</v>
      </c>
      <c r="F399" t="s">
        <v>612</v>
      </c>
      <c r="G399">
        <v>1</v>
      </c>
      <c r="H399" t="s">
        <v>569</v>
      </c>
      <c r="I399" t="s">
        <v>570</v>
      </c>
      <c r="J399" t="str">
        <f t="shared" si="18"/>
        <v>August</v>
      </c>
      <c r="K399" t="str">
        <f t="shared" si="19"/>
        <v>Q3</v>
      </c>
      <c r="L399">
        <f t="shared" si="20"/>
        <v>2025</v>
      </c>
    </row>
    <row r="400" spans="1:12" x14ac:dyDescent="0.3">
      <c r="A400" t="s">
        <v>1148</v>
      </c>
      <c r="B400" t="s">
        <v>1146</v>
      </c>
      <c r="C400" t="s">
        <v>96</v>
      </c>
      <c r="D400">
        <v>3</v>
      </c>
      <c r="E400" s="1">
        <v>45894</v>
      </c>
      <c r="F400" t="s">
        <v>577</v>
      </c>
      <c r="G400">
        <v>1</v>
      </c>
      <c r="H400" t="s">
        <v>569</v>
      </c>
      <c r="I400" t="s">
        <v>570</v>
      </c>
      <c r="J400" t="str">
        <f t="shared" si="18"/>
        <v>August</v>
      </c>
      <c r="K400" t="str">
        <f t="shared" si="19"/>
        <v>Q3</v>
      </c>
      <c r="L400">
        <f t="shared" si="20"/>
        <v>2025</v>
      </c>
    </row>
    <row r="401" spans="1:12" x14ac:dyDescent="0.3">
      <c r="A401" t="s">
        <v>1149</v>
      </c>
      <c r="B401" t="s">
        <v>1150</v>
      </c>
      <c r="C401" t="s">
        <v>147</v>
      </c>
      <c r="D401">
        <v>1</v>
      </c>
      <c r="E401" s="1">
        <v>45826</v>
      </c>
      <c r="F401" t="s">
        <v>568</v>
      </c>
      <c r="G401">
        <v>1</v>
      </c>
      <c r="H401" t="s">
        <v>569</v>
      </c>
      <c r="I401" t="s">
        <v>570</v>
      </c>
      <c r="J401" t="str">
        <f t="shared" si="18"/>
        <v>June</v>
      </c>
      <c r="K401" t="str">
        <f t="shared" si="19"/>
        <v>Q2</v>
      </c>
      <c r="L401">
        <f t="shared" si="20"/>
        <v>2025</v>
      </c>
    </row>
    <row r="402" spans="1:12" x14ac:dyDescent="0.3">
      <c r="A402" t="s">
        <v>1151</v>
      </c>
      <c r="B402" t="s">
        <v>1150</v>
      </c>
      <c r="C402" t="s">
        <v>147</v>
      </c>
      <c r="D402">
        <v>2</v>
      </c>
      <c r="E402" s="1">
        <v>45831</v>
      </c>
      <c r="F402" t="s">
        <v>580</v>
      </c>
      <c r="G402">
        <v>2</v>
      </c>
      <c r="H402" t="s">
        <v>569</v>
      </c>
      <c r="I402" t="s">
        <v>570</v>
      </c>
      <c r="J402" t="str">
        <f t="shared" si="18"/>
        <v>June</v>
      </c>
      <c r="K402" t="str">
        <f t="shared" si="19"/>
        <v>Q2</v>
      </c>
      <c r="L402">
        <f t="shared" si="20"/>
        <v>2025</v>
      </c>
    </row>
    <row r="403" spans="1:12" x14ac:dyDescent="0.3">
      <c r="A403" t="s">
        <v>1152</v>
      </c>
      <c r="B403" t="s">
        <v>1150</v>
      </c>
      <c r="C403" t="s">
        <v>147</v>
      </c>
      <c r="D403">
        <v>3</v>
      </c>
      <c r="E403" s="1">
        <v>45843</v>
      </c>
      <c r="F403" t="s">
        <v>663</v>
      </c>
      <c r="G403">
        <v>2</v>
      </c>
      <c r="H403" t="s">
        <v>569</v>
      </c>
      <c r="I403" t="s">
        <v>570</v>
      </c>
      <c r="J403" t="str">
        <f t="shared" si="18"/>
        <v>July</v>
      </c>
      <c r="K403" t="str">
        <f t="shared" si="19"/>
        <v>Q3</v>
      </c>
      <c r="L403">
        <f t="shared" si="20"/>
        <v>2025</v>
      </c>
    </row>
    <row r="404" spans="1:12" x14ac:dyDescent="0.3">
      <c r="A404" t="s">
        <v>1153</v>
      </c>
      <c r="B404" t="s">
        <v>1154</v>
      </c>
      <c r="C404" t="s">
        <v>147</v>
      </c>
      <c r="D404">
        <v>1</v>
      </c>
      <c r="E404" s="1">
        <v>45832</v>
      </c>
      <c r="G404">
        <v>2</v>
      </c>
      <c r="H404" t="s">
        <v>569</v>
      </c>
      <c r="I404" t="s">
        <v>570</v>
      </c>
      <c r="J404" t="str">
        <f t="shared" si="18"/>
        <v>June</v>
      </c>
      <c r="K404" t="str">
        <f t="shared" si="19"/>
        <v>Q2</v>
      </c>
      <c r="L404">
        <f t="shared" si="20"/>
        <v>2025</v>
      </c>
    </row>
    <row r="405" spans="1:12" x14ac:dyDescent="0.3">
      <c r="A405" t="s">
        <v>1155</v>
      </c>
      <c r="B405" t="s">
        <v>1156</v>
      </c>
      <c r="C405" t="s">
        <v>96</v>
      </c>
      <c r="D405">
        <v>1</v>
      </c>
      <c r="E405" s="1">
        <v>45885</v>
      </c>
      <c r="F405" t="s">
        <v>625</v>
      </c>
      <c r="G405">
        <v>3</v>
      </c>
      <c r="H405" t="s">
        <v>578</v>
      </c>
      <c r="I405" t="s">
        <v>570</v>
      </c>
      <c r="J405" t="str">
        <f t="shared" si="18"/>
        <v>August</v>
      </c>
      <c r="K405" t="str">
        <f t="shared" si="19"/>
        <v>Q3</v>
      </c>
      <c r="L405">
        <f t="shared" si="20"/>
        <v>2025</v>
      </c>
    </row>
    <row r="406" spans="1:12" x14ac:dyDescent="0.3">
      <c r="A406" t="s">
        <v>1157</v>
      </c>
      <c r="B406" t="s">
        <v>1158</v>
      </c>
      <c r="C406" t="s">
        <v>16</v>
      </c>
      <c r="D406">
        <v>1</v>
      </c>
      <c r="E406" s="1">
        <v>45760</v>
      </c>
      <c r="F406" t="s">
        <v>706</v>
      </c>
      <c r="G406">
        <v>1</v>
      </c>
      <c r="H406" t="s">
        <v>569</v>
      </c>
      <c r="I406" t="s">
        <v>608</v>
      </c>
      <c r="J406" t="str">
        <f t="shared" si="18"/>
        <v>April</v>
      </c>
      <c r="K406" t="str">
        <f t="shared" si="19"/>
        <v>Q2</v>
      </c>
      <c r="L406">
        <f t="shared" si="20"/>
        <v>2025</v>
      </c>
    </row>
    <row r="407" spans="1:12" x14ac:dyDescent="0.3">
      <c r="A407" t="s">
        <v>1159</v>
      </c>
      <c r="B407" t="s">
        <v>1158</v>
      </c>
      <c r="C407" t="s">
        <v>16</v>
      </c>
      <c r="D407">
        <v>2</v>
      </c>
      <c r="E407" s="1">
        <v>45765</v>
      </c>
      <c r="F407" t="s">
        <v>575</v>
      </c>
      <c r="G407">
        <v>2</v>
      </c>
      <c r="H407" t="s">
        <v>569</v>
      </c>
      <c r="I407" t="s">
        <v>570</v>
      </c>
      <c r="J407" t="str">
        <f t="shared" si="18"/>
        <v>April</v>
      </c>
      <c r="K407" t="str">
        <f t="shared" si="19"/>
        <v>Q2</v>
      </c>
      <c r="L407">
        <f t="shared" si="20"/>
        <v>2025</v>
      </c>
    </row>
    <row r="408" spans="1:12" x14ac:dyDescent="0.3">
      <c r="A408" t="s">
        <v>1160</v>
      </c>
      <c r="B408" t="s">
        <v>1158</v>
      </c>
      <c r="C408" t="s">
        <v>16</v>
      </c>
      <c r="D408">
        <v>3</v>
      </c>
      <c r="E408" s="1">
        <v>45774</v>
      </c>
      <c r="F408" t="s">
        <v>575</v>
      </c>
      <c r="G408">
        <v>1</v>
      </c>
      <c r="H408" t="s">
        <v>569</v>
      </c>
      <c r="I408" t="s">
        <v>570</v>
      </c>
      <c r="J408" t="str">
        <f t="shared" si="18"/>
        <v>April</v>
      </c>
      <c r="K408" t="str">
        <f t="shared" si="19"/>
        <v>Q2</v>
      </c>
      <c r="L408">
        <f t="shared" si="20"/>
        <v>2025</v>
      </c>
    </row>
    <row r="409" spans="1:12" x14ac:dyDescent="0.3">
      <c r="A409" t="s">
        <v>1161</v>
      </c>
      <c r="B409" t="s">
        <v>1162</v>
      </c>
      <c r="C409" t="s">
        <v>108</v>
      </c>
      <c r="D409">
        <v>1</v>
      </c>
      <c r="E409" s="1">
        <v>45753</v>
      </c>
      <c r="F409" t="s">
        <v>638</v>
      </c>
      <c r="G409">
        <v>2</v>
      </c>
      <c r="H409" t="s">
        <v>569</v>
      </c>
      <c r="I409" t="s">
        <v>570</v>
      </c>
      <c r="J409" t="str">
        <f t="shared" si="18"/>
        <v>April</v>
      </c>
      <c r="K409" t="str">
        <f t="shared" si="19"/>
        <v>Q2</v>
      </c>
      <c r="L409">
        <f t="shared" si="20"/>
        <v>2025</v>
      </c>
    </row>
    <row r="410" spans="1:12" x14ac:dyDescent="0.3">
      <c r="A410" t="s">
        <v>1163</v>
      </c>
      <c r="B410" t="s">
        <v>1162</v>
      </c>
      <c r="C410" t="s">
        <v>108</v>
      </c>
      <c r="D410">
        <v>2</v>
      </c>
      <c r="E410" s="1">
        <v>45760</v>
      </c>
      <c r="F410" t="s">
        <v>621</v>
      </c>
      <c r="G410">
        <v>3</v>
      </c>
      <c r="H410" t="s">
        <v>578</v>
      </c>
      <c r="I410" t="s">
        <v>570</v>
      </c>
      <c r="J410" t="str">
        <f t="shared" si="18"/>
        <v>April</v>
      </c>
      <c r="K410" t="str">
        <f t="shared" si="19"/>
        <v>Q2</v>
      </c>
      <c r="L410">
        <f t="shared" si="20"/>
        <v>2025</v>
      </c>
    </row>
    <row r="411" spans="1:12" x14ac:dyDescent="0.3">
      <c r="A411" t="s">
        <v>1164</v>
      </c>
      <c r="B411" t="s">
        <v>1162</v>
      </c>
      <c r="C411" t="s">
        <v>108</v>
      </c>
      <c r="D411">
        <v>3</v>
      </c>
      <c r="E411" s="1">
        <v>45764</v>
      </c>
      <c r="F411" t="s">
        <v>572</v>
      </c>
      <c r="G411">
        <v>1</v>
      </c>
      <c r="H411" t="s">
        <v>569</v>
      </c>
      <c r="I411" t="s">
        <v>570</v>
      </c>
      <c r="J411" t="str">
        <f t="shared" si="18"/>
        <v>April</v>
      </c>
      <c r="K411" t="str">
        <f t="shared" si="19"/>
        <v>Q2</v>
      </c>
      <c r="L411">
        <f t="shared" si="20"/>
        <v>2025</v>
      </c>
    </row>
    <row r="412" spans="1:12" x14ac:dyDescent="0.3">
      <c r="A412" t="s">
        <v>1165</v>
      </c>
      <c r="B412" t="s">
        <v>1166</v>
      </c>
      <c r="C412" t="s">
        <v>68</v>
      </c>
      <c r="D412">
        <v>1</v>
      </c>
      <c r="E412" s="1">
        <v>45734</v>
      </c>
      <c r="F412" t="s">
        <v>612</v>
      </c>
      <c r="G412">
        <v>4</v>
      </c>
      <c r="H412" t="s">
        <v>581</v>
      </c>
      <c r="I412" t="s">
        <v>570</v>
      </c>
      <c r="J412" t="str">
        <f t="shared" si="18"/>
        <v>March</v>
      </c>
      <c r="K412" t="str">
        <f t="shared" si="19"/>
        <v>Q1</v>
      </c>
      <c r="L412">
        <f t="shared" si="20"/>
        <v>2025</v>
      </c>
    </row>
    <row r="413" spans="1:12" x14ac:dyDescent="0.3">
      <c r="A413" t="s">
        <v>1167</v>
      </c>
      <c r="B413" t="s">
        <v>1168</v>
      </c>
      <c r="C413" t="s">
        <v>292</v>
      </c>
      <c r="D413">
        <v>1</v>
      </c>
      <c r="E413" s="1">
        <v>45722</v>
      </c>
      <c r="G413">
        <v>4</v>
      </c>
      <c r="H413" t="s">
        <v>581</v>
      </c>
      <c r="I413" t="s">
        <v>570</v>
      </c>
      <c r="J413" t="str">
        <f t="shared" si="18"/>
        <v>March</v>
      </c>
      <c r="K413" t="str">
        <f t="shared" si="19"/>
        <v>Q1</v>
      </c>
      <c r="L413">
        <f t="shared" si="20"/>
        <v>2025</v>
      </c>
    </row>
    <row r="414" spans="1:12" x14ac:dyDescent="0.3">
      <c r="A414" t="s">
        <v>1169</v>
      </c>
      <c r="B414" t="s">
        <v>1170</v>
      </c>
      <c r="C414" t="s">
        <v>37</v>
      </c>
      <c r="D414">
        <v>1</v>
      </c>
      <c r="E414" s="1">
        <v>45712</v>
      </c>
      <c r="F414" t="s">
        <v>596</v>
      </c>
      <c r="G414">
        <v>1</v>
      </c>
      <c r="H414" t="s">
        <v>569</v>
      </c>
      <c r="I414" t="s">
        <v>570</v>
      </c>
      <c r="J414" t="str">
        <f t="shared" si="18"/>
        <v>February</v>
      </c>
      <c r="K414" t="str">
        <f t="shared" si="19"/>
        <v>Q1</v>
      </c>
      <c r="L414">
        <f t="shared" si="20"/>
        <v>2025</v>
      </c>
    </row>
    <row r="415" spans="1:12" x14ac:dyDescent="0.3">
      <c r="A415" t="s">
        <v>1171</v>
      </c>
      <c r="B415" t="s">
        <v>1170</v>
      </c>
      <c r="C415" t="s">
        <v>37</v>
      </c>
      <c r="D415">
        <v>2</v>
      </c>
      <c r="E415" s="1">
        <v>45718</v>
      </c>
      <c r="F415" t="s">
        <v>596</v>
      </c>
      <c r="G415">
        <v>1</v>
      </c>
      <c r="H415" t="s">
        <v>569</v>
      </c>
      <c r="I415" t="s">
        <v>570</v>
      </c>
      <c r="J415" t="str">
        <f t="shared" si="18"/>
        <v>March</v>
      </c>
      <c r="K415" t="str">
        <f t="shared" si="19"/>
        <v>Q1</v>
      </c>
      <c r="L415">
        <f t="shared" si="20"/>
        <v>2025</v>
      </c>
    </row>
    <row r="416" spans="1:12" x14ac:dyDescent="0.3">
      <c r="A416" t="s">
        <v>1172</v>
      </c>
      <c r="B416" t="s">
        <v>1170</v>
      </c>
      <c r="C416" t="s">
        <v>37</v>
      </c>
      <c r="D416">
        <v>3</v>
      </c>
      <c r="E416" s="1">
        <v>45727</v>
      </c>
      <c r="F416" t="s">
        <v>663</v>
      </c>
      <c r="G416">
        <v>1</v>
      </c>
      <c r="H416" t="s">
        <v>569</v>
      </c>
      <c r="I416" t="s">
        <v>570</v>
      </c>
      <c r="J416" t="str">
        <f t="shared" si="18"/>
        <v>March</v>
      </c>
      <c r="K416" t="str">
        <f t="shared" si="19"/>
        <v>Q1</v>
      </c>
      <c r="L416">
        <f t="shared" si="20"/>
        <v>2025</v>
      </c>
    </row>
    <row r="417" spans="1:12" x14ac:dyDescent="0.3">
      <c r="A417" t="s">
        <v>1173</v>
      </c>
      <c r="B417" t="s">
        <v>1174</v>
      </c>
      <c r="C417" t="s">
        <v>208</v>
      </c>
      <c r="D417">
        <v>1</v>
      </c>
      <c r="E417" s="1">
        <v>45808</v>
      </c>
      <c r="F417" t="s">
        <v>580</v>
      </c>
      <c r="G417">
        <v>4</v>
      </c>
      <c r="H417" t="s">
        <v>581</v>
      </c>
      <c r="I417" t="s">
        <v>570</v>
      </c>
      <c r="J417" t="str">
        <f t="shared" si="18"/>
        <v>May</v>
      </c>
      <c r="K417" t="str">
        <f t="shared" si="19"/>
        <v>Q2</v>
      </c>
      <c r="L417">
        <f t="shared" si="20"/>
        <v>2025</v>
      </c>
    </row>
    <row r="418" spans="1:12" x14ac:dyDescent="0.3">
      <c r="A418" t="s">
        <v>1175</v>
      </c>
      <c r="B418" t="s">
        <v>1174</v>
      </c>
      <c r="C418" t="s">
        <v>208</v>
      </c>
      <c r="D418">
        <v>2</v>
      </c>
      <c r="E418" s="1">
        <v>45818</v>
      </c>
      <c r="F418" t="s">
        <v>580</v>
      </c>
      <c r="G418">
        <v>3</v>
      </c>
      <c r="H418" t="s">
        <v>578</v>
      </c>
      <c r="I418" t="s">
        <v>570</v>
      </c>
      <c r="J418" t="str">
        <f t="shared" si="18"/>
        <v>June</v>
      </c>
      <c r="K418" t="str">
        <f t="shared" si="19"/>
        <v>Q2</v>
      </c>
      <c r="L418">
        <f t="shared" si="20"/>
        <v>2025</v>
      </c>
    </row>
    <row r="419" spans="1:12" x14ac:dyDescent="0.3">
      <c r="A419" t="s">
        <v>1176</v>
      </c>
      <c r="B419" t="s">
        <v>1174</v>
      </c>
      <c r="C419" t="s">
        <v>208</v>
      </c>
      <c r="D419">
        <v>3</v>
      </c>
      <c r="E419" s="1">
        <v>45828</v>
      </c>
      <c r="F419" t="s">
        <v>580</v>
      </c>
      <c r="G419">
        <v>4</v>
      </c>
      <c r="H419" t="s">
        <v>581</v>
      </c>
      <c r="I419" t="s">
        <v>570</v>
      </c>
      <c r="J419" t="str">
        <f t="shared" si="18"/>
        <v>June</v>
      </c>
      <c r="K419" t="str">
        <f t="shared" si="19"/>
        <v>Q2</v>
      </c>
      <c r="L419">
        <f t="shared" si="20"/>
        <v>2025</v>
      </c>
    </row>
    <row r="420" spans="1:12" x14ac:dyDescent="0.3">
      <c r="A420" t="s">
        <v>1177</v>
      </c>
      <c r="B420" t="s">
        <v>1178</v>
      </c>
      <c r="C420" t="s">
        <v>240</v>
      </c>
      <c r="D420">
        <v>1</v>
      </c>
      <c r="E420" s="1">
        <v>45951</v>
      </c>
      <c r="F420" t="s">
        <v>586</v>
      </c>
      <c r="G420">
        <v>2</v>
      </c>
      <c r="H420" t="s">
        <v>569</v>
      </c>
      <c r="I420" t="s">
        <v>570</v>
      </c>
      <c r="J420" t="str">
        <f t="shared" si="18"/>
        <v>October</v>
      </c>
      <c r="K420" t="str">
        <f t="shared" si="19"/>
        <v>Q4</v>
      </c>
      <c r="L420">
        <f t="shared" si="20"/>
        <v>2025</v>
      </c>
    </row>
    <row r="421" spans="1:12" x14ac:dyDescent="0.3">
      <c r="A421" t="s">
        <v>1179</v>
      </c>
      <c r="B421" t="s">
        <v>1178</v>
      </c>
      <c r="C421" t="s">
        <v>240</v>
      </c>
      <c r="D421">
        <v>2</v>
      </c>
      <c r="E421" s="1">
        <v>45958</v>
      </c>
      <c r="F421" t="s">
        <v>568</v>
      </c>
      <c r="G421">
        <v>3</v>
      </c>
      <c r="H421" t="s">
        <v>578</v>
      </c>
      <c r="I421" t="s">
        <v>608</v>
      </c>
      <c r="J421" t="str">
        <f t="shared" si="18"/>
        <v>October</v>
      </c>
      <c r="K421" t="str">
        <f t="shared" si="19"/>
        <v>Q4</v>
      </c>
      <c r="L421">
        <f t="shared" si="20"/>
        <v>2025</v>
      </c>
    </row>
    <row r="422" spans="1:12" x14ac:dyDescent="0.3">
      <c r="A422" t="s">
        <v>1180</v>
      </c>
      <c r="B422" t="s">
        <v>1181</v>
      </c>
      <c r="C422" t="s">
        <v>62</v>
      </c>
      <c r="D422">
        <v>1</v>
      </c>
      <c r="E422" s="1">
        <v>45707</v>
      </c>
      <c r="F422" t="s">
        <v>612</v>
      </c>
      <c r="G422">
        <v>2</v>
      </c>
      <c r="H422" t="s">
        <v>569</v>
      </c>
      <c r="I422" t="s">
        <v>570</v>
      </c>
      <c r="J422" t="str">
        <f t="shared" si="18"/>
        <v>February</v>
      </c>
      <c r="K422" t="str">
        <f t="shared" si="19"/>
        <v>Q1</v>
      </c>
      <c r="L422">
        <f t="shared" si="20"/>
        <v>2025</v>
      </c>
    </row>
    <row r="423" spans="1:12" x14ac:dyDescent="0.3">
      <c r="A423" t="s">
        <v>1182</v>
      </c>
      <c r="B423" t="s">
        <v>1181</v>
      </c>
      <c r="C423" t="s">
        <v>62</v>
      </c>
      <c r="D423">
        <v>2</v>
      </c>
      <c r="E423" s="1">
        <v>45715</v>
      </c>
      <c r="F423" t="s">
        <v>572</v>
      </c>
      <c r="G423">
        <v>3</v>
      </c>
      <c r="H423" t="s">
        <v>578</v>
      </c>
      <c r="I423" t="s">
        <v>570</v>
      </c>
      <c r="J423" t="str">
        <f t="shared" si="18"/>
        <v>February</v>
      </c>
      <c r="K423" t="str">
        <f t="shared" si="19"/>
        <v>Q1</v>
      </c>
      <c r="L423">
        <f t="shared" si="20"/>
        <v>2025</v>
      </c>
    </row>
    <row r="424" spans="1:12" x14ac:dyDescent="0.3">
      <c r="A424" t="s">
        <v>1183</v>
      </c>
      <c r="B424" t="s">
        <v>186</v>
      </c>
      <c r="C424" t="s">
        <v>187</v>
      </c>
      <c r="D424">
        <v>1</v>
      </c>
      <c r="E424" s="1">
        <v>45832</v>
      </c>
      <c r="F424" t="s">
        <v>596</v>
      </c>
      <c r="G424">
        <v>4</v>
      </c>
      <c r="H424" t="s">
        <v>581</v>
      </c>
      <c r="I424" t="s">
        <v>570</v>
      </c>
      <c r="J424" t="str">
        <f t="shared" si="18"/>
        <v>June</v>
      </c>
      <c r="K424" t="str">
        <f t="shared" si="19"/>
        <v>Q2</v>
      </c>
      <c r="L424">
        <f t="shared" si="20"/>
        <v>2025</v>
      </c>
    </row>
    <row r="425" spans="1:12" x14ac:dyDescent="0.3">
      <c r="A425" t="s">
        <v>1184</v>
      </c>
      <c r="B425" t="s">
        <v>186</v>
      </c>
      <c r="C425" t="s">
        <v>187</v>
      </c>
      <c r="D425">
        <v>2</v>
      </c>
      <c r="E425" s="1">
        <v>45838</v>
      </c>
      <c r="F425" t="s">
        <v>596</v>
      </c>
      <c r="G425">
        <v>4</v>
      </c>
      <c r="H425" t="s">
        <v>581</v>
      </c>
      <c r="I425" t="s">
        <v>570</v>
      </c>
      <c r="J425" t="str">
        <f t="shared" si="18"/>
        <v>June</v>
      </c>
      <c r="K425" t="str">
        <f t="shared" si="19"/>
        <v>Q2</v>
      </c>
      <c r="L425">
        <f t="shared" si="20"/>
        <v>2025</v>
      </c>
    </row>
    <row r="426" spans="1:12" x14ac:dyDescent="0.3">
      <c r="A426" t="s">
        <v>1185</v>
      </c>
      <c r="B426" t="s">
        <v>1186</v>
      </c>
      <c r="C426" t="s">
        <v>1187</v>
      </c>
      <c r="D426">
        <v>1</v>
      </c>
      <c r="E426" s="1">
        <v>45891</v>
      </c>
      <c r="F426" t="s">
        <v>605</v>
      </c>
      <c r="G426">
        <v>1</v>
      </c>
      <c r="H426" t="s">
        <v>569</v>
      </c>
      <c r="I426" t="s">
        <v>570</v>
      </c>
      <c r="J426" t="str">
        <f t="shared" si="18"/>
        <v>August</v>
      </c>
      <c r="K426" t="str">
        <f t="shared" si="19"/>
        <v>Q3</v>
      </c>
      <c r="L426">
        <f t="shared" si="20"/>
        <v>2025</v>
      </c>
    </row>
    <row r="427" spans="1:12" x14ac:dyDescent="0.3">
      <c r="A427" t="s">
        <v>1188</v>
      </c>
      <c r="B427" t="s">
        <v>1189</v>
      </c>
      <c r="C427" t="s">
        <v>68</v>
      </c>
      <c r="D427">
        <v>1</v>
      </c>
      <c r="E427" s="1">
        <v>45744</v>
      </c>
      <c r="F427" t="s">
        <v>586</v>
      </c>
      <c r="G427">
        <v>1</v>
      </c>
      <c r="H427" t="s">
        <v>569</v>
      </c>
      <c r="I427" t="s">
        <v>570</v>
      </c>
      <c r="J427" t="str">
        <f t="shared" si="18"/>
        <v>March</v>
      </c>
      <c r="K427" t="str">
        <f t="shared" si="19"/>
        <v>Q1</v>
      </c>
      <c r="L427">
        <f t="shared" si="20"/>
        <v>2025</v>
      </c>
    </row>
    <row r="428" spans="1:12" x14ac:dyDescent="0.3">
      <c r="A428" t="s">
        <v>1190</v>
      </c>
      <c r="B428" t="s">
        <v>1191</v>
      </c>
      <c r="C428" t="s">
        <v>41</v>
      </c>
      <c r="D428">
        <v>1</v>
      </c>
      <c r="E428" s="1">
        <v>45827</v>
      </c>
      <c r="F428" t="s">
        <v>612</v>
      </c>
      <c r="G428">
        <v>3</v>
      </c>
      <c r="H428" t="s">
        <v>578</v>
      </c>
      <c r="I428" t="s">
        <v>570</v>
      </c>
      <c r="J428" t="str">
        <f t="shared" si="18"/>
        <v>June</v>
      </c>
      <c r="K428" t="str">
        <f t="shared" si="19"/>
        <v>Q2</v>
      </c>
      <c r="L428">
        <f t="shared" si="20"/>
        <v>2025</v>
      </c>
    </row>
    <row r="429" spans="1:12" x14ac:dyDescent="0.3">
      <c r="A429" t="s">
        <v>1192</v>
      </c>
      <c r="B429" t="s">
        <v>1191</v>
      </c>
      <c r="C429" t="s">
        <v>41</v>
      </c>
      <c r="D429">
        <v>2</v>
      </c>
      <c r="E429" s="1">
        <v>45834</v>
      </c>
      <c r="F429" t="s">
        <v>612</v>
      </c>
      <c r="G429">
        <v>1</v>
      </c>
      <c r="H429" t="s">
        <v>569</v>
      </c>
      <c r="I429" t="s">
        <v>570</v>
      </c>
      <c r="J429" t="str">
        <f t="shared" si="18"/>
        <v>June</v>
      </c>
      <c r="K429" t="str">
        <f t="shared" si="19"/>
        <v>Q2</v>
      </c>
      <c r="L429">
        <f t="shared" si="20"/>
        <v>2025</v>
      </c>
    </row>
    <row r="430" spans="1:12" x14ac:dyDescent="0.3">
      <c r="A430" t="s">
        <v>1193</v>
      </c>
      <c r="B430" t="s">
        <v>1194</v>
      </c>
      <c r="C430" t="s">
        <v>147</v>
      </c>
      <c r="D430">
        <v>1</v>
      </c>
      <c r="E430" s="1">
        <v>45821</v>
      </c>
      <c r="F430" t="s">
        <v>663</v>
      </c>
      <c r="G430">
        <v>1</v>
      </c>
      <c r="H430" t="s">
        <v>569</v>
      </c>
      <c r="I430" t="s">
        <v>570</v>
      </c>
      <c r="J430" t="str">
        <f t="shared" si="18"/>
        <v>June</v>
      </c>
      <c r="K430" t="str">
        <f t="shared" si="19"/>
        <v>Q2</v>
      </c>
      <c r="L430">
        <f t="shared" si="20"/>
        <v>2025</v>
      </c>
    </row>
    <row r="431" spans="1:12" x14ac:dyDescent="0.3">
      <c r="A431" t="s">
        <v>1195</v>
      </c>
      <c r="B431" t="s">
        <v>1194</v>
      </c>
      <c r="C431" t="s">
        <v>147</v>
      </c>
      <c r="D431">
        <v>2</v>
      </c>
      <c r="E431" s="1">
        <v>45831</v>
      </c>
      <c r="F431" t="s">
        <v>572</v>
      </c>
      <c r="G431">
        <v>2</v>
      </c>
      <c r="H431" t="s">
        <v>569</v>
      </c>
      <c r="I431" t="s">
        <v>570</v>
      </c>
      <c r="J431" t="str">
        <f t="shared" si="18"/>
        <v>June</v>
      </c>
      <c r="K431" t="str">
        <f t="shared" si="19"/>
        <v>Q2</v>
      </c>
      <c r="L431">
        <f t="shared" si="20"/>
        <v>2025</v>
      </c>
    </row>
    <row r="432" spans="1:12" x14ac:dyDescent="0.3">
      <c r="A432" t="s">
        <v>1196</v>
      </c>
      <c r="B432" t="s">
        <v>1194</v>
      </c>
      <c r="C432" t="s">
        <v>147</v>
      </c>
      <c r="D432">
        <v>3</v>
      </c>
      <c r="E432" s="1">
        <v>45838</v>
      </c>
      <c r="F432" t="s">
        <v>572</v>
      </c>
      <c r="G432">
        <v>1</v>
      </c>
      <c r="H432" t="s">
        <v>569</v>
      </c>
      <c r="I432" t="s">
        <v>597</v>
      </c>
      <c r="J432" t="str">
        <f t="shared" si="18"/>
        <v>June</v>
      </c>
      <c r="K432" t="str">
        <f t="shared" si="19"/>
        <v>Q2</v>
      </c>
      <c r="L432">
        <f t="shared" si="20"/>
        <v>2025</v>
      </c>
    </row>
    <row r="433" spans="1:12" x14ac:dyDescent="0.3">
      <c r="A433" t="s">
        <v>1197</v>
      </c>
      <c r="B433" t="s">
        <v>1198</v>
      </c>
      <c r="C433" t="s">
        <v>108</v>
      </c>
      <c r="D433">
        <v>1</v>
      </c>
      <c r="E433" s="1">
        <v>45762</v>
      </c>
      <c r="F433" t="s">
        <v>596</v>
      </c>
      <c r="G433">
        <v>2</v>
      </c>
      <c r="H433" t="s">
        <v>569</v>
      </c>
      <c r="I433" t="s">
        <v>570</v>
      </c>
      <c r="J433" t="str">
        <f t="shared" si="18"/>
        <v>April</v>
      </c>
      <c r="K433" t="str">
        <f t="shared" si="19"/>
        <v>Q2</v>
      </c>
      <c r="L433">
        <f t="shared" si="20"/>
        <v>2025</v>
      </c>
    </row>
    <row r="434" spans="1:12" x14ac:dyDescent="0.3">
      <c r="A434" t="s">
        <v>1199</v>
      </c>
      <c r="B434" t="s">
        <v>1198</v>
      </c>
      <c r="C434" t="s">
        <v>108</v>
      </c>
      <c r="D434">
        <v>2</v>
      </c>
      <c r="E434" s="1">
        <v>45766</v>
      </c>
      <c r="F434" t="s">
        <v>577</v>
      </c>
      <c r="G434">
        <v>1</v>
      </c>
      <c r="H434" t="s">
        <v>569</v>
      </c>
      <c r="I434" t="s">
        <v>570</v>
      </c>
      <c r="J434" t="str">
        <f t="shared" si="18"/>
        <v>April</v>
      </c>
      <c r="K434" t="str">
        <f t="shared" si="19"/>
        <v>Q2</v>
      </c>
      <c r="L434">
        <f t="shared" si="20"/>
        <v>2025</v>
      </c>
    </row>
    <row r="435" spans="1:12" x14ac:dyDescent="0.3">
      <c r="A435" t="s">
        <v>1200</v>
      </c>
      <c r="B435" t="s">
        <v>1198</v>
      </c>
      <c r="C435" t="s">
        <v>108</v>
      </c>
      <c r="D435">
        <v>3</v>
      </c>
      <c r="E435" s="1">
        <v>45778</v>
      </c>
      <c r="F435" t="s">
        <v>572</v>
      </c>
      <c r="G435">
        <v>1</v>
      </c>
      <c r="H435" t="s">
        <v>569</v>
      </c>
      <c r="I435" t="s">
        <v>570</v>
      </c>
      <c r="J435" t="str">
        <f t="shared" si="18"/>
        <v>May</v>
      </c>
      <c r="K435" t="str">
        <f t="shared" si="19"/>
        <v>Q2</v>
      </c>
      <c r="L435">
        <f t="shared" si="20"/>
        <v>2025</v>
      </c>
    </row>
    <row r="436" spans="1:12" x14ac:dyDescent="0.3">
      <c r="A436" t="s">
        <v>1201</v>
      </c>
      <c r="B436" t="s">
        <v>1202</v>
      </c>
      <c r="C436" t="s">
        <v>147</v>
      </c>
      <c r="D436">
        <v>1</v>
      </c>
      <c r="E436" s="1">
        <v>45821</v>
      </c>
      <c r="F436" t="s">
        <v>596</v>
      </c>
      <c r="G436">
        <v>1</v>
      </c>
      <c r="H436" t="s">
        <v>569</v>
      </c>
      <c r="I436" t="s">
        <v>597</v>
      </c>
      <c r="J436" t="str">
        <f t="shared" si="18"/>
        <v>June</v>
      </c>
      <c r="K436" t="str">
        <f t="shared" si="19"/>
        <v>Q2</v>
      </c>
      <c r="L436">
        <f t="shared" si="20"/>
        <v>2025</v>
      </c>
    </row>
    <row r="437" spans="1:12" x14ac:dyDescent="0.3">
      <c r="A437" t="s">
        <v>1203</v>
      </c>
      <c r="B437" t="s">
        <v>1202</v>
      </c>
      <c r="C437" t="s">
        <v>147</v>
      </c>
      <c r="D437">
        <v>2</v>
      </c>
      <c r="E437" s="1">
        <v>45828</v>
      </c>
      <c r="F437" t="s">
        <v>586</v>
      </c>
      <c r="G437">
        <v>1</v>
      </c>
      <c r="H437" t="s">
        <v>569</v>
      </c>
      <c r="I437" t="s">
        <v>570</v>
      </c>
      <c r="J437" t="str">
        <f t="shared" si="18"/>
        <v>June</v>
      </c>
      <c r="K437" t="str">
        <f t="shared" si="19"/>
        <v>Q2</v>
      </c>
      <c r="L437">
        <f t="shared" si="20"/>
        <v>2025</v>
      </c>
    </row>
    <row r="438" spans="1:12" x14ac:dyDescent="0.3">
      <c r="A438" t="s">
        <v>1204</v>
      </c>
      <c r="B438" t="s">
        <v>396</v>
      </c>
      <c r="C438" t="s">
        <v>298</v>
      </c>
      <c r="D438">
        <v>1</v>
      </c>
      <c r="E438" s="1">
        <v>45897</v>
      </c>
      <c r="F438" t="s">
        <v>584</v>
      </c>
      <c r="G438">
        <v>4</v>
      </c>
      <c r="H438" t="s">
        <v>581</v>
      </c>
      <c r="I438" t="s">
        <v>570</v>
      </c>
      <c r="J438" t="str">
        <f t="shared" si="18"/>
        <v>August</v>
      </c>
      <c r="K438" t="str">
        <f t="shared" si="19"/>
        <v>Q3</v>
      </c>
      <c r="L438">
        <f t="shared" si="20"/>
        <v>2025</v>
      </c>
    </row>
    <row r="439" spans="1:12" x14ac:dyDescent="0.3">
      <c r="A439" t="s">
        <v>1205</v>
      </c>
      <c r="B439" t="s">
        <v>1206</v>
      </c>
      <c r="C439" t="s">
        <v>32</v>
      </c>
      <c r="D439">
        <v>1</v>
      </c>
      <c r="E439" s="1">
        <v>45768</v>
      </c>
      <c r="F439" t="s">
        <v>572</v>
      </c>
      <c r="G439">
        <v>2</v>
      </c>
      <c r="H439" t="s">
        <v>569</v>
      </c>
      <c r="I439" t="s">
        <v>570</v>
      </c>
      <c r="J439" t="str">
        <f t="shared" si="18"/>
        <v>April</v>
      </c>
      <c r="K439" t="str">
        <f t="shared" si="19"/>
        <v>Q2</v>
      </c>
      <c r="L439">
        <f t="shared" si="20"/>
        <v>2025</v>
      </c>
    </row>
    <row r="440" spans="1:12" x14ac:dyDescent="0.3">
      <c r="A440" t="s">
        <v>1207</v>
      </c>
      <c r="B440" t="s">
        <v>1206</v>
      </c>
      <c r="C440" t="s">
        <v>32</v>
      </c>
      <c r="D440">
        <v>2</v>
      </c>
      <c r="E440" s="1">
        <v>45780</v>
      </c>
      <c r="F440" t="s">
        <v>575</v>
      </c>
      <c r="G440">
        <v>2</v>
      </c>
      <c r="H440" t="s">
        <v>569</v>
      </c>
      <c r="I440" t="s">
        <v>570</v>
      </c>
      <c r="J440" t="str">
        <f t="shared" si="18"/>
        <v>May</v>
      </c>
      <c r="K440" t="str">
        <f t="shared" si="19"/>
        <v>Q2</v>
      </c>
      <c r="L440">
        <f t="shared" si="20"/>
        <v>2025</v>
      </c>
    </row>
    <row r="441" spans="1:12" x14ac:dyDescent="0.3">
      <c r="A441" t="s">
        <v>1208</v>
      </c>
      <c r="B441" t="s">
        <v>1206</v>
      </c>
      <c r="C441" t="s">
        <v>32</v>
      </c>
      <c r="D441">
        <v>3</v>
      </c>
      <c r="E441" s="1">
        <v>45786</v>
      </c>
      <c r="F441" t="s">
        <v>577</v>
      </c>
      <c r="G441">
        <v>2</v>
      </c>
      <c r="H441" t="s">
        <v>569</v>
      </c>
      <c r="I441" t="s">
        <v>570</v>
      </c>
      <c r="J441" t="str">
        <f t="shared" si="18"/>
        <v>May</v>
      </c>
      <c r="K441" t="str">
        <f t="shared" si="19"/>
        <v>Q2</v>
      </c>
      <c r="L441">
        <f t="shared" si="20"/>
        <v>2025</v>
      </c>
    </row>
    <row r="442" spans="1:12" x14ac:dyDescent="0.3">
      <c r="A442" t="s">
        <v>1209</v>
      </c>
      <c r="B442" t="s">
        <v>1210</v>
      </c>
      <c r="C442" t="s">
        <v>37</v>
      </c>
      <c r="D442">
        <v>1</v>
      </c>
      <c r="E442" s="1">
        <v>45715</v>
      </c>
      <c r="F442" t="s">
        <v>568</v>
      </c>
      <c r="G442">
        <v>3</v>
      </c>
      <c r="H442" t="s">
        <v>578</v>
      </c>
      <c r="I442" t="s">
        <v>570</v>
      </c>
      <c r="J442" t="str">
        <f t="shared" si="18"/>
        <v>February</v>
      </c>
      <c r="K442" t="str">
        <f t="shared" si="19"/>
        <v>Q1</v>
      </c>
      <c r="L442">
        <f t="shared" si="20"/>
        <v>2025</v>
      </c>
    </row>
    <row r="443" spans="1:12" x14ac:dyDescent="0.3">
      <c r="A443" t="s">
        <v>1211</v>
      </c>
      <c r="B443" t="s">
        <v>1210</v>
      </c>
      <c r="C443" t="s">
        <v>37</v>
      </c>
      <c r="D443">
        <v>2</v>
      </c>
      <c r="E443" s="1">
        <v>45722</v>
      </c>
      <c r="F443" t="s">
        <v>572</v>
      </c>
      <c r="G443">
        <v>3</v>
      </c>
      <c r="H443" t="s">
        <v>578</v>
      </c>
      <c r="I443" t="s">
        <v>570</v>
      </c>
      <c r="J443" t="str">
        <f t="shared" si="18"/>
        <v>March</v>
      </c>
      <c r="K443" t="str">
        <f t="shared" si="19"/>
        <v>Q1</v>
      </c>
      <c r="L443">
        <f t="shared" si="20"/>
        <v>2025</v>
      </c>
    </row>
    <row r="444" spans="1:12" x14ac:dyDescent="0.3">
      <c r="A444" t="s">
        <v>1212</v>
      </c>
      <c r="B444" t="s">
        <v>1210</v>
      </c>
      <c r="C444" t="s">
        <v>37</v>
      </c>
      <c r="D444">
        <v>3</v>
      </c>
      <c r="E444" s="1">
        <v>45733</v>
      </c>
      <c r="F444" t="s">
        <v>663</v>
      </c>
      <c r="G444">
        <v>2</v>
      </c>
      <c r="H444" t="s">
        <v>569</v>
      </c>
      <c r="I444" t="s">
        <v>570</v>
      </c>
      <c r="J444" t="str">
        <f t="shared" si="18"/>
        <v>March</v>
      </c>
      <c r="K444" t="str">
        <f t="shared" si="19"/>
        <v>Q1</v>
      </c>
      <c r="L444">
        <f t="shared" si="20"/>
        <v>2025</v>
      </c>
    </row>
    <row r="445" spans="1:12" x14ac:dyDescent="0.3">
      <c r="A445" t="s">
        <v>1213</v>
      </c>
      <c r="B445" t="s">
        <v>1210</v>
      </c>
      <c r="C445" t="s">
        <v>37</v>
      </c>
      <c r="D445">
        <v>4</v>
      </c>
      <c r="E445" s="1">
        <v>45743</v>
      </c>
      <c r="F445" t="s">
        <v>663</v>
      </c>
      <c r="G445">
        <v>3</v>
      </c>
      <c r="H445" t="s">
        <v>578</v>
      </c>
      <c r="I445" t="s">
        <v>570</v>
      </c>
      <c r="J445" t="str">
        <f t="shared" si="18"/>
        <v>March</v>
      </c>
      <c r="K445" t="str">
        <f t="shared" si="19"/>
        <v>Q1</v>
      </c>
      <c r="L445">
        <f t="shared" si="20"/>
        <v>2025</v>
      </c>
    </row>
    <row r="446" spans="1:12" x14ac:dyDescent="0.3">
      <c r="A446" t="s">
        <v>1214</v>
      </c>
      <c r="B446" t="s">
        <v>1215</v>
      </c>
      <c r="C446" t="s">
        <v>240</v>
      </c>
      <c r="D446">
        <v>1</v>
      </c>
      <c r="E446" s="1">
        <v>45958</v>
      </c>
      <c r="F446" t="s">
        <v>572</v>
      </c>
      <c r="G446">
        <v>3</v>
      </c>
      <c r="H446" t="s">
        <v>578</v>
      </c>
      <c r="I446" t="s">
        <v>608</v>
      </c>
      <c r="J446" t="str">
        <f t="shared" si="18"/>
        <v>October</v>
      </c>
      <c r="K446" t="str">
        <f t="shared" si="19"/>
        <v>Q4</v>
      </c>
      <c r="L446">
        <f t="shared" si="20"/>
        <v>2025</v>
      </c>
    </row>
    <row r="447" spans="1:12" x14ac:dyDescent="0.3">
      <c r="A447" t="s">
        <v>1216</v>
      </c>
      <c r="B447" t="s">
        <v>1215</v>
      </c>
      <c r="C447" t="s">
        <v>240</v>
      </c>
      <c r="D447">
        <v>2</v>
      </c>
      <c r="E447" s="1">
        <v>45970</v>
      </c>
      <c r="F447" t="s">
        <v>568</v>
      </c>
      <c r="G447">
        <v>1</v>
      </c>
      <c r="H447" t="s">
        <v>569</v>
      </c>
      <c r="I447" t="s">
        <v>570</v>
      </c>
      <c r="J447" t="str">
        <f t="shared" si="18"/>
        <v>November</v>
      </c>
      <c r="K447" t="str">
        <f t="shared" si="19"/>
        <v>Q4</v>
      </c>
      <c r="L447">
        <f t="shared" si="20"/>
        <v>2025</v>
      </c>
    </row>
    <row r="448" spans="1:12" x14ac:dyDescent="0.3">
      <c r="A448" t="s">
        <v>1217</v>
      </c>
      <c r="B448" t="s">
        <v>1218</v>
      </c>
      <c r="C448" t="s">
        <v>37</v>
      </c>
      <c r="D448">
        <v>1</v>
      </c>
      <c r="E448" s="1">
        <v>45708</v>
      </c>
      <c r="F448" t="s">
        <v>663</v>
      </c>
      <c r="G448">
        <v>2</v>
      </c>
      <c r="H448" t="s">
        <v>569</v>
      </c>
      <c r="I448" t="s">
        <v>570</v>
      </c>
      <c r="J448" t="str">
        <f t="shared" si="18"/>
        <v>February</v>
      </c>
      <c r="K448" t="str">
        <f t="shared" si="19"/>
        <v>Q1</v>
      </c>
      <c r="L448">
        <f t="shared" si="20"/>
        <v>2025</v>
      </c>
    </row>
    <row r="449" spans="1:12" x14ac:dyDescent="0.3">
      <c r="A449" t="s">
        <v>1219</v>
      </c>
      <c r="B449" t="s">
        <v>1218</v>
      </c>
      <c r="C449" t="s">
        <v>37</v>
      </c>
      <c r="D449">
        <v>2</v>
      </c>
      <c r="E449" s="1">
        <v>45713</v>
      </c>
      <c r="G449">
        <v>2</v>
      </c>
      <c r="H449" t="s">
        <v>569</v>
      </c>
      <c r="I449" t="s">
        <v>570</v>
      </c>
      <c r="J449" t="str">
        <f t="shared" si="18"/>
        <v>February</v>
      </c>
      <c r="K449" t="str">
        <f t="shared" si="19"/>
        <v>Q1</v>
      </c>
      <c r="L449">
        <f t="shared" si="20"/>
        <v>2025</v>
      </c>
    </row>
    <row r="450" spans="1:12" x14ac:dyDescent="0.3">
      <c r="A450" t="s">
        <v>1220</v>
      </c>
      <c r="B450" t="s">
        <v>1218</v>
      </c>
      <c r="C450" t="s">
        <v>37</v>
      </c>
      <c r="D450">
        <v>3</v>
      </c>
      <c r="E450" s="1">
        <v>45725</v>
      </c>
      <c r="F450" t="s">
        <v>580</v>
      </c>
      <c r="G450">
        <v>3</v>
      </c>
      <c r="H450" t="s">
        <v>578</v>
      </c>
      <c r="I450" t="s">
        <v>570</v>
      </c>
      <c r="J450" t="str">
        <f t="shared" ref="J450:J513" si="21">TEXT(E450,"mmmm")</f>
        <v>March</v>
      </c>
      <c r="K450" t="str">
        <f t="shared" ref="K450:K513" si="22">"Q"&amp;ROUNDUP(MONTH(E450)/3,0)</f>
        <v>Q1</v>
      </c>
      <c r="L450">
        <f t="shared" ref="L450:L513" si="23">YEAR(E450)</f>
        <v>2025</v>
      </c>
    </row>
    <row r="451" spans="1:12" x14ac:dyDescent="0.3">
      <c r="A451" t="s">
        <v>1221</v>
      </c>
      <c r="B451" t="s">
        <v>1222</v>
      </c>
      <c r="C451" t="s">
        <v>140</v>
      </c>
      <c r="D451">
        <v>1</v>
      </c>
      <c r="E451" s="1">
        <v>45939</v>
      </c>
      <c r="F451" t="s">
        <v>1223</v>
      </c>
      <c r="G451">
        <v>1</v>
      </c>
      <c r="H451" t="s">
        <v>569</v>
      </c>
      <c r="I451" t="s">
        <v>570</v>
      </c>
      <c r="J451" t="str">
        <f t="shared" si="21"/>
        <v>October</v>
      </c>
      <c r="K451" t="str">
        <f t="shared" si="22"/>
        <v>Q4</v>
      </c>
      <c r="L451">
        <f t="shared" si="23"/>
        <v>2025</v>
      </c>
    </row>
    <row r="452" spans="1:12" x14ac:dyDescent="0.3">
      <c r="A452" t="s">
        <v>1224</v>
      </c>
      <c r="B452" t="s">
        <v>1222</v>
      </c>
      <c r="C452" t="s">
        <v>140</v>
      </c>
      <c r="D452">
        <v>2</v>
      </c>
      <c r="E452" s="1">
        <v>45949</v>
      </c>
      <c r="F452" t="s">
        <v>1223</v>
      </c>
      <c r="G452">
        <v>1</v>
      </c>
      <c r="H452" t="s">
        <v>569</v>
      </c>
      <c r="I452" t="s">
        <v>570</v>
      </c>
      <c r="J452" t="str">
        <f t="shared" si="21"/>
        <v>October</v>
      </c>
      <c r="K452" t="str">
        <f t="shared" si="22"/>
        <v>Q4</v>
      </c>
      <c r="L452">
        <f t="shared" si="23"/>
        <v>2025</v>
      </c>
    </row>
    <row r="453" spans="1:12" x14ac:dyDescent="0.3">
      <c r="A453" t="s">
        <v>1225</v>
      </c>
      <c r="B453" t="s">
        <v>1226</v>
      </c>
      <c r="C453" t="s">
        <v>156</v>
      </c>
      <c r="D453">
        <v>1</v>
      </c>
      <c r="E453" s="1">
        <v>45732</v>
      </c>
      <c r="F453" t="s">
        <v>638</v>
      </c>
      <c r="G453">
        <v>3</v>
      </c>
      <c r="H453" t="s">
        <v>578</v>
      </c>
      <c r="I453" t="s">
        <v>597</v>
      </c>
      <c r="J453" t="str">
        <f t="shared" si="21"/>
        <v>March</v>
      </c>
      <c r="K453" t="str">
        <f t="shared" si="22"/>
        <v>Q1</v>
      </c>
      <c r="L453">
        <f t="shared" si="23"/>
        <v>2025</v>
      </c>
    </row>
    <row r="454" spans="1:12" x14ac:dyDescent="0.3">
      <c r="A454" t="s">
        <v>1227</v>
      </c>
      <c r="B454" t="s">
        <v>120</v>
      </c>
      <c r="C454" t="s">
        <v>73</v>
      </c>
      <c r="D454">
        <v>1</v>
      </c>
      <c r="E454" s="1">
        <v>45797</v>
      </c>
      <c r="F454" t="s">
        <v>741</v>
      </c>
      <c r="G454">
        <v>4</v>
      </c>
      <c r="H454" t="s">
        <v>581</v>
      </c>
      <c r="I454" t="s">
        <v>570</v>
      </c>
      <c r="J454" t="str">
        <f t="shared" si="21"/>
        <v>May</v>
      </c>
      <c r="K454" t="str">
        <f t="shared" si="22"/>
        <v>Q2</v>
      </c>
      <c r="L454">
        <f t="shared" si="23"/>
        <v>2025</v>
      </c>
    </row>
    <row r="455" spans="1:12" x14ac:dyDescent="0.3">
      <c r="A455" t="s">
        <v>1228</v>
      </c>
      <c r="B455" t="s">
        <v>120</v>
      </c>
      <c r="C455" t="s">
        <v>73</v>
      </c>
      <c r="D455">
        <v>2</v>
      </c>
      <c r="E455" s="1">
        <v>45806</v>
      </c>
      <c r="F455" t="s">
        <v>600</v>
      </c>
      <c r="G455">
        <v>4</v>
      </c>
      <c r="H455" t="s">
        <v>581</v>
      </c>
      <c r="I455" t="s">
        <v>570</v>
      </c>
      <c r="J455" t="str">
        <f t="shared" si="21"/>
        <v>May</v>
      </c>
      <c r="K455" t="str">
        <f t="shared" si="22"/>
        <v>Q2</v>
      </c>
      <c r="L455">
        <f t="shared" si="23"/>
        <v>2025</v>
      </c>
    </row>
    <row r="456" spans="1:12" x14ac:dyDescent="0.3">
      <c r="A456" t="s">
        <v>1229</v>
      </c>
      <c r="B456" t="s">
        <v>1230</v>
      </c>
      <c r="C456" t="s">
        <v>195</v>
      </c>
      <c r="D456">
        <v>1</v>
      </c>
      <c r="E456" s="1">
        <v>45855</v>
      </c>
      <c r="F456" t="s">
        <v>612</v>
      </c>
      <c r="G456">
        <v>1</v>
      </c>
      <c r="H456" t="s">
        <v>569</v>
      </c>
      <c r="I456" t="s">
        <v>570</v>
      </c>
      <c r="J456" t="str">
        <f t="shared" si="21"/>
        <v>July</v>
      </c>
      <c r="K456" t="str">
        <f t="shared" si="22"/>
        <v>Q3</v>
      </c>
      <c r="L456">
        <f t="shared" si="23"/>
        <v>2025</v>
      </c>
    </row>
    <row r="457" spans="1:12" x14ac:dyDescent="0.3">
      <c r="A457" t="s">
        <v>1231</v>
      </c>
      <c r="B457" t="s">
        <v>1232</v>
      </c>
      <c r="C457" t="s">
        <v>240</v>
      </c>
      <c r="D457">
        <v>1</v>
      </c>
      <c r="E457" s="1">
        <v>45959</v>
      </c>
      <c r="F457" t="s">
        <v>663</v>
      </c>
      <c r="G457">
        <v>1</v>
      </c>
      <c r="H457" t="s">
        <v>569</v>
      </c>
      <c r="I457" t="s">
        <v>570</v>
      </c>
      <c r="J457" t="str">
        <f t="shared" si="21"/>
        <v>October</v>
      </c>
      <c r="K457" t="str">
        <f t="shared" si="22"/>
        <v>Q4</v>
      </c>
      <c r="L457">
        <f t="shared" si="23"/>
        <v>2025</v>
      </c>
    </row>
    <row r="458" spans="1:12" x14ac:dyDescent="0.3">
      <c r="A458" t="s">
        <v>1233</v>
      </c>
      <c r="B458" t="s">
        <v>1234</v>
      </c>
      <c r="C458" t="s">
        <v>62</v>
      </c>
      <c r="D458">
        <v>1</v>
      </c>
      <c r="E458" s="1">
        <v>45707</v>
      </c>
      <c r="F458" t="s">
        <v>603</v>
      </c>
      <c r="G458">
        <v>2</v>
      </c>
      <c r="H458" t="s">
        <v>569</v>
      </c>
      <c r="I458" t="s">
        <v>570</v>
      </c>
      <c r="J458" t="str">
        <f t="shared" si="21"/>
        <v>February</v>
      </c>
      <c r="K458" t="str">
        <f t="shared" si="22"/>
        <v>Q1</v>
      </c>
      <c r="L458">
        <f t="shared" si="23"/>
        <v>2025</v>
      </c>
    </row>
    <row r="459" spans="1:12" x14ac:dyDescent="0.3">
      <c r="A459" t="s">
        <v>1235</v>
      </c>
      <c r="B459" t="s">
        <v>1236</v>
      </c>
      <c r="C459" t="s">
        <v>78</v>
      </c>
      <c r="D459">
        <v>1</v>
      </c>
      <c r="E459" s="1">
        <v>45907</v>
      </c>
      <c r="F459" t="s">
        <v>586</v>
      </c>
      <c r="G459">
        <v>2</v>
      </c>
      <c r="H459" t="s">
        <v>569</v>
      </c>
      <c r="I459" t="s">
        <v>570</v>
      </c>
      <c r="J459" t="str">
        <f t="shared" si="21"/>
        <v>September</v>
      </c>
      <c r="K459" t="str">
        <f t="shared" si="22"/>
        <v>Q3</v>
      </c>
      <c r="L459">
        <f t="shared" si="23"/>
        <v>2025</v>
      </c>
    </row>
    <row r="460" spans="1:12" x14ac:dyDescent="0.3">
      <c r="A460" t="s">
        <v>1237</v>
      </c>
      <c r="B460" t="s">
        <v>1238</v>
      </c>
      <c r="C460" t="s">
        <v>99</v>
      </c>
      <c r="D460">
        <v>1</v>
      </c>
      <c r="E460" s="1">
        <v>45862</v>
      </c>
      <c r="F460" t="s">
        <v>656</v>
      </c>
      <c r="G460">
        <v>4</v>
      </c>
      <c r="H460" t="s">
        <v>581</v>
      </c>
      <c r="I460" t="s">
        <v>597</v>
      </c>
      <c r="J460" t="str">
        <f t="shared" si="21"/>
        <v>July</v>
      </c>
      <c r="K460" t="str">
        <f t="shared" si="22"/>
        <v>Q3</v>
      </c>
      <c r="L460">
        <f t="shared" si="23"/>
        <v>2025</v>
      </c>
    </row>
    <row r="461" spans="1:12" x14ac:dyDescent="0.3">
      <c r="A461" t="s">
        <v>1239</v>
      </c>
      <c r="B461" t="s">
        <v>1238</v>
      </c>
      <c r="C461" t="s">
        <v>99</v>
      </c>
      <c r="D461">
        <v>2</v>
      </c>
      <c r="E461" s="1">
        <v>45868</v>
      </c>
      <c r="F461" t="s">
        <v>658</v>
      </c>
      <c r="G461">
        <v>4</v>
      </c>
      <c r="H461" t="s">
        <v>581</v>
      </c>
      <c r="I461" t="s">
        <v>570</v>
      </c>
      <c r="J461" t="str">
        <f t="shared" si="21"/>
        <v>July</v>
      </c>
      <c r="K461" t="str">
        <f t="shared" si="22"/>
        <v>Q3</v>
      </c>
      <c r="L461">
        <f t="shared" si="23"/>
        <v>2025</v>
      </c>
    </row>
    <row r="462" spans="1:12" x14ac:dyDescent="0.3">
      <c r="A462" t="s">
        <v>1240</v>
      </c>
      <c r="B462" t="s">
        <v>1238</v>
      </c>
      <c r="C462" t="s">
        <v>99</v>
      </c>
      <c r="D462">
        <v>3</v>
      </c>
      <c r="E462" s="1">
        <v>45874</v>
      </c>
      <c r="F462" t="s">
        <v>670</v>
      </c>
      <c r="G462">
        <v>4</v>
      </c>
      <c r="H462" t="s">
        <v>581</v>
      </c>
      <c r="I462" t="s">
        <v>608</v>
      </c>
      <c r="J462" t="str">
        <f t="shared" si="21"/>
        <v>August</v>
      </c>
      <c r="K462" t="str">
        <f t="shared" si="22"/>
        <v>Q3</v>
      </c>
      <c r="L462">
        <f t="shared" si="23"/>
        <v>2025</v>
      </c>
    </row>
    <row r="463" spans="1:12" x14ac:dyDescent="0.3">
      <c r="A463" t="s">
        <v>1241</v>
      </c>
      <c r="B463" t="s">
        <v>1242</v>
      </c>
      <c r="C463" t="s">
        <v>973</v>
      </c>
      <c r="D463">
        <v>1</v>
      </c>
      <c r="E463" s="1">
        <v>45935</v>
      </c>
      <c r="F463" t="s">
        <v>575</v>
      </c>
      <c r="G463">
        <v>3</v>
      </c>
      <c r="H463" t="s">
        <v>578</v>
      </c>
      <c r="I463" t="s">
        <v>570</v>
      </c>
      <c r="J463" t="str">
        <f t="shared" si="21"/>
        <v>October</v>
      </c>
      <c r="K463" t="str">
        <f t="shared" si="22"/>
        <v>Q4</v>
      </c>
      <c r="L463">
        <f t="shared" si="23"/>
        <v>2025</v>
      </c>
    </row>
    <row r="464" spans="1:12" x14ac:dyDescent="0.3">
      <c r="A464" t="s">
        <v>1243</v>
      </c>
      <c r="B464" t="s">
        <v>1242</v>
      </c>
      <c r="C464" t="s">
        <v>973</v>
      </c>
      <c r="D464">
        <v>2</v>
      </c>
      <c r="E464" s="1">
        <v>45940</v>
      </c>
      <c r="F464" t="s">
        <v>706</v>
      </c>
      <c r="G464">
        <v>2</v>
      </c>
      <c r="H464" t="s">
        <v>569</v>
      </c>
      <c r="I464" t="s">
        <v>570</v>
      </c>
      <c r="J464" t="str">
        <f t="shared" si="21"/>
        <v>October</v>
      </c>
      <c r="K464" t="str">
        <f t="shared" si="22"/>
        <v>Q4</v>
      </c>
      <c r="L464">
        <f t="shared" si="23"/>
        <v>2025</v>
      </c>
    </row>
    <row r="465" spans="1:12" x14ac:dyDescent="0.3">
      <c r="A465" t="s">
        <v>1244</v>
      </c>
      <c r="B465" t="s">
        <v>1242</v>
      </c>
      <c r="C465" t="s">
        <v>973</v>
      </c>
      <c r="D465">
        <v>3</v>
      </c>
      <c r="E465" s="1">
        <v>45945</v>
      </c>
      <c r="F465" t="s">
        <v>636</v>
      </c>
      <c r="G465">
        <v>2</v>
      </c>
      <c r="H465" t="s">
        <v>569</v>
      </c>
      <c r="I465" t="s">
        <v>570</v>
      </c>
      <c r="J465" t="str">
        <f t="shared" si="21"/>
        <v>October</v>
      </c>
      <c r="K465" t="str">
        <f t="shared" si="22"/>
        <v>Q4</v>
      </c>
      <c r="L465">
        <f t="shared" si="23"/>
        <v>2025</v>
      </c>
    </row>
    <row r="466" spans="1:12" x14ac:dyDescent="0.3">
      <c r="A466" t="s">
        <v>1245</v>
      </c>
      <c r="B466" t="s">
        <v>118</v>
      </c>
      <c r="C466" t="s">
        <v>99</v>
      </c>
      <c r="D466">
        <v>1</v>
      </c>
      <c r="E466" s="1">
        <v>45858</v>
      </c>
      <c r="F466" t="s">
        <v>658</v>
      </c>
      <c r="G466">
        <v>3</v>
      </c>
      <c r="H466" t="s">
        <v>578</v>
      </c>
      <c r="I466" t="s">
        <v>570</v>
      </c>
      <c r="J466" t="str">
        <f t="shared" si="21"/>
        <v>July</v>
      </c>
      <c r="K466" t="str">
        <f t="shared" si="22"/>
        <v>Q3</v>
      </c>
      <c r="L466">
        <f t="shared" si="23"/>
        <v>2025</v>
      </c>
    </row>
    <row r="467" spans="1:12" x14ac:dyDescent="0.3">
      <c r="A467" t="s">
        <v>1246</v>
      </c>
      <c r="B467" t="s">
        <v>118</v>
      </c>
      <c r="C467" t="s">
        <v>99</v>
      </c>
      <c r="D467">
        <v>2</v>
      </c>
      <c r="E467" s="1">
        <v>45870</v>
      </c>
      <c r="F467" t="s">
        <v>670</v>
      </c>
      <c r="G467">
        <v>4</v>
      </c>
      <c r="H467" t="s">
        <v>581</v>
      </c>
      <c r="I467" t="s">
        <v>570</v>
      </c>
      <c r="J467" t="str">
        <f t="shared" si="21"/>
        <v>August</v>
      </c>
      <c r="K467" t="str">
        <f t="shared" si="22"/>
        <v>Q3</v>
      </c>
      <c r="L467">
        <f t="shared" si="23"/>
        <v>2025</v>
      </c>
    </row>
    <row r="468" spans="1:12" x14ac:dyDescent="0.3">
      <c r="A468" t="s">
        <v>1247</v>
      </c>
      <c r="B468" t="s">
        <v>118</v>
      </c>
      <c r="C468" t="s">
        <v>99</v>
      </c>
      <c r="D468">
        <v>3</v>
      </c>
      <c r="E468" s="1">
        <v>45876</v>
      </c>
      <c r="F468" t="s">
        <v>656</v>
      </c>
      <c r="G468">
        <v>3</v>
      </c>
      <c r="H468" t="s">
        <v>578</v>
      </c>
      <c r="I468" t="s">
        <v>570</v>
      </c>
      <c r="J468" t="str">
        <f t="shared" si="21"/>
        <v>August</v>
      </c>
      <c r="K468" t="str">
        <f t="shared" si="22"/>
        <v>Q3</v>
      </c>
      <c r="L468">
        <f t="shared" si="23"/>
        <v>2025</v>
      </c>
    </row>
    <row r="469" spans="1:12" x14ac:dyDescent="0.3">
      <c r="A469" t="s">
        <v>1248</v>
      </c>
      <c r="B469" t="s">
        <v>118</v>
      </c>
      <c r="C469" t="s">
        <v>99</v>
      </c>
      <c r="D469">
        <v>4</v>
      </c>
      <c r="E469" s="1">
        <v>45887</v>
      </c>
      <c r="F469" t="s">
        <v>649</v>
      </c>
      <c r="G469">
        <v>4</v>
      </c>
      <c r="H469" t="s">
        <v>581</v>
      </c>
      <c r="I469" t="s">
        <v>570</v>
      </c>
      <c r="J469" t="str">
        <f t="shared" si="21"/>
        <v>August</v>
      </c>
      <c r="K469" t="str">
        <f t="shared" si="22"/>
        <v>Q3</v>
      </c>
      <c r="L469">
        <f t="shared" si="23"/>
        <v>2025</v>
      </c>
    </row>
    <row r="470" spans="1:12" x14ac:dyDescent="0.3">
      <c r="A470" t="s">
        <v>1249</v>
      </c>
      <c r="B470" t="s">
        <v>479</v>
      </c>
      <c r="C470" t="s">
        <v>62</v>
      </c>
      <c r="D470">
        <v>1</v>
      </c>
      <c r="E470" s="1">
        <v>45707</v>
      </c>
      <c r="F470" t="s">
        <v>612</v>
      </c>
      <c r="G470">
        <v>4</v>
      </c>
      <c r="H470" t="s">
        <v>581</v>
      </c>
      <c r="I470" t="s">
        <v>570</v>
      </c>
      <c r="J470" t="str">
        <f t="shared" si="21"/>
        <v>February</v>
      </c>
      <c r="K470" t="str">
        <f t="shared" si="22"/>
        <v>Q1</v>
      </c>
      <c r="L470">
        <f t="shared" si="23"/>
        <v>2025</v>
      </c>
    </row>
    <row r="471" spans="1:12" x14ac:dyDescent="0.3">
      <c r="A471" t="s">
        <v>1250</v>
      </c>
      <c r="B471" t="s">
        <v>1251</v>
      </c>
      <c r="C471" t="s">
        <v>78</v>
      </c>
      <c r="D471">
        <v>1</v>
      </c>
      <c r="E471" s="1">
        <v>45907</v>
      </c>
      <c r="F471" t="s">
        <v>586</v>
      </c>
      <c r="G471">
        <v>2</v>
      </c>
      <c r="H471" t="s">
        <v>569</v>
      </c>
      <c r="I471" t="s">
        <v>570</v>
      </c>
      <c r="J471" t="str">
        <f t="shared" si="21"/>
        <v>September</v>
      </c>
      <c r="K471" t="str">
        <f t="shared" si="22"/>
        <v>Q3</v>
      </c>
      <c r="L471">
        <f t="shared" si="23"/>
        <v>2025</v>
      </c>
    </row>
    <row r="472" spans="1:12" x14ac:dyDescent="0.3">
      <c r="A472" t="s">
        <v>1252</v>
      </c>
      <c r="B472" t="s">
        <v>1251</v>
      </c>
      <c r="C472" t="s">
        <v>78</v>
      </c>
      <c r="D472">
        <v>2</v>
      </c>
      <c r="E472" s="1">
        <v>45911</v>
      </c>
      <c r="F472" t="s">
        <v>568</v>
      </c>
      <c r="G472">
        <v>2</v>
      </c>
      <c r="H472" t="s">
        <v>569</v>
      </c>
      <c r="I472" t="s">
        <v>570</v>
      </c>
      <c r="J472" t="str">
        <f t="shared" si="21"/>
        <v>September</v>
      </c>
      <c r="K472" t="str">
        <f t="shared" si="22"/>
        <v>Q3</v>
      </c>
      <c r="L472">
        <f t="shared" si="23"/>
        <v>2025</v>
      </c>
    </row>
    <row r="473" spans="1:12" x14ac:dyDescent="0.3">
      <c r="A473" t="s">
        <v>1253</v>
      </c>
      <c r="B473" t="s">
        <v>1251</v>
      </c>
      <c r="C473" t="s">
        <v>78</v>
      </c>
      <c r="D473">
        <v>3</v>
      </c>
      <c r="E473" s="1">
        <v>45916</v>
      </c>
      <c r="F473" t="s">
        <v>596</v>
      </c>
      <c r="G473">
        <v>2</v>
      </c>
      <c r="H473" t="s">
        <v>569</v>
      </c>
      <c r="I473" t="s">
        <v>570</v>
      </c>
      <c r="J473" t="str">
        <f t="shared" si="21"/>
        <v>September</v>
      </c>
      <c r="K473" t="str">
        <f t="shared" si="22"/>
        <v>Q3</v>
      </c>
      <c r="L473">
        <f t="shared" si="23"/>
        <v>2025</v>
      </c>
    </row>
    <row r="474" spans="1:12" x14ac:dyDescent="0.3">
      <c r="A474" t="s">
        <v>1254</v>
      </c>
      <c r="B474" t="s">
        <v>1255</v>
      </c>
      <c r="C474" t="s">
        <v>337</v>
      </c>
      <c r="D474">
        <v>1</v>
      </c>
      <c r="E474" s="1">
        <v>45849</v>
      </c>
      <c r="F474" t="s">
        <v>572</v>
      </c>
      <c r="G474">
        <v>1</v>
      </c>
      <c r="H474" t="s">
        <v>569</v>
      </c>
      <c r="I474" t="s">
        <v>570</v>
      </c>
      <c r="J474" t="str">
        <f t="shared" si="21"/>
        <v>July</v>
      </c>
      <c r="K474" t="str">
        <f t="shared" si="22"/>
        <v>Q3</v>
      </c>
      <c r="L474">
        <f t="shared" si="23"/>
        <v>2025</v>
      </c>
    </row>
    <row r="475" spans="1:12" x14ac:dyDescent="0.3">
      <c r="A475" t="s">
        <v>1256</v>
      </c>
      <c r="B475" t="s">
        <v>1255</v>
      </c>
      <c r="C475" t="s">
        <v>337</v>
      </c>
      <c r="D475">
        <v>2</v>
      </c>
      <c r="E475" s="1">
        <v>45854</v>
      </c>
      <c r="F475" t="s">
        <v>575</v>
      </c>
      <c r="G475">
        <v>2</v>
      </c>
      <c r="H475" t="s">
        <v>569</v>
      </c>
      <c r="I475" t="s">
        <v>570</v>
      </c>
      <c r="J475" t="str">
        <f t="shared" si="21"/>
        <v>July</v>
      </c>
      <c r="K475" t="str">
        <f t="shared" si="22"/>
        <v>Q3</v>
      </c>
      <c r="L475">
        <f t="shared" si="23"/>
        <v>2025</v>
      </c>
    </row>
    <row r="476" spans="1:12" x14ac:dyDescent="0.3">
      <c r="A476" t="s">
        <v>1257</v>
      </c>
      <c r="B476" t="s">
        <v>1255</v>
      </c>
      <c r="C476" t="s">
        <v>337</v>
      </c>
      <c r="D476">
        <v>3</v>
      </c>
      <c r="E476" s="1">
        <v>45866</v>
      </c>
      <c r="F476" t="s">
        <v>596</v>
      </c>
      <c r="G476">
        <v>2</v>
      </c>
      <c r="H476" t="s">
        <v>569</v>
      </c>
      <c r="I476" t="s">
        <v>570</v>
      </c>
      <c r="J476" t="str">
        <f t="shared" si="21"/>
        <v>July</v>
      </c>
      <c r="K476" t="str">
        <f t="shared" si="22"/>
        <v>Q3</v>
      </c>
      <c r="L476">
        <f t="shared" si="23"/>
        <v>2025</v>
      </c>
    </row>
    <row r="477" spans="1:12" x14ac:dyDescent="0.3">
      <c r="A477" t="s">
        <v>1258</v>
      </c>
      <c r="B477" t="s">
        <v>1255</v>
      </c>
      <c r="C477" t="s">
        <v>337</v>
      </c>
      <c r="D477">
        <v>4</v>
      </c>
      <c r="E477" s="1">
        <v>45878</v>
      </c>
      <c r="F477" t="s">
        <v>596</v>
      </c>
      <c r="G477">
        <v>1</v>
      </c>
      <c r="H477" t="s">
        <v>569</v>
      </c>
      <c r="I477" t="s">
        <v>570</v>
      </c>
      <c r="J477" t="str">
        <f t="shared" si="21"/>
        <v>August</v>
      </c>
      <c r="K477" t="str">
        <f t="shared" si="22"/>
        <v>Q3</v>
      </c>
      <c r="L477">
        <f t="shared" si="23"/>
        <v>2025</v>
      </c>
    </row>
    <row r="478" spans="1:12" x14ac:dyDescent="0.3">
      <c r="A478" t="s">
        <v>1259</v>
      </c>
      <c r="B478" t="s">
        <v>1260</v>
      </c>
      <c r="C478" t="s">
        <v>16</v>
      </c>
      <c r="D478">
        <v>1</v>
      </c>
      <c r="E478" s="1">
        <v>45766</v>
      </c>
      <c r="F478" t="s">
        <v>600</v>
      </c>
      <c r="G478">
        <v>2</v>
      </c>
      <c r="H478" t="s">
        <v>569</v>
      </c>
      <c r="I478" t="s">
        <v>570</v>
      </c>
      <c r="J478" t="str">
        <f t="shared" si="21"/>
        <v>April</v>
      </c>
      <c r="K478" t="str">
        <f t="shared" si="22"/>
        <v>Q2</v>
      </c>
      <c r="L478">
        <f t="shared" si="23"/>
        <v>2025</v>
      </c>
    </row>
    <row r="479" spans="1:12" x14ac:dyDescent="0.3">
      <c r="A479" t="s">
        <v>1261</v>
      </c>
      <c r="B479" t="s">
        <v>1260</v>
      </c>
      <c r="C479" t="s">
        <v>16</v>
      </c>
      <c r="D479">
        <v>2</v>
      </c>
      <c r="E479" s="1">
        <v>45777</v>
      </c>
      <c r="F479" t="s">
        <v>600</v>
      </c>
      <c r="G479">
        <v>3</v>
      </c>
      <c r="H479" t="s">
        <v>578</v>
      </c>
      <c r="I479" t="s">
        <v>570</v>
      </c>
      <c r="J479" t="str">
        <f t="shared" si="21"/>
        <v>April</v>
      </c>
      <c r="K479" t="str">
        <f t="shared" si="22"/>
        <v>Q2</v>
      </c>
      <c r="L479">
        <f t="shared" si="23"/>
        <v>2025</v>
      </c>
    </row>
    <row r="480" spans="1:12" x14ac:dyDescent="0.3">
      <c r="A480" t="s">
        <v>1262</v>
      </c>
      <c r="B480" t="s">
        <v>1263</v>
      </c>
      <c r="C480" t="s">
        <v>92</v>
      </c>
      <c r="D480">
        <v>1</v>
      </c>
      <c r="E480" s="1">
        <v>45763</v>
      </c>
      <c r="F480" t="s">
        <v>612</v>
      </c>
      <c r="G480">
        <v>1</v>
      </c>
      <c r="H480" t="s">
        <v>569</v>
      </c>
      <c r="I480" t="s">
        <v>597</v>
      </c>
      <c r="J480" t="str">
        <f t="shared" si="21"/>
        <v>April</v>
      </c>
      <c r="K480" t="str">
        <f t="shared" si="22"/>
        <v>Q2</v>
      </c>
      <c r="L480">
        <f t="shared" si="23"/>
        <v>2025</v>
      </c>
    </row>
    <row r="481" spans="1:12" x14ac:dyDescent="0.3">
      <c r="A481" t="s">
        <v>1264</v>
      </c>
      <c r="B481" t="s">
        <v>1263</v>
      </c>
      <c r="C481" t="s">
        <v>92</v>
      </c>
      <c r="D481">
        <v>2</v>
      </c>
      <c r="E481" s="1">
        <v>45771</v>
      </c>
      <c r="F481" t="s">
        <v>572</v>
      </c>
      <c r="G481">
        <v>3</v>
      </c>
      <c r="H481" t="s">
        <v>578</v>
      </c>
      <c r="I481" t="s">
        <v>570</v>
      </c>
      <c r="J481" t="str">
        <f t="shared" si="21"/>
        <v>April</v>
      </c>
      <c r="K481" t="str">
        <f t="shared" si="22"/>
        <v>Q2</v>
      </c>
      <c r="L481">
        <f t="shared" si="23"/>
        <v>2025</v>
      </c>
    </row>
    <row r="482" spans="1:12" x14ac:dyDescent="0.3">
      <c r="A482" t="s">
        <v>1265</v>
      </c>
      <c r="B482" t="s">
        <v>1263</v>
      </c>
      <c r="C482" t="s">
        <v>92</v>
      </c>
      <c r="D482">
        <v>3</v>
      </c>
      <c r="E482" s="1">
        <v>45776</v>
      </c>
      <c r="F482" t="s">
        <v>625</v>
      </c>
      <c r="G482">
        <v>2</v>
      </c>
      <c r="H482" t="s">
        <v>569</v>
      </c>
      <c r="I482" t="s">
        <v>570</v>
      </c>
      <c r="J482" t="str">
        <f t="shared" si="21"/>
        <v>April</v>
      </c>
      <c r="K482" t="str">
        <f t="shared" si="22"/>
        <v>Q2</v>
      </c>
      <c r="L482">
        <f t="shared" si="23"/>
        <v>2025</v>
      </c>
    </row>
    <row r="483" spans="1:12" x14ac:dyDescent="0.3">
      <c r="A483" t="s">
        <v>1266</v>
      </c>
      <c r="B483" t="s">
        <v>1263</v>
      </c>
      <c r="C483" t="s">
        <v>92</v>
      </c>
      <c r="D483">
        <v>4</v>
      </c>
      <c r="E483" s="1">
        <v>45787</v>
      </c>
      <c r="F483" t="s">
        <v>603</v>
      </c>
      <c r="G483">
        <v>2</v>
      </c>
      <c r="H483" t="s">
        <v>569</v>
      </c>
      <c r="I483" t="s">
        <v>570</v>
      </c>
      <c r="J483" t="str">
        <f t="shared" si="21"/>
        <v>May</v>
      </c>
      <c r="K483" t="str">
        <f t="shared" si="22"/>
        <v>Q2</v>
      </c>
      <c r="L483">
        <f t="shared" si="23"/>
        <v>2025</v>
      </c>
    </row>
    <row r="484" spans="1:12" x14ac:dyDescent="0.3">
      <c r="A484" t="s">
        <v>1267</v>
      </c>
      <c r="B484" t="s">
        <v>1268</v>
      </c>
      <c r="C484" t="s">
        <v>99</v>
      </c>
      <c r="D484">
        <v>1</v>
      </c>
      <c r="E484" s="1">
        <v>45854</v>
      </c>
      <c r="F484" t="s">
        <v>584</v>
      </c>
      <c r="G484">
        <v>3</v>
      </c>
      <c r="H484" t="s">
        <v>578</v>
      </c>
      <c r="I484" t="s">
        <v>570</v>
      </c>
      <c r="J484" t="str">
        <f t="shared" si="21"/>
        <v>July</v>
      </c>
      <c r="K484" t="str">
        <f t="shared" si="22"/>
        <v>Q3</v>
      </c>
      <c r="L484">
        <f t="shared" si="23"/>
        <v>2025</v>
      </c>
    </row>
    <row r="485" spans="1:12" x14ac:dyDescent="0.3">
      <c r="A485" t="s">
        <v>1269</v>
      </c>
      <c r="B485" t="s">
        <v>1268</v>
      </c>
      <c r="C485" t="s">
        <v>99</v>
      </c>
      <c r="D485">
        <v>2</v>
      </c>
      <c r="E485" s="1">
        <v>45861</v>
      </c>
      <c r="F485" t="s">
        <v>658</v>
      </c>
      <c r="G485">
        <v>2</v>
      </c>
      <c r="H485" t="s">
        <v>569</v>
      </c>
      <c r="I485" t="s">
        <v>570</v>
      </c>
      <c r="J485" t="str">
        <f t="shared" si="21"/>
        <v>July</v>
      </c>
      <c r="K485" t="str">
        <f t="shared" si="22"/>
        <v>Q3</v>
      </c>
      <c r="L485">
        <f t="shared" si="23"/>
        <v>2025</v>
      </c>
    </row>
    <row r="486" spans="1:12" x14ac:dyDescent="0.3">
      <c r="A486" t="s">
        <v>1270</v>
      </c>
      <c r="B486" t="s">
        <v>1271</v>
      </c>
      <c r="C486" t="s">
        <v>240</v>
      </c>
      <c r="D486">
        <v>1</v>
      </c>
      <c r="E486" s="1">
        <v>45962</v>
      </c>
      <c r="F486" t="s">
        <v>572</v>
      </c>
      <c r="G486">
        <v>1</v>
      </c>
      <c r="H486" t="s">
        <v>569</v>
      </c>
      <c r="I486" t="s">
        <v>597</v>
      </c>
      <c r="J486" t="str">
        <f t="shared" si="21"/>
        <v>November</v>
      </c>
      <c r="K486" t="str">
        <f t="shared" si="22"/>
        <v>Q4</v>
      </c>
      <c r="L486">
        <f t="shared" si="23"/>
        <v>2025</v>
      </c>
    </row>
    <row r="487" spans="1:12" x14ac:dyDescent="0.3">
      <c r="A487" t="s">
        <v>1272</v>
      </c>
      <c r="B487" t="s">
        <v>1273</v>
      </c>
      <c r="C487" t="s">
        <v>292</v>
      </c>
      <c r="D487">
        <v>1</v>
      </c>
      <c r="E487" s="1">
        <v>45724</v>
      </c>
      <c r="F487" t="s">
        <v>663</v>
      </c>
      <c r="G487">
        <v>2</v>
      </c>
      <c r="H487" t="s">
        <v>569</v>
      </c>
      <c r="I487" t="s">
        <v>570</v>
      </c>
      <c r="J487" t="str">
        <f t="shared" si="21"/>
        <v>March</v>
      </c>
      <c r="K487" t="str">
        <f t="shared" si="22"/>
        <v>Q1</v>
      </c>
      <c r="L487">
        <f t="shared" si="23"/>
        <v>2025</v>
      </c>
    </row>
    <row r="488" spans="1:12" x14ac:dyDescent="0.3">
      <c r="A488" t="s">
        <v>1274</v>
      </c>
      <c r="B488" t="s">
        <v>1273</v>
      </c>
      <c r="C488" t="s">
        <v>292</v>
      </c>
      <c r="D488">
        <v>2</v>
      </c>
      <c r="E488" s="1">
        <v>45730</v>
      </c>
      <c r="F488" t="s">
        <v>568</v>
      </c>
      <c r="G488">
        <v>1</v>
      </c>
      <c r="H488" t="s">
        <v>569</v>
      </c>
      <c r="I488" t="s">
        <v>570</v>
      </c>
      <c r="J488" t="str">
        <f t="shared" si="21"/>
        <v>March</v>
      </c>
      <c r="K488" t="str">
        <f t="shared" si="22"/>
        <v>Q1</v>
      </c>
      <c r="L488">
        <f t="shared" si="23"/>
        <v>2025</v>
      </c>
    </row>
    <row r="489" spans="1:12" x14ac:dyDescent="0.3">
      <c r="A489" t="s">
        <v>1275</v>
      </c>
      <c r="B489" t="s">
        <v>1276</v>
      </c>
      <c r="C489" t="s">
        <v>429</v>
      </c>
      <c r="D489">
        <v>1</v>
      </c>
      <c r="E489" s="1">
        <v>45769</v>
      </c>
      <c r="F489" t="s">
        <v>766</v>
      </c>
      <c r="G489">
        <v>2</v>
      </c>
      <c r="H489" t="s">
        <v>569</v>
      </c>
      <c r="I489" t="s">
        <v>570</v>
      </c>
      <c r="J489" t="str">
        <f t="shared" si="21"/>
        <v>April</v>
      </c>
      <c r="K489" t="str">
        <f t="shared" si="22"/>
        <v>Q2</v>
      </c>
      <c r="L489">
        <f t="shared" si="23"/>
        <v>2025</v>
      </c>
    </row>
    <row r="490" spans="1:12" x14ac:dyDescent="0.3">
      <c r="A490" t="s">
        <v>1277</v>
      </c>
      <c r="B490" t="s">
        <v>1276</v>
      </c>
      <c r="C490" t="s">
        <v>429</v>
      </c>
      <c r="D490">
        <v>2</v>
      </c>
      <c r="E490" s="1">
        <v>45774</v>
      </c>
      <c r="F490" t="s">
        <v>741</v>
      </c>
      <c r="G490">
        <v>2</v>
      </c>
      <c r="H490" t="s">
        <v>569</v>
      </c>
      <c r="I490" t="s">
        <v>570</v>
      </c>
      <c r="J490" t="str">
        <f t="shared" si="21"/>
        <v>April</v>
      </c>
      <c r="K490" t="str">
        <f t="shared" si="22"/>
        <v>Q2</v>
      </c>
      <c r="L490">
        <f t="shared" si="23"/>
        <v>2025</v>
      </c>
    </row>
    <row r="491" spans="1:12" x14ac:dyDescent="0.3">
      <c r="A491" t="s">
        <v>1278</v>
      </c>
      <c r="B491" t="s">
        <v>1276</v>
      </c>
      <c r="C491" t="s">
        <v>429</v>
      </c>
      <c r="D491">
        <v>3</v>
      </c>
      <c r="E491" s="1">
        <v>45786</v>
      </c>
      <c r="F491" t="s">
        <v>590</v>
      </c>
      <c r="G491">
        <v>1</v>
      </c>
      <c r="H491" t="s">
        <v>569</v>
      </c>
      <c r="I491" t="s">
        <v>570</v>
      </c>
      <c r="J491" t="str">
        <f t="shared" si="21"/>
        <v>May</v>
      </c>
      <c r="K491" t="str">
        <f t="shared" si="22"/>
        <v>Q2</v>
      </c>
      <c r="L491">
        <f t="shared" si="23"/>
        <v>2025</v>
      </c>
    </row>
    <row r="492" spans="1:12" x14ac:dyDescent="0.3">
      <c r="A492" t="s">
        <v>1279</v>
      </c>
      <c r="B492" t="s">
        <v>483</v>
      </c>
      <c r="C492" t="s">
        <v>37</v>
      </c>
      <c r="D492">
        <v>1</v>
      </c>
      <c r="E492" s="1">
        <v>45717</v>
      </c>
      <c r="F492" t="s">
        <v>568</v>
      </c>
      <c r="G492">
        <v>4</v>
      </c>
      <c r="H492" t="s">
        <v>581</v>
      </c>
      <c r="I492" t="s">
        <v>570</v>
      </c>
      <c r="J492" t="str">
        <f t="shared" si="21"/>
        <v>March</v>
      </c>
      <c r="K492" t="str">
        <f t="shared" si="22"/>
        <v>Q1</v>
      </c>
      <c r="L492">
        <f t="shared" si="23"/>
        <v>2025</v>
      </c>
    </row>
    <row r="493" spans="1:12" x14ac:dyDescent="0.3">
      <c r="A493" t="s">
        <v>1280</v>
      </c>
      <c r="B493" t="s">
        <v>483</v>
      </c>
      <c r="C493" t="s">
        <v>37</v>
      </c>
      <c r="D493">
        <v>2</v>
      </c>
      <c r="E493" s="1">
        <v>45725</v>
      </c>
      <c r="F493" t="s">
        <v>568</v>
      </c>
      <c r="G493">
        <v>4</v>
      </c>
      <c r="H493" t="s">
        <v>581</v>
      </c>
      <c r="I493" t="s">
        <v>570</v>
      </c>
      <c r="J493" t="str">
        <f t="shared" si="21"/>
        <v>March</v>
      </c>
      <c r="K493" t="str">
        <f t="shared" si="22"/>
        <v>Q1</v>
      </c>
      <c r="L493">
        <f t="shared" si="23"/>
        <v>2025</v>
      </c>
    </row>
    <row r="494" spans="1:12" x14ac:dyDescent="0.3">
      <c r="A494" t="s">
        <v>1281</v>
      </c>
      <c r="B494" t="s">
        <v>483</v>
      </c>
      <c r="C494" t="s">
        <v>37</v>
      </c>
      <c r="D494">
        <v>3</v>
      </c>
      <c r="E494" s="1">
        <v>45730</v>
      </c>
      <c r="F494" t="s">
        <v>596</v>
      </c>
      <c r="G494">
        <v>3</v>
      </c>
      <c r="H494" t="s">
        <v>578</v>
      </c>
      <c r="I494" t="s">
        <v>570</v>
      </c>
      <c r="J494" t="str">
        <f t="shared" si="21"/>
        <v>March</v>
      </c>
      <c r="K494" t="str">
        <f t="shared" si="22"/>
        <v>Q1</v>
      </c>
      <c r="L494">
        <f t="shared" si="23"/>
        <v>2025</v>
      </c>
    </row>
    <row r="495" spans="1:12" x14ac:dyDescent="0.3">
      <c r="A495" t="s">
        <v>1282</v>
      </c>
      <c r="B495" t="s">
        <v>483</v>
      </c>
      <c r="C495" t="s">
        <v>37</v>
      </c>
      <c r="D495">
        <v>4</v>
      </c>
      <c r="E495" s="1">
        <v>45735</v>
      </c>
      <c r="F495" t="s">
        <v>568</v>
      </c>
      <c r="G495">
        <v>4</v>
      </c>
      <c r="H495" t="s">
        <v>581</v>
      </c>
      <c r="I495" t="s">
        <v>570</v>
      </c>
      <c r="J495" t="str">
        <f t="shared" si="21"/>
        <v>March</v>
      </c>
      <c r="K495" t="str">
        <f t="shared" si="22"/>
        <v>Q1</v>
      </c>
      <c r="L495">
        <f t="shared" si="23"/>
        <v>2025</v>
      </c>
    </row>
    <row r="496" spans="1:12" x14ac:dyDescent="0.3">
      <c r="A496" t="s">
        <v>1283</v>
      </c>
      <c r="B496" t="s">
        <v>1284</v>
      </c>
      <c r="C496" t="s">
        <v>45</v>
      </c>
      <c r="D496">
        <v>1</v>
      </c>
      <c r="E496" s="1">
        <v>45859</v>
      </c>
      <c r="F496" t="s">
        <v>638</v>
      </c>
      <c r="G496">
        <v>3</v>
      </c>
      <c r="H496" t="s">
        <v>578</v>
      </c>
      <c r="I496" t="s">
        <v>570</v>
      </c>
      <c r="J496" t="str">
        <f t="shared" si="21"/>
        <v>July</v>
      </c>
      <c r="K496" t="str">
        <f t="shared" si="22"/>
        <v>Q3</v>
      </c>
      <c r="L496">
        <f t="shared" si="23"/>
        <v>2025</v>
      </c>
    </row>
    <row r="497" spans="1:12" x14ac:dyDescent="0.3">
      <c r="A497" t="s">
        <v>1285</v>
      </c>
      <c r="B497" t="s">
        <v>1284</v>
      </c>
      <c r="C497" t="s">
        <v>45</v>
      </c>
      <c r="D497">
        <v>2</v>
      </c>
      <c r="E497" s="1">
        <v>45867</v>
      </c>
      <c r="F497" t="s">
        <v>580</v>
      </c>
      <c r="G497">
        <v>4</v>
      </c>
      <c r="H497" t="s">
        <v>581</v>
      </c>
      <c r="I497" t="s">
        <v>570</v>
      </c>
      <c r="J497" t="str">
        <f t="shared" si="21"/>
        <v>July</v>
      </c>
      <c r="K497" t="str">
        <f t="shared" si="22"/>
        <v>Q3</v>
      </c>
      <c r="L497">
        <f t="shared" si="23"/>
        <v>2025</v>
      </c>
    </row>
    <row r="498" spans="1:12" x14ac:dyDescent="0.3">
      <c r="A498" t="s">
        <v>1286</v>
      </c>
      <c r="B498" t="s">
        <v>1287</v>
      </c>
      <c r="C498" t="s">
        <v>201</v>
      </c>
      <c r="D498">
        <v>1</v>
      </c>
      <c r="E498" s="1">
        <v>45966</v>
      </c>
      <c r="F498" t="s">
        <v>572</v>
      </c>
      <c r="G498">
        <v>4</v>
      </c>
      <c r="H498" t="s">
        <v>581</v>
      </c>
      <c r="I498" t="s">
        <v>597</v>
      </c>
      <c r="J498" t="str">
        <f t="shared" si="21"/>
        <v>November</v>
      </c>
      <c r="K498" t="str">
        <f t="shared" si="22"/>
        <v>Q4</v>
      </c>
      <c r="L498">
        <f t="shared" si="23"/>
        <v>2025</v>
      </c>
    </row>
    <row r="499" spans="1:12" x14ac:dyDescent="0.3">
      <c r="A499" t="s">
        <v>1288</v>
      </c>
      <c r="B499" t="s">
        <v>1289</v>
      </c>
      <c r="C499" t="s">
        <v>133</v>
      </c>
      <c r="D499">
        <v>1</v>
      </c>
      <c r="E499" s="1">
        <v>45696</v>
      </c>
      <c r="F499" t="s">
        <v>584</v>
      </c>
      <c r="G499">
        <v>3</v>
      </c>
      <c r="H499" t="s">
        <v>578</v>
      </c>
      <c r="I499" t="s">
        <v>570</v>
      </c>
      <c r="J499" t="str">
        <f t="shared" si="21"/>
        <v>February</v>
      </c>
      <c r="K499" t="str">
        <f t="shared" si="22"/>
        <v>Q1</v>
      </c>
      <c r="L499">
        <f t="shared" si="23"/>
        <v>2025</v>
      </c>
    </row>
    <row r="500" spans="1:12" x14ac:dyDescent="0.3">
      <c r="A500" t="s">
        <v>1290</v>
      </c>
      <c r="B500" t="s">
        <v>1289</v>
      </c>
      <c r="C500" t="s">
        <v>133</v>
      </c>
      <c r="D500">
        <v>2</v>
      </c>
      <c r="E500" s="1">
        <v>45708</v>
      </c>
      <c r="F500" t="s">
        <v>584</v>
      </c>
      <c r="G500">
        <v>4</v>
      </c>
      <c r="H500" t="s">
        <v>581</v>
      </c>
      <c r="I500" t="s">
        <v>597</v>
      </c>
      <c r="J500" t="str">
        <f t="shared" si="21"/>
        <v>February</v>
      </c>
      <c r="K500" t="str">
        <f t="shared" si="22"/>
        <v>Q1</v>
      </c>
      <c r="L500">
        <f t="shared" si="23"/>
        <v>2025</v>
      </c>
    </row>
    <row r="501" spans="1:12" x14ac:dyDescent="0.3">
      <c r="A501" t="s">
        <v>1291</v>
      </c>
      <c r="B501" t="s">
        <v>1292</v>
      </c>
      <c r="C501" t="s">
        <v>32</v>
      </c>
      <c r="D501">
        <v>1</v>
      </c>
      <c r="E501" s="1">
        <v>45767</v>
      </c>
      <c r="F501" t="s">
        <v>621</v>
      </c>
      <c r="G501">
        <v>3</v>
      </c>
      <c r="H501" t="s">
        <v>578</v>
      </c>
      <c r="I501" t="s">
        <v>570</v>
      </c>
      <c r="J501" t="str">
        <f t="shared" si="21"/>
        <v>April</v>
      </c>
      <c r="K501" t="str">
        <f t="shared" si="22"/>
        <v>Q2</v>
      </c>
      <c r="L501">
        <f t="shared" si="23"/>
        <v>2025</v>
      </c>
    </row>
    <row r="502" spans="1:12" x14ac:dyDescent="0.3">
      <c r="A502" t="s">
        <v>1293</v>
      </c>
      <c r="B502" t="s">
        <v>1292</v>
      </c>
      <c r="C502" t="s">
        <v>32</v>
      </c>
      <c r="D502">
        <v>2</v>
      </c>
      <c r="E502" s="1">
        <v>45772</v>
      </c>
      <c r="F502" t="s">
        <v>596</v>
      </c>
      <c r="G502">
        <v>4</v>
      </c>
      <c r="H502" t="s">
        <v>581</v>
      </c>
      <c r="I502" t="s">
        <v>570</v>
      </c>
      <c r="J502" t="str">
        <f t="shared" si="21"/>
        <v>April</v>
      </c>
      <c r="K502" t="str">
        <f t="shared" si="22"/>
        <v>Q2</v>
      </c>
      <c r="L502">
        <f t="shared" si="23"/>
        <v>2025</v>
      </c>
    </row>
    <row r="503" spans="1:12" x14ac:dyDescent="0.3">
      <c r="A503" t="s">
        <v>1294</v>
      </c>
      <c r="B503" t="s">
        <v>1292</v>
      </c>
      <c r="C503" t="s">
        <v>32</v>
      </c>
      <c r="D503">
        <v>3</v>
      </c>
      <c r="E503" s="1">
        <v>45784</v>
      </c>
      <c r="F503" t="s">
        <v>577</v>
      </c>
      <c r="G503">
        <v>3</v>
      </c>
      <c r="H503" t="s">
        <v>578</v>
      </c>
      <c r="I503" t="s">
        <v>570</v>
      </c>
      <c r="J503" t="str">
        <f t="shared" si="21"/>
        <v>May</v>
      </c>
      <c r="K503" t="str">
        <f t="shared" si="22"/>
        <v>Q2</v>
      </c>
      <c r="L503">
        <f t="shared" si="23"/>
        <v>2025</v>
      </c>
    </row>
    <row r="504" spans="1:12" x14ac:dyDescent="0.3">
      <c r="A504" t="s">
        <v>1295</v>
      </c>
      <c r="B504" t="s">
        <v>1296</v>
      </c>
      <c r="C504" t="s">
        <v>16</v>
      </c>
      <c r="D504">
        <v>1</v>
      </c>
      <c r="E504" s="1">
        <v>45756</v>
      </c>
      <c r="F504" t="s">
        <v>706</v>
      </c>
      <c r="G504">
        <v>1</v>
      </c>
      <c r="H504" t="s">
        <v>569</v>
      </c>
      <c r="I504" t="s">
        <v>570</v>
      </c>
      <c r="J504" t="str">
        <f t="shared" si="21"/>
        <v>April</v>
      </c>
      <c r="K504" t="str">
        <f t="shared" si="22"/>
        <v>Q2</v>
      </c>
      <c r="L504">
        <f t="shared" si="23"/>
        <v>2025</v>
      </c>
    </row>
    <row r="505" spans="1:12" x14ac:dyDescent="0.3">
      <c r="A505" t="s">
        <v>1297</v>
      </c>
      <c r="B505" t="s">
        <v>1296</v>
      </c>
      <c r="C505" t="s">
        <v>16</v>
      </c>
      <c r="D505">
        <v>2</v>
      </c>
      <c r="E505" s="1">
        <v>45762</v>
      </c>
      <c r="F505" t="s">
        <v>575</v>
      </c>
      <c r="G505">
        <v>1</v>
      </c>
      <c r="H505" t="s">
        <v>569</v>
      </c>
      <c r="I505" t="s">
        <v>570</v>
      </c>
      <c r="J505" t="str">
        <f t="shared" si="21"/>
        <v>April</v>
      </c>
      <c r="K505" t="str">
        <f t="shared" si="22"/>
        <v>Q2</v>
      </c>
      <c r="L505">
        <f t="shared" si="23"/>
        <v>2025</v>
      </c>
    </row>
    <row r="506" spans="1:12" x14ac:dyDescent="0.3">
      <c r="A506" t="s">
        <v>1298</v>
      </c>
      <c r="B506" t="s">
        <v>139</v>
      </c>
      <c r="C506" t="s">
        <v>140</v>
      </c>
      <c r="D506">
        <v>1</v>
      </c>
      <c r="E506" s="1">
        <v>45927</v>
      </c>
      <c r="F506" t="s">
        <v>632</v>
      </c>
      <c r="G506">
        <v>4</v>
      </c>
      <c r="H506" t="s">
        <v>581</v>
      </c>
      <c r="I506" t="s">
        <v>570</v>
      </c>
      <c r="J506" t="str">
        <f t="shared" si="21"/>
        <v>September</v>
      </c>
      <c r="K506" t="str">
        <f t="shared" si="22"/>
        <v>Q3</v>
      </c>
      <c r="L506">
        <f t="shared" si="23"/>
        <v>2025</v>
      </c>
    </row>
    <row r="507" spans="1:12" x14ac:dyDescent="0.3">
      <c r="A507" t="s">
        <v>1299</v>
      </c>
      <c r="B507" t="s">
        <v>1300</v>
      </c>
      <c r="C507" t="s">
        <v>542</v>
      </c>
      <c r="D507">
        <v>1</v>
      </c>
      <c r="E507" s="1">
        <v>45803</v>
      </c>
      <c r="F507" t="s">
        <v>766</v>
      </c>
      <c r="G507">
        <v>2</v>
      </c>
      <c r="H507" t="s">
        <v>569</v>
      </c>
      <c r="I507" t="s">
        <v>570</v>
      </c>
      <c r="J507" t="str">
        <f t="shared" si="21"/>
        <v>May</v>
      </c>
      <c r="K507" t="str">
        <f t="shared" si="22"/>
        <v>Q2</v>
      </c>
      <c r="L507">
        <f t="shared" si="23"/>
        <v>2025</v>
      </c>
    </row>
    <row r="508" spans="1:12" x14ac:dyDescent="0.3">
      <c r="A508" t="s">
        <v>1301</v>
      </c>
      <c r="B508" t="s">
        <v>1300</v>
      </c>
      <c r="C508" t="s">
        <v>542</v>
      </c>
      <c r="D508">
        <v>2</v>
      </c>
      <c r="E508" s="1">
        <v>45807</v>
      </c>
      <c r="F508" t="s">
        <v>592</v>
      </c>
      <c r="G508">
        <v>1</v>
      </c>
      <c r="H508" t="s">
        <v>569</v>
      </c>
      <c r="I508" t="s">
        <v>570</v>
      </c>
      <c r="J508" t="str">
        <f t="shared" si="21"/>
        <v>May</v>
      </c>
      <c r="K508" t="str">
        <f t="shared" si="22"/>
        <v>Q2</v>
      </c>
      <c r="L508">
        <f t="shared" si="23"/>
        <v>2025</v>
      </c>
    </row>
    <row r="509" spans="1:12" x14ac:dyDescent="0.3">
      <c r="A509" t="s">
        <v>1302</v>
      </c>
      <c r="B509" t="s">
        <v>1300</v>
      </c>
      <c r="C509" t="s">
        <v>542</v>
      </c>
      <c r="D509">
        <v>3</v>
      </c>
      <c r="E509" s="1">
        <v>45812</v>
      </c>
      <c r="F509" t="s">
        <v>766</v>
      </c>
      <c r="G509">
        <v>1</v>
      </c>
      <c r="H509" t="s">
        <v>569</v>
      </c>
      <c r="I509" t="s">
        <v>570</v>
      </c>
      <c r="J509" t="str">
        <f t="shared" si="21"/>
        <v>June</v>
      </c>
      <c r="K509" t="str">
        <f t="shared" si="22"/>
        <v>Q2</v>
      </c>
      <c r="L509">
        <f t="shared" si="23"/>
        <v>2025</v>
      </c>
    </row>
    <row r="510" spans="1:12" x14ac:dyDescent="0.3">
      <c r="A510" t="s">
        <v>1303</v>
      </c>
      <c r="B510" t="s">
        <v>1304</v>
      </c>
      <c r="C510" t="s">
        <v>292</v>
      </c>
      <c r="D510">
        <v>1</v>
      </c>
      <c r="E510" s="1">
        <v>45726</v>
      </c>
      <c r="F510" t="s">
        <v>580</v>
      </c>
      <c r="G510">
        <v>3</v>
      </c>
      <c r="H510" t="s">
        <v>578</v>
      </c>
      <c r="I510" t="s">
        <v>570</v>
      </c>
      <c r="J510" t="str">
        <f t="shared" si="21"/>
        <v>March</v>
      </c>
      <c r="K510" t="str">
        <f t="shared" si="22"/>
        <v>Q1</v>
      </c>
      <c r="L510">
        <f t="shared" si="23"/>
        <v>2025</v>
      </c>
    </row>
    <row r="511" spans="1:12" x14ac:dyDescent="0.3">
      <c r="A511" t="s">
        <v>1305</v>
      </c>
      <c r="B511" t="s">
        <v>1304</v>
      </c>
      <c r="C511" t="s">
        <v>292</v>
      </c>
      <c r="D511">
        <v>2</v>
      </c>
      <c r="E511" s="1">
        <v>45738</v>
      </c>
      <c r="F511" t="s">
        <v>586</v>
      </c>
      <c r="G511">
        <v>2</v>
      </c>
      <c r="H511" t="s">
        <v>569</v>
      </c>
      <c r="I511" t="s">
        <v>570</v>
      </c>
      <c r="J511" t="str">
        <f t="shared" si="21"/>
        <v>March</v>
      </c>
      <c r="K511" t="str">
        <f t="shared" si="22"/>
        <v>Q1</v>
      </c>
      <c r="L511">
        <f t="shared" si="23"/>
        <v>2025</v>
      </c>
    </row>
    <row r="512" spans="1:12" x14ac:dyDescent="0.3">
      <c r="A512" t="s">
        <v>1306</v>
      </c>
      <c r="B512" t="s">
        <v>1304</v>
      </c>
      <c r="C512" t="s">
        <v>292</v>
      </c>
      <c r="D512">
        <v>3</v>
      </c>
      <c r="E512" s="1">
        <v>45742</v>
      </c>
      <c r="F512" t="s">
        <v>572</v>
      </c>
      <c r="G512">
        <v>3</v>
      </c>
      <c r="H512" t="s">
        <v>578</v>
      </c>
      <c r="I512" t="s">
        <v>570</v>
      </c>
      <c r="J512" t="str">
        <f t="shared" si="21"/>
        <v>March</v>
      </c>
      <c r="K512" t="str">
        <f t="shared" si="22"/>
        <v>Q1</v>
      </c>
      <c r="L512">
        <f t="shared" si="23"/>
        <v>2025</v>
      </c>
    </row>
    <row r="513" spans="1:12" x14ac:dyDescent="0.3">
      <c r="A513" t="s">
        <v>1307</v>
      </c>
      <c r="B513" t="s">
        <v>1304</v>
      </c>
      <c r="C513" t="s">
        <v>292</v>
      </c>
      <c r="D513">
        <v>4</v>
      </c>
      <c r="E513" s="1">
        <v>45752</v>
      </c>
      <c r="F513" t="s">
        <v>580</v>
      </c>
      <c r="G513">
        <v>3</v>
      </c>
      <c r="H513" t="s">
        <v>578</v>
      </c>
      <c r="I513" t="s">
        <v>570</v>
      </c>
      <c r="J513" t="str">
        <f t="shared" si="21"/>
        <v>April</v>
      </c>
      <c r="K513" t="str">
        <f t="shared" si="22"/>
        <v>Q2</v>
      </c>
      <c r="L513">
        <f t="shared" si="23"/>
        <v>2025</v>
      </c>
    </row>
    <row r="514" spans="1:12" x14ac:dyDescent="0.3">
      <c r="A514" t="s">
        <v>1308</v>
      </c>
      <c r="B514" t="s">
        <v>1309</v>
      </c>
      <c r="C514" t="s">
        <v>37</v>
      </c>
      <c r="D514">
        <v>1</v>
      </c>
      <c r="E514" s="1">
        <v>45715</v>
      </c>
      <c r="F514" t="s">
        <v>572</v>
      </c>
      <c r="G514">
        <v>3</v>
      </c>
      <c r="H514" t="s">
        <v>578</v>
      </c>
      <c r="I514" t="s">
        <v>570</v>
      </c>
      <c r="J514" t="str">
        <f t="shared" ref="J514:J577" si="24">TEXT(E514,"mmmm")</f>
        <v>February</v>
      </c>
      <c r="K514" t="str">
        <f t="shared" ref="K514:K577" si="25">"Q"&amp;ROUNDUP(MONTH(E514)/3,0)</f>
        <v>Q1</v>
      </c>
      <c r="L514">
        <f t="shared" ref="L514:L577" si="26">YEAR(E514)</f>
        <v>2025</v>
      </c>
    </row>
    <row r="515" spans="1:12" x14ac:dyDescent="0.3">
      <c r="A515" t="s">
        <v>1310</v>
      </c>
      <c r="B515" t="s">
        <v>1309</v>
      </c>
      <c r="C515" t="s">
        <v>37</v>
      </c>
      <c r="D515">
        <v>2</v>
      </c>
      <c r="E515" s="1">
        <v>45724</v>
      </c>
      <c r="F515" t="s">
        <v>572</v>
      </c>
      <c r="G515">
        <v>2</v>
      </c>
      <c r="H515" t="s">
        <v>569</v>
      </c>
      <c r="I515" t="s">
        <v>570</v>
      </c>
      <c r="J515" t="str">
        <f t="shared" si="24"/>
        <v>March</v>
      </c>
      <c r="K515" t="str">
        <f t="shared" si="25"/>
        <v>Q1</v>
      </c>
      <c r="L515">
        <f t="shared" si="26"/>
        <v>2025</v>
      </c>
    </row>
    <row r="516" spans="1:12" x14ac:dyDescent="0.3">
      <c r="A516" t="s">
        <v>1311</v>
      </c>
      <c r="B516" t="s">
        <v>1309</v>
      </c>
      <c r="C516" t="s">
        <v>37</v>
      </c>
      <c r="D516">
        <v>3</v>
      </c>
      <c r="E516" s="1">
        <v>45731</v>
      </c>
      <c r="F516" t="s">
        <v>663</v>
      </c>
      <c r="G516">
        <v>1</v>
      </c>
      <c r="H516" t="s">
        <v>569</v>
      </c>
      <c r="I516" t="s">
        <v>570</v>
      </c>
      <c r="J516" t="str">
        <f t="shared" si="24"/>
        <v>March</v>
      </c>
      <c r="K516" t="str">
        <f t="shared" si="25"/>
        <v>Q1</v>
      </c>
      <c r="L516">
        <f t="shared" si="26"/>
        <v>2025</v>
      </c>
    </row>
    <row r="517" spans="1:12" x14ac:dyDescent="0.3">
      <c r="A517" t="s">
        <v>1312</v>
      </c>
      <c r="B517" t="s">
        <v>1313</v>
      </c>
      <c r="C517" t="s">
        <v>133</v>
      </c>
      <c r="D517">
        <v>1</v>
      </c>
      <c r="E517" s="1">
        <v>45695</v>
      </c>
      <c r="F517" t="s">
        <v>766</v>
      </c>
      <c r="G517">
        <v>4</v>
      </c>
      <c r="H517" t="s">
        <v>581</v>
      </c>
      <c r="I517" t="s">
        <v>570</v>
      </c>
      <c r="J517" t="str">
        <f t="shared" si="24"/>
        <v>February</v>
      </c>
      <c r="K517" t="str">
        <f t="shared" si="25"/>
        <v>Q1</v>
      </c>
      <c r="L517">
        <f t="shared" si="26"/>
        <v>2025</v>
      </c>
    </row>
    <row r="518" spans="1:12" x14ac:dyDescent="0.3">
      <c r="A518" t="s">
        <v>1314</v>
      </c>
      <c r="B518" t="s">
        <v>431</v>
      </c>
      <c r="C518" t="s">
        <v>73</v>
      </c>
      <c r="D518">
        <v>1</v>
      </c>
      <c r="E518" s="1">
        <v>45801</v>
      </c>
      <c r="F518" t="s">
        <v>621</v>
      </c>
      <c r="G518">
        <v>2</v>
      </c>
      <c r="H518" t="s">
        <v>569</v>
      </c>
      <c r="I518" t="s">
        <v>570</v>
      </c>
      <c r="J518" t="str">
        <f t="shared" si="24"/>
        <v>May</v>
      </c>
      <c r="K518" t="str">
        <f t="shared" si="25"/>
        <v>Q2</v>
      </c>
      <c r="L518">
        <f t="shared" si="26"/>
        <v>2025</v>
      </c>
    </row>
    <row r="519" spans="1:12" x14ac:dyDescent="0.3">
      <c r="A519" t="s">
        <v>1315</v>
      </c>
      <c r="B519" t="s">
        <v>431</v>
      </c>
      <c r="C519" t="s">
        <v>73</v>
      </c>
      <c r="D519">
        <v>2</v>
      </c>
      <c r="E519" s="1">
        <v>45813</v>
      </c>
      <c r="F519" t="s">
        <v>743</v>
      </c>
      <c r="G519">
        <v>4</v>
      </c>
      <c r="H519" t="s">
        <v>581</v>
      </c>
      <c r="I519" t="s">
        <v>570</v>
      </c>
      <c r="J519" t="str">
        <f t="shared" si="24"/>
        <v>June</v>
      </c>
      <c r="K519" t="str">
        <f t="shared" si="25"/>
        <v>Q2</v>
      </c>
      <c r="L519">
        <f t="shared" si="26"/>
        <v>2025</v>
      </c>
    </row>
    <row r="520" spans="1:12" x14ac:dyDescent="0.3">
      <c r="A520" t="s">
        <v>1316</v>
      </c>
      <c r="B520" t="s">
        <v>431</v>
      </c>
      <c r="C520" t="s">
        <v>73</v>
      </c>
      <c r="D520">
        <v>3</v>
      </c>
      <c r="E520" s="1">
        <v>45825</v>
      </c>
      <c r="F520" t="s">
        <v>743</v>
      </c>
      <c r="G520">
        <v>4</v>
      </c>
      <c r="H520" t="s">
        <v>581</v>
      </c>
      <c r="I520" t="s">
        <v>570</v>
      </c>
      <c r="J520" t="str">
        <f t="shared" si="24"/>
        <v>June</v>
      </c>
      <c r="K520" t="str">
        <f t="shared" si="25"/>
        <v>Q2</v>
      </c>
      <c r="L520">
        <f t="shared" si="26"/>
        <v>2025</v>
      </c>
    </row>
    <row r="521" spans="1:12" x14ac:dyDescent="0.3">
      <c r="A521" t="s">
        <v>1317</v>
      </c>
      <c r="B521" t="s">
        <v>1318</v>
      </c>
      <c r="C521" t="s">
        <v>240</v>
      </c>
      <c r="D521">
        <v>1</v>
      </c>
      <c r="E521" s="1">
        <v>45962</v>
      </c>
      <c r="F521" t="s">
        <v>663</v>
      </c>
      <c r="G521">
        <v>1</v>
      </c>
      <c r="H521" t="s">
        <v>569</v>
      </c>
      <c r="I521" t="s">
        <v>570</v>
      </c>
      <c r="J521" t="str">
        <f t="shared" si="24"/>
        <v>November</v>
      </c>
      <c r="K521" t="str">
        <f t="shared" si="25"/>
        <v>Q4</v>
      </c>
      <c r="L521">
        <f t="shared" si="26"/>
        <v>2025</v>
      </c>
    </row>
    <row r="522" spans="1:12" x14ac:dyDescent="0.3">
      <c r="A522" t="s">
        <v>1319</v>
      </c>
      <c r="B522" t="s">
        <v>1320</v>
      </c>
      <c r="C522" t="s">
        <v>326</v>
      </c>
      <c r="D522">
        <v>1</v>
      </c>
      <c r="E522" s="1">
        <v>45768</v>
      </c>
      <c r="F522" t="s">
        <v>572</v>
      </c>
      <c r="G522">
        <v>3</v>
      </c>
      <c r="H522" t="s">
        <v>578</v>
      </c>
      <c r="I522" t="s">
        <v>570</v>
      </c>
      <c r="J522" t="str">
        <f t="shared" si="24"/>
        <v>April</v>
      </c>
      <c r="K522" t="str">
        <f t="shared" si="25"/>
        <v>Q2</v>
      </c>
      <c r="L522">
        <f t="shared" si="26"/>
        <v>2025</v>
      </c>
    </row>
    <row r="523" spans="1:12" x14ac:dyDescent="0.3">
      <c r="A523" t="s">
        <v>1321</v>
      </c>
      <c r="B523" t="s">
        <v>1320</v>
      </c>
      <c r="C523" t="s">
        <v>326</v>
      </c>
      <c r="D523">
        <v>2</v>
      </c>
      <c r="E523" s="1">
        <v>45772</v>
      </c>
      <c r="F523" t="s">
        <v>596</v>
      </c>
      <c r="G523">
        <v>2</v>
      </c>
      <c r="H523" t="s">
        <v>569</v>
      </c>
      <c r="I523" t="s">
        <v>570</v>
      </c>
      <c r="J523" t="str">
        <f t="shared" si="24"/>
        <v>April</v>
      </c>
      <c r="K523" t="str">
        <f t="shared" si="25"/>
        <v>Q2</v>
      </c>
      <c r="L523">
        <f t="shared" si="26"/>
        <v>2025</v>
      </c>
    </row>
    <row r="524" spans="1:12" x14ac:dyDescent="0.3">
      <c r="A524" t="s">
        <v>1322</v>
      </c>
      <c r="B524" t="s">
        <v>1320</v>
      </c>
      <c r="C524" t="s">
        <v>326</v>
      </c>
      <c r="D524">
        <v>3</v>
      </c>
      <c r="E524" s="1">
        <v>45776</v>
      </c>
      <c r="F524" t="s">
        <v>577</v>
      </c>
      <c r="G524">
        <v>1</v>
      </c>
      <c r="H524" t="s">
        <v>569</v>
      </c>
      <c r="I524" t="s">
        <v>570</v>
      </c>
      <c r="J524" t="str">
        <f t="shared" si="24"/>
        <v>April</v>
      </c>
      <c r="K524" t="str">
        <f t="shared" si="25"/>
        <v>Q2</v>
      </c>
      <c r="L524">
        <f t="shared" si="26"/>
        <v>2025</v>
      </c>
    </row>
    <row r="525" spans="1:12" x14ac:dyDescent="0.3">
      <c r="A525" t="s">
        <v>1323</v>
      </c>
      <c r="B525" t="s">
        <v>1324</v>
      </c>
      <c r="C525" t="s">
        <v>191</v>
      </c>
      <c r="D525">
        <v>1</v>
      </c>
      <c r="E525" s="1">
        <v>45664</v>
      </c>
      <c r="G525">
        <v>2</v>
      </c>
      <c r="H525" t="s">
        <v>569</v>
      </c>
      <c r="I525" t="s">
        <v>570</v>
      </c>
      <c r="J525" t="str">
        <f t="shared" si="24"/>
        <v>January</v>
      </c>
      <c r="K525" t="str">
        <f t="shared" si="25"/>
        <v>Q1</v>
      </c>
      <c r="L525">
        <f t="shared" si="26"/>
        <v>2025</v>
      </c>
    </row>
    <row r="526" spans="1:12" x14ac:dyDescent="0.3">
      <c r="A526" t="s">
        <v>1325</v>
      </c>
      <c r="B526" t="s">
        <v>1324</v>
      </c>
      <c r="C526" t="s">
        <v>191</v>
      </c>
      <c r="D526">
        <v>2</v>
      </c>
      <c r="E526" s="1">
        <v>45672</v>
      </c>
      <c r="F526" t="s">
        <v>741</v>
      </c>
      <c r="G526">
        <v>1</v>
      </c>
      <c r="H526" t="s">
        <v>569</v>
      </c>
      <c r="I526" t="s">
        <v>570</v>
      </c>
      <c r="J526" t="str">
        <f t="shared" si="24"/>
        <v>January</v>
      </c>
      <c r="K526" t="str">
        <f t="shared" si="25"/>
        <v>Q1</v>
      </c>
      <c r="L526">
        <f t="shared" si="26"/>
        <v>2025</v>
      </c>
    </row>
    <row r="527" spans="1:12" x14ac:dyDescent="0.3">
      <c r="A527" t="s">
        <v>1326</v>
      </c>
      <c r="B527" t="s">
        <v>229</v>
      </c>
      <c r="C527" t="s">
        <v>133</v>
      </c>
      <c r="D527">
        <v>1</v>
      </c>
      <c r="E527" s="1">
        <v>45697</v>
      </c>
      <c r="F527" t="s">
        <v>584</v>
      </c>
      <c r="G527">
        <v>3</v>
      </c>
      <c r="H527" t="s">
        <v>578</v>
      </c>
      <c r="I527" t="s">
        <v>570</v>
      </c>
      <c r="J527" t="str">
        <f t="shared" si="24"/>
        <v>February</v>
      </c>
      <c r="K527" t="str">
        <f t="shared" si="25"/>
        <v>Q1</v>
      </c>
      <c r="L527">
        <f t="shared" si="26"/>
        <v>2025</v>
      </c>
    </row>
    <row r="528" spans="1:12" x14ac:dyDescent="0.3">
      <c r="A528" t="s">
        <v>1327</v>
      </c>
      <c r="B528" t="s">
        <v>229</v>
      </c>
      <c r="C528" t="s">
        <v>133</v>
      </c>
      <c r="D528">
        <v>2</v>
      </c>
      <c r="E528" s="1">
        <v>45706</v>
      </c>
      <c r="F528" t="s">
        <v>625</v>
      </c>
      <c r="G528">
        <v>4</v>
      </c>
      <c r="H528" t="s">
        <v>581</v>
      </c>
      <c r="I528" t="s">
        <v>570</v>
      </c>
      <c r="J528" t="str">
        <f t="shared" si="24"/>
        <v>February</v>
      </c>
      <c r="K528" t="str">
        <f t="shared" si="25"/>
        <v>Q1</v>
      </c>
      <c r="L528">
        <f t="shared" si="26"/>
        <v>2025</v>
      </c>
    </row>
    <row r="529" spans="1:12" x14ac:dyDescent="0.3">
      <c r="A529" t="s">
        <v>1328</v>
      </c>
      <c r="B529" t="s">
        <v>229</v>
      </c>
      <c r="C529" t="s">
        <v>133</v>
      </c>
      <c r="D529">
        <v>3</v>
      </c>
      <c r="E529" s="1">
        <v>45712</v>
      </c>
      <c r="F529" t="s">
        <v>584</v>
      </c>
      <c r="G529">
        <v>3</v>
      </c>
      <c r="H529" t="s">
        <v>578</v>
      </c>
      <c r="I529" t="s">
        <v>597</v>
      </c>
      <c r="J529" t="str">
        <f t="shared" si="24"/>
        <v>February</v>
      </c>
      <c r="K529" t="str">
        <f t="shared" si="25"/>
        <v>Q1</v>
      </c>
      <c r="L529">
        <f t="shared" si="26"/>
        <v>2025</v>
      </c>
    </row>
    <row r="530" spans="1:12" x14ac:dyDescent="0.3">
      <c r="A530" t="s">
        <v>1329</v>
      </c>
      <c r="B530" t="s">
        <v>229</v>
      </c>
      <c r="C530" t="s">
        <v>133</v>
      </c>
      <c r="D530">
        <v>4</v>
      </c>
      <c r="E530" s="1">
        <v>45720</v>
      </c>
      <c r="F530" t="s">
        <v>766</v>
      </c>
      <c r="G530">
        <v>4</v>
      </c>
      <c r="H530" t="s">
        <v>581</v>
      </c>
      <c r="I530" t="s">
        <v>570</v>
      </c>
      <c r="J530" t="str">
        <f t="shared" si="24"/>
        <v>March</v>
      </c>
      <c r="K530" t="str">
        <f t="shared" si="25"/>
        <v>Q1</v>
      </c>
      <c r="L530">
        <f t="shared" si="26"/>
        <v>2025</v>
      </c>
    </row>
    <row r="531" spans="1:12" x14ac:dyDescent="0.3">
      <c r="A531" t="s">
        <v>1330</v>
      </c>
      <c r="B531" t="s">
        <v>1331</v>
      </c>
      <c r="C531" t="s">
        <v>201</v>
      </c>
      <c r="D531">
        <v>1</v>
      </c>
      <c r="E531" s="1">
        <v>45965</v>
      </c>
      <c r="F531" t="s">
        <v>572</v>
      </c>
      <c r="G531">
        <v>1</v>
      </c>
      <c r="H531" t="s">
        <v>569</v>
      </c>
      <c r="I531" t="s">
        <v>570</v>
      </c>
      <c r="J531" t="str">
        <f t="shared" si="24"/>
        <v>November</v>
      </c>
      <c r="K531" t="str">
        <f t="shared" si="25"/>
        <v>Q4</v>
      </c>
      <c r="L531">
        <f t="shared" si="26"/>
        <v>2025</v>
      </c>
    </row>
    <row r="532" spans="1:12" x14ac:dyDescent="0.3">
      <c r="A532" t="s">
        <v>1332</v>
      </c>
      <c r="B532" t="s">
        <v>1331</v>
      </c>
      <c r="C532" t="s">
        <v>201</v>
      </c>
      <c r="D532">
        <v>2</v>
      </c>
      <c r="E532" s="1">
        <v>45977</v>
      </c>
      <c r="F532" t="s">
        <v>572</v>
      </c>
      <c r="G532">
        <v>3</v>
      </c>
      <c r="H532" t="s">
        <v>578</v>
      </c>
      <c r="I532" t="s">
        <v>570</v>
      </c>
      <c r="J532" t="str">
        <f t="shared" si="24"/>
        <v>November</v>
      </c>
      <c r="K532" t="str">
        <f t="shared" si="25"/>
        <v>Q4</v>
      </c>
      <c r="L532">
        <f t="shared" si="26"/>
        <v>2025</v>
      </c>
    </row>
    <row r="533" spans="1:12" x14ac:dyDescent="0.3">
      <c r="A533" t="s">
        <v>1333</v>
      </c>
      <c r="B533" t="s">
        <v>110</v>
      </c>
      <c r="C533" t="s">
        <v>58</v>
      </c>
      <c r="D533">
        <v>1</v>
      </c>
      <c r="E533" s="1">
        <v>45815</v>
      </c>
      <c r="F533" t="s">
        <v>625</v>
      </c>
      <c r="G533">
        <v>3</v>
      </c>
      <c r="H533" t="s">
        <v>578</v>
      </c>
      <c r="I533" t="s">
        <v>570</v>
      </c>
      <c r="J533" t="str">
        <f t="shared" si="24"/>
        <v>June</v>
      </c>
      <c r="K533" t="str">
        <f t="shared" si="25"/>
        <v>Q2</v>
      </c>
      <c r="L533">
        <f t="shared" si="26"/>
        <v>2025</v>
      </c>
    </row>
    <row r="534" spans="1:12" x14ac:dyDescent="0.3">
      <c r="A534" t="s">
        <v>1334</v>
      </c>
      <c r="B534" t="s">
        <v>110</v>
      </c>
      <c r="C534" t="s">
        <v>58</v>
      </c>
      <c r="D534">
        <v>2</v>
      </c>
      <c r="E534" s="1">
        <v>45825</v>
      </c>
      <c r="F534" t="s">
        <v>603</v>
      </c>
      <c r="G534">
        <v>4</v>
      </c>
      <c r="H534" t="s">
        <v>581</v>
      </c>
      <c r="I534" t="s">
        <v>570</v>
      </c>
      <c r="J534" t="str">
        <f t="shared" si="24"/>
        <v>June</v>
      </c>
      <c r="K534" t="str">
        <f t="shared" si="25"/>
        <v>Q2</v>
      </c>
      <c r="L534">
        <f t="shared" si="26"/>
        <v>2025</v>
      </c>
    </row>
    <row r="535" spans="1:12" x14ac:dyDescent="0.3">
      <c r="A535" t="s">
        <v>1335</v>
      </c>
      <c r="B535" t="s">
        <v>1336</v>
      </c>
      <c r="C535" t="s">
        <v>51</v>
      </c>
      <c r="D535">
        <v>1</v>
      </c>
      <c r="E535" s="1">
        <v>45960</v>
      </c>
      <c r="F535" t="s">
        <v>663</v>
      </c>
      <c r="G535">
        <v>1</v>
      </c>
      <c r="H535" t="s">
        <v>569</v>
      </c>
      <c r="I535" t="s">
        <v>570</v>
      </c>
      <c r="J535" t="str">
        <f t="shared" si="24"/>
        <v>October</v>
      </c>
      <c r="K535" t="str">
        <f t="shared" si="25"/>
        <v>Q4</v>
      </c>
      <c r="L535">
        <f t="shared" si="26"/>
        <v>2025</v>
      </c>
    </row>
    <row r="536" spans="1:12" x14ac:dyDescent="0.3">
      <c r="A536" t="s">
        <v>1337</v>
      </c>
      <c r="B536" t="s">
        <v>215</v>
      </c>
      <c r="C536" t="s">
        <v>10</v>
      </c>
      <c r="D536">
        <v>1</v>
      </c>
      <c r="E536" s="1">
        <v>45922</v>
      </c>
      <c r="F536" t="s">
        <v>663</v>
      </c>
      <c r="G536">
        <v>3</v>
      </c>
      <c r="H536" t="s">
        <v>578</v>
      </c>
      <c r="I536" t="s">
        <v>570</v>
      </c>
      <c r="J536" t="str">
        <f t="shared" si="24"/>
        <v>September</v>
      </c>
      <c r="K536" t="str">
        <f t="shared" si="25"/>
        <v>Q3</v>
      </c>
      <c r="L536">
        <f t="shared" si="26"/>
        <v>2025</v>
      </c>
    </row>
    <row r="537" spans="1:12" x14ac:dyDescent="0.3">
      <c r="A537" t="s">
        <v>1338</v>
      </c>
      <c r="B537" t="s">
        <v>215</v>
      </c>
      <c r="C537" t="s">
        <v>10</v>
      </c>
      <c r="D537">
        <v>2</v>
      </c>
      <c r="E537" s="1">
        <v>45934</v>
      </c>
      <c r="F537" t="s">
        <v>586</v>
      </c>
      <c r="G537">
        <v>3</v>
      </c>
      <c r="H537" t="s">
        <v>578</v>
      </c>
      <c r="I537" t="s">
        <v>570</v>
      </c>
      <c r="J537" t="str">
        <f t="shared" si="24"/>
        <v>October</v>
      </c>
      <c r="K537" t="str">
        <f t="shared" si="25"/>
        <v>Q4</v>
      </c>
      <c r="L537">
        <f t="shared" si="26"/>
        <v>2025</v>
      </c>
    </row>
    <row r="538" spans="1:12" x14ac:dyDescent="0.3">
      <c r="A538" t="s">
        <v>1339</v>
      </c>
      <c r="B538" t="s">
        <v>215</v>
      </c>
      <c r="C538" t="s">
        <v>10</v>
      </c>
      <c r="D538">
        <v>3</v>
      </c>
      <c r="E538" s="1">
        <v>45943</v>
      </c>
      <c r="F538" t="s">
        <v>572</v>
      </c>
      <c r="G538">
        <v>4</v>
      </c>
      <c r="H538" t="s">
        <v>581</v>
      </c>
      <c r="I538" t="s">
        <v>570</v>
      </c>
      <c r="J538" t="str">
        <f t="shared" si="24"/>
        <v>October</v>
      </c>
      <c r="K538" t="str">
        <f t="shared" si="25"/>
        <v>Q4</v>
      </c>
      <c r="L538">
        <f t="shared" si="26"/>
        <v>2025</v>
      </c>
    </row>
    <row r="539" spans="1:12" x14ac:dyDescent="0.3">
      <c r="A539" t="s">
        <v>1340</v>
      </c>
      <c r="B539" t="s">
        <v>1341</v>
      </c>
      <c r="C539" t="s">
        <v>85</v>
      </c>
      <c r="D539">
        <v>1</v>
      </c>
      <c r="E539" s="1">
        <v>45849</v>
      </c>
      <c r="F539" t="s">
        <v>663</v>
      </c>
      <c r="G539">
        <v>1</v>
      </c>
      <c r="H539" t="s">
        <v>569</v>
      </c>
      <c r="I539" t="s">
        <v>570</v>
      </c>
      <c r="J539" t="str">
        <f t="shared" si="24"/>
        <v>July</v>
      </c>
      <c r="K539" t="str">
        <f t="shared" si="25"/>
        <v>Q3</v>
      </c>
      <c r="L539">
        <f t="shared" si="26"/>
        <v>2025</v>
      </c>
    </row>
    <row r="540" spans="1:12" x14ac:dyDescent="0.3">
      <c r="A540" t="s">
        <v>1342</v>
      </c>
      <c r="B540" t="s">
        <v>1341</v>
      </c>
      <c r="C540" t="s">
        <v>85</v>
      </c>
      <c r="D540">
        <v>2</v>
      </c>
      <c r="E540" s="1">
        <v>45861</v>
      </c>
      <c r="F540" t="s">
        <v>580</v>
      </c>
      <c r="G540">
        <v>1</v>
      </c>
      <c r="H540" t="s">
        <v>569</v>
      </c>
      <c r="I540" t="s">
        <v>570</v>
      </c>
      <c r="J540" t="str">
        <f t="shared" si="24"/>
        <v>July</v>
      </c>
      <c r="K540" t="str">
        <f t="shared" si="25"/>
        <v>Q3</v>
      </c>
      <c r="L540">
        <f t="shared" si="26"/>
        <v>2025</v>
      </c>
    </row>
    <row r="541" spans="1:12" x14ac:dyDescent="0.3">
      <c r="A541" t="s">
        <v>1343</v>
      </c>
      <c r="B541" t="s">
        <v>1341</v>
      </c>
      <c r="C541" t="s">
        <v>85</v>
      </c>
      <c r="D541">
        <v>3</v>
      </c>
      <c r="E541" s="1">
        <v>45869</v>
      </c>
      <c r="F541" t="s">
        <v>586</v>
      </c>
      <c r="G541">
        <v>1</v>
      </c>
      <c r="H541" t="s">
        <v>569</v>
      </c>
      <c r="I541" t="s">
        <v>570</v>
      </c>
      <c r="J541" t="str">
        <f t="shared" si="24"/>
        <v>July</v>
      </c>
      <c r="K541" t="str">
        <f t="shared" si="25"/>
        <v>Q3</v>
      </c>
      <c r="L541">
        <f t="shared" si="26"/>
        <v>2025</v>
      </c>
    </row>
    <row r="542" spans="1:12" x14ac:dyDescent="0.3">
      <c r="A542" t="s">
        <v>1344</v>
      </c>
      <c r="B542" t="s">
        <v>1345</v>
      </c>
      <c r="C542" t="s">
        <v>96</v>
      </c>
      <c r="D542">
        <v>1</v>
      </c>
      <c r="E542" s="1">
        <v>45883</v>
      </c>
      <c r="F542" t="s">
        <v>605</v>
      </c>
      <c r="G542">
        <v>1</v>
      </c>
      <c r="H542" t="s">
        <v>569</v>
      </c>
      <c r="I542" t="s">
        <v>570</v>
      </c>
      <c r="J542" t="str">
        <f t="shared" si="24"/>
        <v>August</v>
      </c>
      <c r="K542" t="str">
        <f t="shared" si="25"/>
        <v>Q3</v>
      </c>
      <c r="L542">
        <f t="shared" si="26"/>
        <v>2025</v>
      </c>
    </row>
    <row r="543" spans="1:12" x14ac:dyDescent="0.3">
      <c r="A543" t="s">
        <v>1346</v>
      </c>
      <c r="B543" t="s">
        <v>1345</v>
      </c>
      <c r="C543" t="s">
        <v>96</v>
      </c>
      <c r="D543">
        <v>2</v>
      </c>
      <c r="E543" s="1">
        <v>45893</v>
      </c>
      <c r="F543" t="s">
        <v>577</v>
      </c>
      <c r="G543">
        <v>2</v>
      </c>
      <c r="H543" t="s">
        <v>569</v>
      </c>
      <c r="I543" t="s">
        <v>570</v>
      </c>
      <c r="J543" t="str">
        <f t="shared" si="24"/>
        <v>August</v>
      </c>
      <c r="K543" t="str">
        <f t="shared" si="25"/>
        <v>Q3</v>
      </c>
      <c r="L543">
        <f t="shared" si="26"/>
        <v>2025</v>
      </c>
    </row>
    <row r="544" spans="1:12" x14ac:dyDescent="0.3">
      <c r="A544" t="s">
        <v>1347</v>
      </c>
      <c r="B544" t="s">
        <v>1348</v>
      </c>
      <c r="C544" t="s">
        <v>195</v>
      </c>
      <c r="D544">
        <v>1</v>
      </c>
      <c r="E544" s="1">
        <v>45859</v>
      </c>
      <c r="F544" t="s">
        <v>575</v>
      </c>
      <c r="G544">
        <v>1</v>
      </c>
      <c r="H544" t="s">
        <v>569</v>
      </c>
      <c r="I544" t="s">
        <v>570</v>
      </c>
      <c r="J544" t="str">
        <f t="shared" si="24"/>
        <v>July</v>
      </c>
      <c r="K544" t="str">
        <f t="shared" si="25"/>
        <v>Q3</v>
      </c>
      <c r="L544">
        <f t="shared" si="26"/>
        <v>2025</v>
      </c>
    </row>
    <row r="545" spans="1:12" x14ac:dyDescent="0.3">
      <c r="A545" t="s">
        <v>1349</v>
      </c>
      <c r="B545" t="s">
        <v>1350</v>
      </c>
      <c r="C545" t="s">
        <v>27</v>
      </c>
      <c r="D545">
        <v>1</v>
      </c>
      <c r="E545" s="1">
        <v>45889</v>
      </c>
      <c r="F545" t="s">
        <v>592</v>
      </c>
      <c r="G545">
        <v>4</v>
      </c>
      <c r="H545" t="s">
        <v>581</v>
      </c>
      <c r="I545" t="s">
        <v>570</v>
      </c>
      <c r="J545" t="str">
        <f t="shared" si="24"/>
        <v>August</v>
      </c>
      <c r="K545" t="str">
        <f t="shared" si="25"/>
        <v>Q3</v>
      </c>
      <c r="L545">
        <f t="shared" si="26"/>
        <v>2025</v>
      </c>
    </row>
    <row r="546" spans="1:12" x14ac:dyDescent="0.3">
      <c r="A546" t="s">
        <v>1351</v>
      </c>
      <c r="B546" t="s">
        <v>1350</v>
      </c>
      <c r="C546" t="s">
        <v>27</v>
      </c>
      <c r="D546">
        <v>2</v>
      </c>
      <c r="E546" s="1">
        <v>45895</v>
      </c>
      <c r="F546" t="s">
        <v>629</v>
      </c>
      <c r="G546">
        <v>3</v>
      </c>
      <c r="H546" t="s">
        <v>578</v>
      </c>
      <c r="I546" t="s">
        <v>570</v>
      </c>
      <c r="J546" t="str">
        <f t="shared" si="24"/>
        <v>August</v>
      </c>
      <c r="K546" t="str">
        <f t="shared" si="25"/>
        <v>Q3</v>
      </c>
      <c r="L546">
        <f t="shared" si="26"/>
        <v>2025</v>
      </c>
    </row>
    <row r="547" spans="1:12" x14ac:dyDescent="0.3">
      <c r="A547" t="s">
        <v>1352</v>
      </c>
      <c r="B547" t="s">
        <v>1350</v>
      </c>
      <c r="C547" t="s">
        <v>27</v>
      </c>
      <c r="D547">
        <v>3</v>
      </c>
      <c r="E547" s="1">
        <v>45902</v>
      </c>
      <c r="F547" t="s">
        <v>766</v>
      </c>
      <c r="G547">
        <v>4</v>
      </c>
      <c r="H547" t="s">
        <v>581</v>
      </c>
      <c r="I547" t="s">
        <v>570</v>
      </c>
      <c r="J547" t="str">
        <f t="shared" si="24"/>
        <v>September</v>
      </c>
      <c r="K547" t="str">
        <f t="shared" si="25"/>
        <v>Q3</v>
      </c>
      <c r="L547">
        <f t="shared" si="26"/>
        <v>2025</v>
      </c>
    </row>
    <row r="548" spans="1:12" x14ac:dyDescent="0.3">
      <c r="A548" t="s">
        <v>1353</v>
      </c>
      <c r="B548" t="s">
        <v>200</v>
      </c>
      <c r="C548" t="s">
        <v>201</v>
      </c>
      <c r="D548">
        <v>1</v>
      </c>
      <c r="E548" s="1">
        <v>45968</v>
      </c>
      <c r="F548" t="s">
        <v>625</v>
      </c>
      <c r="G548">
        <v>4</v>
      </c>
      <c r="H548" t="s">
        <v>581</v>
      </c>
      <c r="I548" t="s">
        <v>570</v>
      </c>
      <c r="J548" t="str">
        <f t="shared" si="24"/>
        <v>November</v>
      </c>
      <c r="K548" t="str">
        <f t="shared" si="25"/>
        <v>Q4</v>
      </c>
      <c r="L548">
        <f t="shared" si="26"/>
        <v>2025</v>
      </c>
    </row>
    <row r="549" spans="1:12" x14ac:dyDescent="0.3">
      <c r="A549" t="s">
        <v>1354</v>
      </c>
      <c r="B549" t="s">
        <v>1355</v>
      </c>
      <c r="C549" t="s">
        <v>45</v>
      </c>
      <c r="D549">
        <v>1</v>
      </c>
      <c r="E549" s="1">
        <v>45863</v>
      </c>
      <c r="F549" t="s">
        <v>638</v>
      </c>
      <c r="G549">
        <v>1</v>
      </c>
      <c r="H549" t="s">
        <v>569</v>
      </c>
      <c r="I549" t="s">
        <v>570</v>
      </c>
      <c r="J549" t="str">
        <f t="shared" si="24"/>
        <v>July</v>
      </c>
      <c r="K549" t="str">
        <f t="shared" si="25"/>
        <v>Q3</v>
      </c>
      <c r="L549">
        <f t="shared" si="26"/>
        <v>2025</v>
      </c>
    </row>
    <row r="550" spans="1:12" x14ac:dyDescent="0.3">
      <c r="A550" t="s">
        <v>1356</v>
      </c>
      <c r="B550" t="s">
        <v>1355</v>
      </c>
      <c r="C550" t="s">
        <v>45</v>
      </c>
      <c r="D550">
        <v>2</v>
      </c>
      <c r="E550" s="1">
        <v>45870</v>
      </c>
      <c r="F550" t="s">
        <v>741</v>
      </c>
      <c r="G550">
        <v>3</v>
      </c>
      <c r="H550" t="s">
        <v>578</v>
      </c>
      <c r="I550" t="s">
        <v>570</v>
      </c>
      <c r="J550" t="str">
        <f t="shared" si="24"/>
        <v>August</v>
      </c>
      <c r="K550" t="str">
        <f t="shared" si="25"/>
        <v>Q3</v>
      </c>
      <c r="L550">
        <f t="shared" si="26"/>
        <v>2025</v>
      </c>
    </row>
    <row r="551" spans="1:12" x14ac:dyDescent="0.3">
      <c r="A551" t="s">
        <v>1357</v>
      </c>
      <c r="B551" t="s">
        <v>1355</v>
      </c>
      <c r="C551" t="s">
        <v>45</v>
      </c>
      <c r="D551">
        <v>3</v>
      </c>
      <c r="E551" s="1">
        <v>45877</v>
      </c>
      <c r="F551" t="s">
        <v>590</v>
      </c>
      <c r="G551">
        <v>3</v>
      </c>
      <c r="H551" t="s">
        <v>578</v>
      </c>
      <c r="I551" t="s">
        <v>570</v>
      </c>
      <c r="J551" t="str">
        <f t="shared" si="24"/>
        <v>August</v>
      </c>
      <c r="K551" t="str">
        <f t="shared" si="25"/>
        <v>Q3</v>
      </c>
      <c r="L551">
        <f t="shared" si="26"/>
        <v>2025</v>
      </c>
    </row>
    <row r="552" spans="1:12" x14ac:dyDescent="0.3">
      <c r="A552" t="s">
        <v>1358</v>
      </c>
      <c r="B552" t="s">
        <v>1355</v>
      </c>
      <c r="C552" t="s">
        <v>45</v>
      </c>
      <c r="D552">
        <v>4</v>
      </c>
      <c r="E552" s="1">
        <v>45886</v>
      </c>
      <c r="F552" t="s">
        <v>590</v>
      </c>
      <c r="G552">
        <v>2</v>
      </c>
      <c r="H552" t="s">
        <v>569</v>
      </c>
      <c r="I552" t="s">
        <v>570</v>
      </c>
      <c r="J552" t="str">
        <f t="shared" si="24"/>
        <v>August</v>
      </c>
      <c r="K552" t="str">
        <f t="shared" si="25"/>
        <v>Q3</v>
      </c>
      <c r="L552">
        <f t="shared" si="26"/>
        <v>2025</v>
      </c>
    </row>
    <row r="553" spans="1:12" x14ac:dyDescent="0.3">
      <c r="A553" t="s">
        <v>1359</v>
      </c>
      <c r="B553" t="s">
        <v>1360</v>
      </c>
      <c r="C553" t="s">
        <v>542</v>
      </c>
      <c r="D553">
        <v>1</v>
      </c>
      <c r="E553" s="1">
        <v>45805</v>
      </c>
      <c r="F553" t="s">
        <v>580</v>
      </c>
      <c r="G553">
        <v>2</v>
      </c>
      <c r="H553" t="s">
        <v>569</v>
      </c>
      <c r="I553" t="s">
        <v>570</v>
      </c>
      <c r="J553" t="str">
        <f t="shared" si="24"/>
        <v>May</v>
      </c>
      <c r="K553" t="str">
        <f t="shared" si="25"/>
        <v>Q2</v>
      </c>
      <c r="L553">
        <f t="shared" si="26"/>
        <v>2025</v>
      </c>
    </row>
    <row r="554" spans="1:12" x14ac:dyDescent="0.3">
      <c r="A554" t="s">
        <v>1361</v>
      </c>
      <c r="B554" t="s">
        <v>1360</v>
      </c>
      <c r="C554" t="s">
        <v>542</v>
      </c>
      <c r="D554">
        <v>2</v>
      </c>
      <c r="E554" s="1">
        <v>45810</v>
      </c>
      <c r="G554">
        <v>3</v>
      </c>
      <c r="H554" t="s">
        <v>578</v>
      </c>
      <c r="I554" t="s">
        <v>570</v>
      </c>
      <c r="J554" t="str">
        <f t="shared" si="24"/>
        <v>June</v>
      </c>
      <c r="K554" t="str">
        <f t="shared" si="25"/>
        <v>Q2</v>
      </c>
      <c r="L554">
        <f t="shared" si="26"/>
        <v>2025</v>
      </c>
    </row>
    <row r="555" spans="1:12" x14ac:dyDescent="0.3">
      <c r="A555" t="s">
        <v>1362</v>
      </c>
      <c r="B555" t="s">
        <v>1360</v>
      </c>
      <c r="C555" t="s">
        <v>542</v>
      </c>
      <c r="D555">
        <v>3</v>
      </c>
      <c r="E555" s="1">
        <v>45819</v>
      </c>
      <c r="F555" t="s">
        <v>766</v>
      </c>
      <c r="G555">
        <v>3</v>
      </c>
      <c r="H555" t="s">
        <v>578</v>
      </c>
      <c r="I555" t="s">
        <v>570</v>
      </c>
      <c r="J555" t="str">
        <f t="shared" si="24"/>
        <v>June</v>
      </c>
      <c r="K555" t="str">
        <f t="shared" si="25"/>
        <v>Q2</v>
      </c>
      <c r="L555">
        <f t="shared" si="26"/>
        <v>2025</v>
      </c>
    </row>
    <row r="556" spans="1:12" x14ac:dyDescent="0.3">
      <c r="A556" t="s">
        <v>1363</v>
      </c>
      <c r="B556" t="s">
        <v>1364</v>
      </c>
      <c r="C556" t="s">
        <v>85</v>
      </c>
      <c r="D556">
        <v>1</v>
      </c>
      <c r="E556" s="1">
        <v>45847</v>
      </c>
      <c r="F556" t="s">
        <v>572</v>
      </c>
      <c r="G556">
        <v>4</v>
      </c>
      <c r="H556" t="s">
        <v>581</v>
      </c>
      <c r="I556" t="s">
        <v>570</v>
      </c>
      <c r="J556" t="str">
        <f t="shared" si="24"/>
        <v>July</v>
      </c>
      <c r="K556" t="str">
        <f t="shared" si="25"/>
        <v>Q3</v>
      </c>
      <c r="L556">
        <f t="shared" si="26"/>
        <v>2025</v>
      </c>
    </row>
    <row r="557" spans="1:12" x14ac:dyDescent="0.3">
      <c r="A557" t="s">
        <v>1365</v>
      </c>
      <c r="B557" t="s">
        <v>1364</v>
      </c>
      <c r="C557" t="s">
        <v>85</v>
      </c>
      <c r="D557">
        <v>2</v>
      </c>
      <c r="E557" s="1">
        <v>45851</v>
      </c>
      <c r="F557" t="s">
        <v>580</v>
      </c>
      <c r="G557">
        <v>3</v>
      </c>
      <c r="H557" t="s">
        <v>578</v>
      </c>
      <c r="I557" t="s">
        <v>570</v>
      </c>
      <c r="J557" t="str">
        <f t="shared" si="24"/>
        <v>July</v>
      </c>
      <c r="K557" t="str">
        <f t="shared" si="25"/>
        <v>Q3</v>
      </c>
      <c r="L557">
        <f t="shared" si="26"/>
        <v>2025</v>
      </c>
    </row>
    <row r="558" spans="1:12" x14ac:dyDescent="0.3">
      <c r="A558" t="s">
        <v>1366</v>
      </c>
      <c r="B558" t="s">
        <v>203</v>
      </c>
      <c r="C558" t="s">
        <v>156</v>
      </c>
      <c r="D558">
        <v>1</v>
      </c>
      <c r="E558" s="1">
        <v>45728</v>
      </c>
      <c r="F558" t="s">
        <v>590</v>
      </c>
      <c r="G558">
        <v>5</v>
      </c>
      <c r="H558" t="s">
        <v>581</v>
      </c>
      <c r="I558" t="s">
        <v>570</v>
      </c>
      <c r="J558" t="str">
        <f t="shared" si="24"/>
        <v>March</v>
      </c>
      <c r="K558" t="str">
        <f t="shared" si="25"/>
        <v>Q1</v>
      </c>
      <c r="L558">
        <f t="shared" si="26"/>
        <v>2025</v>
      </c>
    </row>
    <row r="559" spans="1:12" x14ac:dyDescent="0.3">
      <c r="A559" t="s">
        <v>1367</v>
      </c>
      <c r="B559" t="s">
        <v>1368</v>
      </c>
      <c r="C559" t="s">
        <v>96</v>
      </c>
      <c r="D559">
        <v>1</v>
      </c>
      <c r="E559" s="1">
        <v>45886</v>
      </c>
      <c r="F559" t="s">
        <v>577</v>
      </c>
      <c r="G559">
        <v>1</v>
      </c>
      <c r="H559" t="s">
        <v>569</v>
      </c>
      <c r="I559" t="s">
        <v>570</v>
      </c>
      <c r="J559" t="str">
        <f t="shared" si="24"/>
        <v>August</v>
      </c>
      <c r="K559" t="str">
        <f t="shared" si="25"/>
        <v>Q3</v>
      </c>
      <c r="L559">
        <f t="shared" si="26"/>
        <v>2025</v>
      </c>
    </row>
    <row r="560" spans="1:12" x14ac:dyDescent="0.3">
      <c r="A560" t="s">
        <v>1369</v>
      </c>
      <c r="B560" t="s">
        <v>1368</v>
      </c>
      <c r="C560" t="s">
        <v>96</v>
      </c>
      <c r="D560">
        <v>2</v>
      </c>
      <c r="E560" s="1">
        <v>45891</v>
      </c>
      <c r="F560" t="s">
        <v>572</v>
      </c>
      <c r="G560">
        <v>2</v>
      </c>
      <c r="H560" t="s">
        <v>569</v>
      </c>
      <c r="I560" t="s">
        <v>570</v>
      </c>
      <c r="J560" t="str">
        <f t="shared" si="24"/>
        <v>August</v>
      </c>
      <c r="K560" t="str">
        <f t="shared" si="25"/>
        <v>Q3</v>
      </c>
      <c r="L560">
        <f t="shared" si="26"/>
        <v>2025</v>
      </c>
    </row>
    <row r="561" spans="1:12" x14ac:dyDescent="0.3">
      <c r="A561" t="s">
        <v>1370</v>
      </c>
      <c r="B561" t="s">
        <v>1368</v>
      </c>
      <c r="C561" t="s">
        <v>96</v>
      </c>
      <c r="D561">
        <v>3</v>
      </c>
      <c r="E561" s="1">
        <v>45900</v>
      </c>
      <c r="F561" t="s">
        <v>572</v>
      </c>
      <c r="G561">
        <v>2</v>
      </c>
      <c r="H561" t="s">
        <v>569</v>
      </c>
      <c r="I561" t="s">
        <v>570</v>
      </c>
      <c r="J561" t="str">
        <f t="shared" si="24"/>
        <v>August</v>
      </c>
      <c r="K561" t="str">
        <f t="shared" si="25"/>
        <v>Q3</v>
      </c>
      <c r="L561">
        <f t="shared" si="26"/>
        <v>2025</v>
      </c>
    </row>
    <row r="562" spans="1:12" x14ac:dyDescent="0.3">
      <c r="A562" t="s">
        <v>1371</v>
      </c>
      <c r="B562" t="s">
        <v>1372</v>
      </c>
      <c r="C562" t="s">
        <v>99</v>
      </c>
      <c r="D562">
        <v>1</v>
      </c>
      <c r="E562" s="1">
        <v>45864</v>
      </c>
      <c r="F562" t="s">
        <v>584</v>
      </c>
      <c r="G562">
        <v>1</v>
      </c>
      <c r="H562" t="s">
        <v>569</v>
      </c>
      <c r="I562" t="s">
        <v>570</v>
      </c>
      <c r="J562" t="str">
        <f t="shared" si="24"/>
        <v>July</v>
      </c>
      <c r="K562" t="str">
        <f t="shared" si="25"/>
        <v>Q3</v>
      </c>
      <c r="L562">
        <f t="shared" si="26"/>
        <v>2025</v>
      </c>
    </row>
    <row r="563" spans="1:12" x14ac:dyDescent="0.3">
      <c r="A563" t="s">
        <v>1373</v>
      </c>
      <c r="B563" t="s">
        <v>1374</v>
      </c>
      <c r="C563" t="s">
        <v>41</v>
      </c>
      <c r="D563">
        <v>1</v>
      </c>
      <c r="E563" s="1">
        <v>45822</v>
      </c>
      <c r="F563" t="s">
        <v>603</v>
      </c>
      <c r="G563">
        <v>2</v>
      </c>
      <c r="H563" t="s">
        <v>569</v>
      </c>
      <c r="I563" t="s">
        <v>570</v>
      </c>
      <c r="J563" t="str">
        <f t="shared" si="24"/>
        <v>June</v>
      </c>
      <c r="K563" t="str">
        <f t="shared" si="25"/>
        <v>Q2</v>
      </c>
      <c r="L563">
        <f t="shared" si="26"/>
        <v>2025</v>
      </c>
    </row>
    <row r="564" spans="1:12" x14ac:dyDescent="0.3">
      <c r="A564" t="s">
        <v>1375</v>
      </c>
      <c r="B564" t="s">
        <v>1374</v>
      </c>
      <c r="C564" t="s">
        <v>41</v>
      </c>
      <c r="D564">
        <v>2</v>
      </c>
      <c r="E564" s="1">
        <v>45830</v>
      </c>
      <c r="F564" t="s">
        <v>625</v>
      </c>
      <c r="G564">
        <v>1</v>
      </c>
      <c r="H564" t="s">
        <v>569</v>
      </c>
      <c r="I564" t="s">
        <v>570</v>
      </c>
      <c r="J564" t="str">
        <f t="shared" si="24"/>
        <v>June</v>
      </c>
      <c r="K564" t="str">
        <f t="shared" si="25"/>
        <v>Q2</v>
      </c>
      <c r="L564">
        <f t="shared" si="26"/>
        <v>2025</v>
      </c>
    </row>
    <row r="565" spans="1:12" x14ac:dyDescent="0.3">
      <c r="A565" t="s">
        <v>1376</v>
      </c>
      <c r="B565" t="s">
        <v>265</v>
      </c>
      <c r="C565" t="s">
        <v>195</v>
      </c>
      <c r="D565">
        <v>1</v>
      </c>
      <c r="E565" s="1">
        <v>45856</v>
      </c>
      <c r="F565" t="s">
        <v>586</v>
      </c>
      <c r="G565">
        <v>4</v>
      </c>
      <c r="H565" t="s">
        <v>581</v>
      </c>
      <c r="I565" t="s">
        <v>570</v>
      </c>
      <c r="J565" t="str">
        <f t="shared" si="24"/>
        <v>July</v>
      </c>
      <c r="K565" t="str">
        <f t="shared" si="25"/>
        <v>Q3</v>
      </c>
      <c r="L565">
        <f t="shared" si="26"/>
        <v>2025</v>
      </c>
    </row>
    <row r="566" spans="1:12" x14ac:dyDescent="0.3">
      <c r="A566" t="s">
        <v>1377</v>
      </c>
      <c r="B566" t="s">
        <v>1378</v>
      </c>
      <c r="C566" t="s">
        <v>27</v>
      </c>
      <c r="D566">
        <v>1</v>
      </c>
      <c r="E566" s="1">
        <v>45884</v>
      </c>
      <c r="F566" t="s">
        <v>625</v>
      </c>
      <c r="G566">
        <v>1</v>
      </c>
      <c r="H566" t="s">
        <v>569</v>
      </c>
      <c r="I566" t="s">
        <v>570</v>
      </c>
      <c r="J566" t="str">
        <f t="shared" si="24"/>
        <v>August</v>
      </c>
      <c r="K566" t="str">
        <f t="shared" si="25"/>
        <v>Q3</v>
      </c>
      <c r="L566">
        <f t="shared" si="26"/>
        <v>2025</v>
      </c>
    </row>
    <row r="567" spans="1:12" x14ac:dyDescent="0.3">
      <c r="A567" t="s">
        <v>1379</v>
      </c>
      <c r="B567" t="s">
        <v>1378</v>
      </c>
      <c r="C567" t="s">
        <v>27</v>
      </c>
      <c r="D567">
        <v>2</v>
      </c>
      <c r="E567" s="1">
        <v>45890</v>
      </c>
      <c r="F567" t="s">
        <v>766</v>
      </c>
      <c r="G567">
        <v>2</v>
      </c>
      <c r="H567" t="s">
        <v>569</v>
      </c>
      <c r="I567" t="s">
        <v>570</v>
      </c>
      <c r="J567" t="str">
        <f t="shared" si="24"/>
        <v>August</v>
      </c>
      <c r="K567" t="str">
        <f t="shared" si="25"/>
        <v>Q3</v>
      </c>
      <c r="L567">
        <f t="shared" si="26"/>
        <v>2025</v>
      </c>
    </row>
    <row r="568" spans="1:12" x14ac:dyDescent="0.3">
      <c r="A568" t="s">
        <v>1380</v>
      </c>
      <c r="B568" t="s">
        <v>1378</v>
      </c>
      <c r="C568" t="s">
        <v>27</v>
      </c>
      <c r="D568">
        <v>3</v>
      </c>
      <c r="E568" s="1">
        <v>45894</v>
      </c>
      <c r="F568" t="s">
        <v>592</v>
      </c>
      <c r="G568">
        <v>1</v>
      </c>
      <c r="H568" t="s">
        <v>569</v>
      </c>
      <c r="I568" t="s">
        <v>608</v>
      </c>
      <c r="J568" t="str">
        <f t="shared" si="24"/>
        <v>August</v>
      </c>
      <c r="K568" t="str">
        <f t="shared" si="25"/>
        <v>Q3</v>
      </c>
      <c r="L568">
        <f t="shared" si="26"/>
        <v>2025</v>
      </c>
    </row>
    <row r="569" spans="1:12" x14ac:dyDescent="0.3">
      <c r="A569" t="s">
        <v>1381</v>
      </c>
      <c r="B569" t="s">
        <v>1378</v>
      </c>
      <c r="C569" t="s">
        <v>27</v>
      </c>
      <c r="D569">
        <v>4</v>
      </c>
      <c r="E569" s="1">
        <v>45900</v>
      </c>
      <c r="F569" t="s">
        <v>632</v>
      </c>
      <c r="G569">
        <v>1</v>
      </c>
      <c r="H569" t="s">
        <v>569</v>
      </c>
      <c r="I569" t="s">
        <v>570</v>
      </c>
      <c r="J569" t="str">
        <f t="shared" si="24"/>
        <v>August</v>
      </c>
      <c r="K569" t="str">
        <f t="shared" si="25"/>
        <v>Q3</v>
      </c>
      <c r="L569">
        <f t="shared" si="26"/>
        <v>2025</v>
      </c>
    </row>
    <row r="570" spans="1:12" x14ac:dyDescent="0.3">
      <c r="A570" t="s">
        <v>1382</v>
      </c>
      <c r="B570" t="s">
        <v>1383</v>
      </c>
      <c r="C570" t="s">
        <v>292</v>
      </c>
      <c r="D570">
        <v>1</v>
      </c>
      <c r="E570" s="1">
        <v>45721</v>
      </c>
      <c r="F570" t="s">
        <v>663</v>
      </c>
      <c r="G570">
        <v>1</v>
      </c>
      <c r="H570" t="s">
        <v>569</v>
      </c>
      <c r="I570" t="s">
        <v>570</v>
      </c>
      <c r="J570" t="str">
        <f t="shared" si="24"/>
        <v>March</v>
      </c>
      <c r="K570" t="str">
        <f t="shared" si="25"/>
        <v>Q1</v>
      </c>
      <c r="L570">
        <f t="shared" si="26"/>
        <v>2025</v>
      </c>
    </row>
    <row r="571" spans="1:12" x14ac:dyDescent="0.3">
      <c r="A571" t="s">
        <v>1384</v>
      </c>
      <c r="B571" t="s">
        <v>1385</v>
      </c>
      <c r="C571" t="s">
        <v>147</v>
      </c>
      <c r="D571">
        <v>1</v>
      </c>
      <c r="E571" s="1">
        <v>45822</v>
      </c>
      <c r="F571" t="s">
        <v>663</v>
      </c>
      <c r="G571">
        <v>1</v>
      </c>
      <c r="H571" t="s">
        <v>569</v>
      </c>
      <c r="I571" t="s">
        <v>570</v>
      </c>
      <c r="J571" t="str">
        <f t="shared" si="24"/>
        <v>June</v>
      </c>
      <c r="K571" t="str">
        <f t="shared" si="25"/>
        <v>Q2</v>
      </c>
      <c r="L571">
        <f t="shared" si="26"/>
        <v>2025</v>
      </c>
    </row>
    <row r="572" spans="1:12" x14ac:dyDescent="0.3">
      <c r="A572" t="s">
        <v>1386</v>
      </c>
      <c r="B572" t="s">
        <v>1385</v>
      </c>
      <c r="C572" t="s">
        <v>147</v>
      </c>
      <c r="D572">
        <v>2</v>
      </c>
      <c r="E572" s="1">
        <v>45832</v>
      </c>
      <c r="F572" t="s">
        <v>596</v>
      </c>
      <c r="G572">
        <v>2</v>
      </c>
      <c r="H572" t="s">
        <v>569</v>
      </c>
      <c r="I572" t="s">
        <v>570</v>
      </c>
      <c r="J572" t="str">
        <f t="shared" si="24"/>
        <v>June</v>
      </c>
      <c r="K572" t="str">
        <f t="shared" si="25"/>
        <v>Q2</v>
      </c>
      <c r="L572">
        <f t="shared" si="26"/>
        <v>2025</v>
      </c>
    </row>
    <row r="573" spans="1:12" x14ac:dyDescent="0.3">
      <c r="A573" t="s">
        <v>1387</v>
      </c>
      <c r="B573" t="s">
        <v>1385</v>
      </c>
      <c r="C573" t="s">
        <v>147</v>
      </c>
      <c r="D573">
        <v>3</v>
      </c>
      <c r="E573" s="1">
        <v>45837</v>
      </c>
      <c r="F573" t="s">
        <v>580</v>
      </c>
      <c r="G573">
        <v>1</v>
      </c>
      <c r="H573" t="s">
        <v>569</v>
      </c>
      <c r="I573" t="s">
        <v>570</v>
      </c>
      <c r="J573" t="str">
        <f t="shared" si="24"/>
        <v>June</v>
      </c>
      <c r="K573" t="str">
        <f t="shared" si="25"/>
        <v>Q2</v>
      </c>
      <c r="L573">
        <f t="shared" si="26"/>
        <v>2025</v>
      </c>
    </row>
    <row r="574" spans="1:12" x14ac:dyDescent="0.3">
      <c r="A574" t="s">
        <v>1388</v>
      </c>
      <c r="B574" t="s">
        <v>1389</v>
      </c>
      <c r="C574" t="s">
        <v>51</v>
      </c>
      <c r="D574">
        <v>1</v>
      </c>
      <c r="E574" s="1">
        <v>45957</v>
      </c>
      <c r="F574" t="s">
        <v>572</v>
      </c>
      <c r="G574">
        <v>1</v>
      </c>
      <c r="H574" t="s">
        <v>569</v>
      </c>
      <c r="I574" t="s">
        <v>570</v>
      </c>
      <c r="J574" t="str">
        <f t="shared" si="24"/>
        <v>October</v>
      </c>
      <c r="K574" t="str">
        <f t="shared" si="25"/>
        <v>Q4</v>
      </c>
      <c r="L574">
        <f t="shared" si="26"/>
        <v>2025</v>
      </c>
    </row>
    <row r="575" spans="1:12" x14ac:dyDescent="0.3">
      <c r="A575" t="s">
        <v>1390</v>
      </c>
      <c r="B575" t="s">
        <v>1389</v>
      </c>
      <c r="C575" t="s">
        <v>51</v>
      </c>
      <c r="D575">
        <v>2</v>
      </c>
      <c r="E575" s="1">
        <v>45969</v>
      </c>
      <c r="F575" t="s">
        <v>572</v>
      </c>
      <c r="G575">
        <v>2</v>
      </c>
      <c r="H575" t="s">
        <v>569</v>
      </c>
      <c r="I575" t="s">
        <v>570</v>
      </c>
      <c r="J575" t="str">
        <f t="shared" si="24"/>
        <v>November</v>
      </c>
      <c r="K575" t="str">
        <f t="shared" si="25"/>
        <v>Q4</v>
      </c>
      <c r="L575">
        <f t="shared" si="26"/>
        <v>2025</v>
      </c>
    </row>
    <row r="576" spans="1:12" x14ac:dyDescent="0.3">
      <c r="A576" t="s">
        <v>1391</v>
      </c>
      <c r="B576" t="s">
        <v>1392</v>
      </c>
      <c r="C576" t="s">
        <v>58</v>
      </c>
      <c r="D576">
        <v>1</v>
      </c>
      <c r="E576" s="1">
        <v>45806</v>
      </c>
      <c r="F576" t="s">
        <v>572</v>
      </c>
      <c r="G576">
        <v>2</v>
      </c>
      <c r="H576" t="s">
        <v>569</v>
      </c>
      <c r="I576" t="s">
        <v>597</v>
      </c>
      <c r="J576" t="str">
        <f t="shared" si="24"/>
        <v>May</v>
      </c>
      <c r="K576" t="str">
        <f t="shared" si="25"/>
        <v>Q2</v>
      </c>
      <c r="L576">
        <f t="shared" si="26"/>
        <v>2025</v>
      </c>
    </row>
    <row r="577" spans="1:12" x14ac:dyDescent="0.3">
      <c r="A577" t="s">
        <v>1393</v>
      </c>
      <c r="B577" t="s">
        <v>1392</v>
      </c>
      <c r="C577" t="s">
        <v>58</v>
      </c>
      <c r="D577">
        <v>2</v>
      </c>
      <c r="E577" s="1">
        <v>45814</v>
      </c>
      <c r="F577" t="s">
        <v>625</v>
      </c>
      <c r="G577">
        <v>2</v>
      </c>
      <c r="H577" t="s">
        <v>569</v>
      </c>
      <c r="I577" t="s">
        <v>570</v>
      </c>
      <c r="J577" t="str">
        <f t="shared" si="24"/>
        <v>June</v>
      </c>
      <c r="K577" t="str">
        <f t="shared" si="25"/>
        <v>Q2</v>
      </c>
      <c r="L577">
        <f t="shared" si="26"/>
        <v>2025</v>
      </c>
    </row>
    <row r="578" spans="1:12" x14ac:dyDescent="0.3">
      <c r="A578" t="s">
        <v>1394</v>
      </c>
      <c r="B578" t="s">
        <v>1395</v>
      </c>
      <c r="C578" t="s">
        <v>201</v>
      </c>
      <c r="D578">
        <v>1</v>
      </c>
      <c r="E578" s="1">
        <v>45968</v>
      </c>
      <c r="F578" t="s">
        <v>603</v>
      </c>
      <c r="G578">
        <v>2</v>
      </c>
      <c r="H578" t="s">
        <v>569</v>
      </c>
      <c r="I578" t="s">
        <v>570</v>
      </c>
      <c r="J578" t="str">
        <f t="shared" ref="J578:J641" si="27">TEXT(E578,"mmmm")</f>
        <v>November</v>
      </c>
      <c r="K578" t="str">
        <f t="shared" ref="K578:K641" si="28">"Q"&amp;ROUNDUP(MONTH(E578)/3,0)</f>
        <v>Q4</v>
      </c>
      <c r="L578">
        <f t="shared" ref="L578:L641" si="29">YEAR(E578)</f>
        <v>2025</v>
      </c>
    </row>
    <row r="579" spans="1:12" x14ac:dyDescent="0.3">
      <c r="A579" t="s">
        <v>1396</v>
      </c>
      <c r="B579" t="s">
        <v>1395</v>
      </c>
      <c r="C579" t="s">
        <v>201</v>
      </c>
      <c r="D579">
        <v>2</v>
      </c>
      <c r="E579" s="1">
        <v>45979</v>
      </c>
      <c r="F579" t="s">
        <v>625</v>
      </c>
      <c r="G579">
        <v>3</v>
      </c>
      <c r="H579" t="s">
        <v>578</v>
      </c>
      <c r="I579" t="s">
        <v>570</v>
      </c>
      <c r="J579" t="str">
        <f t="shared" si="27"/>
        <v>November</v>
      </c>
      <c r="K579" t="str">
        <f t="shared" si="28"/>
        <v>Q4</v>
      </c>
      <c r="L579">
        <f t="shared" si="29"/>
        <v>2025</v>
      </c>
    </row>
    <row r="580" spans="1:12" x14ac:dyDescent="0.3">
      <c r="A580" t="s">
        <v>1397</v>
      </c>
      <c r="B580" t="s">
        <v>1395</v>
      </c>
      <c r="C580" t="s">
        <v>201</v>
      </c>
      <c r="D580">
        <v>3</v>
      </c>
      <c r="E580" s="1">
        <v>45991</v>
      </c>
      <c r="F580" t="s">
        <v>572</v>
      </c>
      <c r="G580">
        <v>1</v>
      </c>
      <c r="H580" t="s">
        <v>569</v>
      </c>
      <c r="I580" t="s">
        <v>570</v>
      </c>
      <c r="J580" t="str">
        <f t="shared" si="27"/>
        <v>November</v>
      </c>
      <c r="K580" t="str">
        <f t="shared" si="28"/>
        <v>Q4</v>
      </c>
      <c r="L580">
        <f t="shared" si="29"/>
        <v>2025</v>
      </c>
    </row>
    <row r="581" spans="1:12" x14ac:dyDescent="0.3">
      <c r="A581" t="s">
        <v>1398</v>
      </c>
      <c r="B581" t="s">
        <v>1395</v>
      </c>
      <c r="C581" t="s">
        <v>201</v>
      </c>
      <c r="D581">
        <v>4</v>
      </c>
      <c r="E581" s="1">
        <v>45995</v>
      </c>
      <c r="F581" t="s">
        <v>572</v>
      </c>
      <c r="G581">
        <v>3</v>
      </c>
      <c r="H581" t="s">
        <v>578</v>
      </c>
      <c r="I581" t="s">
        <v>570</v>
      </c>
      <c r="J581" t="str">
        <f t="shared" si="27"/>
        <v>December</v>
      </c>
      <c r="K581" t="str">
        <f t="shared" si="28"/>
        <v>Q4</v>
      </c>
      <c r="L581">
        <f t="shared" si="29"/>
        <v>2025</v>
      </c>
    </row>
    <row r="582" spans="1:12" x14ac:dyDescent="0.3">
      <c r="A582" t="s">
        <v>1399</v>
      </c>
      <c r="B582" t="s">
        <v>1400</v>
      </c>
      <c r="C582" t="s">
        <v>62</v>
      </c>
      <c r="D582">
        <v>1</v>
      </c>
      <c r="E582" s="1">
        <v>45708</v>
      </c>
      <c r="F582" t="s">
        <v>577</v>
      </c>
      <c r="G582">
        <v>2</v>
      </c>
      <c r="H582" t="s">
        <v>569</v>
      </c>
      <c r="I582" t="s">
        <v>570</v>
      </c>
      <c r="J582" t="str">
        <f t="shared" si="27"/>
        <v>February</v>
      </c>
      <c r="K582" t="str">
        <f t="shared" si="28"/>
        <v>Q1</v>
      </c>
      <c r="L582">
        <f t="shared" si="29"/>
        <v>2025</v>
      </c>
    </row>
    <row r="583" spans="1:12" x14ac:dyDescent="0.3">
      <c r="A583" t="s">
        <v>1401</v>
      </c>
      <c r="B583" t="s">
        <v>1400</v>
      </c>
      <c r="C583" t="s">
        <v>62</v>
      </c>
      <c r="D583">
        <v>2</v>
      </c>
      <c r="E583" s="1">
        <v>45720</v>
      </c>
      <c r="F583" t="s">
        <v>603</v>
      </c>
      <c r="G583">
        <v>2</v>
      </c>
      <c r="H583" t="s">
        <v>569</v>
      </c>
      <c r="I583" t="s">
        <v>570</v>
      </c>
      <c r="J583" t="str">
        <f t="shared" si="27"/>
        <v>March</v>
      </c>
      <c r="K583" t="str">
        <f t="shared" si="28"/>
        <v>Q1</v>
      </c>
      <c r="L583">
        <f t="shared" si="29"/>
        <v>2025</v>
      </c>
    </row>
    <row r="584" spans="1:12" x14ac:dyDescent="0.3">
      <c r="A584" t="s">
        <v>1402</v>
      </c>
      <c r="B584" t="s">
        <v>1403</v>
      </c>
      <c r="C584" t="s">
        <v>51</v>
      </c>
      <c r="D584">
        <v>1</v>
      </c>
      <c r="E584" s="1">
        <v>45947</v>
      </c>
      <c r="F584" t="s">
        <v>580</v>
      </c>
      <c r="G584">
        <v>1</v>
      </c>
      <c r="H584" t="s">
        <v>569</v>
      </c>
      <c r="I584" t="s">
        <v>570</v>
      </c>
      <c r="J584" t="str">
        <f t="shared" si="27"/>
        <v>October</v>
      </c>
      <c r="K584" t="str">
        <f t="shared" si="28"/>
        <v>Q4</v>
      </c>
      <c r="L584">
        <f t="shared" si="29"/>
        <v>2025</v>
      </c>
    </row>
    <row r="585" spans="1:12" x14ac:dyDescent="0.3">
      <c r="A585" t="s">
        <v>1404</v>
      </c>
      <c r="B585" t="s">
        <v>1403</v>
      </c>
      <c r="C585" t="s">
        <v>51</v>
      </c>
      <c r="D585">
        <v>2</v>
      </c>
      <c r="E585" s="1">
        <v>45959</v>
      </c>
      <c r="G585">
        <v>2</v>
      </c>
      <c r="H585" t="s">
        <v>569</v>
      </c>
      <c r="I585" t="s">
        <v>570</v>
      </c>
      <c r="J585" t="str">
        <f t="shared" si="27"/>
        <v>October</v>
      </c>
      <c r="K585" t="str">
        <f t="shared" si="28"/>
        <v>Q4</v>
      </c>
      <c r="L585">
        <f t="shared" si="29"/>
        <v>2025</v>
      </c>
    </row>
    <row r="586" spans="1:12" x14ac:dyDescent="0.3">
      <c r="A586" t="s">
        <v>1405</v>
      </c>
      <c r="B586" t="s">
        <v>1403</v>
      </c>
      <c r="C586" t="s">
        <v>51</v>
      </c>
      <c r="D586">
        <v>3</v>
      </c>
      <c r="E586" s="1">
        <v>45965</v>
      </c>
      <c r="F586" t="s">
        <v>596</v>
      </c>
      <c r="G586">
        <v>3</v>
      </c>
      <c r="H586" t="s">
        <v>578</v>
      </c>
      <c r="I586" t="s">
        <v>570</v>
      </c>
      <c r="J586" t="str">
        <f t="shared" si="27"/>
        <v>November</v>
      </c>
      <c r="K586" t="str">
        <f t="shared" si="28"/>
        <v>Q4</v>
      </c>
      <c r="L586">
        <f t="shared" si="29"/>
        <v>2025</v>
      </c>
    </row>
    <row r="587" spans="1:12" x14ac:dyDescent="0.3">
      <c r="A587" t="s">
        <v>1406</v>
      </c>
      <c r="B587" t="s">
        <v>1403</v>
      </c>
      <c r="C587" t="s">
        <v>51</v>
      </c>
      <c r="D587">
        <v>4</v>
      </c>
      <c r="E587" s="1">
        <v>45972</v>
      </c>
      <c r="F587" t="s">
        <v>580</v>
      </c>
      <c r="G587">
        <v>1</v>
      </c>
      <c r="H587" t="s">
        <v>569</v>
      </c>
      <c r="I587" t="s">
        <v>570</v>
      </c>
      <c r="J587" t="str">
        <f t="shared" si="27"/>
        <v>November</v>
      </c>
      <c r="K587" t="str">
        <f t="shared" si="28"/>
        <v>Q4</v>
      </c>
      <c r="L587">
        <f t="shared" si="29"/>
        <v>2025</v>
      </c>
    </row>
    <row r="588" spans="1:12" x14ac:dyDescent="0.3">
      <c r="A588" t="s">
        <v>1407</v>
      </c>
      <c r="B588" t="s">
        <v>1408</v>
      </c>
      <c r="C588" t="s">
        <v>195</v>
      </c>
      <c r="D588">
        <v>1</v>
      </c>
      <c r="E588" s="1">
        <v>45845</v>
      </c>
      <c r="F588" t="s">
        <v>586</v>
      </c>
      <c r="G588">
        <v>3</v>
      </c>
      <c r="H588" t="s">
        <v>578</v>
      </c>
      <c r="I588" t="s">
        <v>608</v>
      </c>
      <c r="J588" t="str">
        <f t="shared" si="27"/>
        <v>July</v>
      </c>
      <c r="K588" t="str">
        <f t="shared" si="28"/>
        <v>Q3</v>
      </c>
      <c r="L588">
        <f t="shared" si="29"/>
        <v>2025</v>
      </c>
    </row>
    <row r="589" spans="1:12" x14ac:dyDescent="0.3">
      <c r="A589" t="s">
        <v>1409</v>
      </c>
      <c r="B589" t="s">
        <v>1408</v>
      </c>
      <c r="C589" t="s">
        <v>195</v>
      </c>
      <c r="D589">
        <v>2</v>
      </c>
      <c r="E589" s="1">
        <v>45849</v>
      </c>
      <c r="F589" t="s">
        <v>575</v>
      </c>
      <c r="G589">
        <v>3</v>
      </c>
      <c r="H589" t="s">
        <v>578</v>
      </c>
      <c r="I589" t="s">
        <v>570</v>
      </c>
      <c r="J589" t="str">
        <f t="shared" si="27"/>
        <v>July</v>
      </c>
      <c r="K589" t="str">
        <f t="shared" si="28"/>
        <v>Q3</v>
      </c>
      <c r="L589">
        <f t="shared" si="29"/>
        <v>2025</v>
      </c>
    </row>
    <row r="590" spans="1:12" x14ac:dyDescent="0.3">
      <c r="A590" t="s">
        <v>1410</v>
      </c>
      <c r="B590" t="s">
        <v>1411</v>
      </c>
      <c r="C590" t="s">
        <v>85</v>
      </c>
      <c r="D590">
        <v>1</v>
      </c>
      <c r="E590" s="1">
        <v>45843</v>
      </c>
      <c r="F590" t="s">
        <v>586</v>
      </c>
      <c r="G590">
        <v>2</v>
      </c>
      <c r="H590" t="s">
        <v>569</v>
      </c>
      <c r="I590" t="s">
        <v>570</v>
      </c>
      <c r="J590" t="str">
        <f t="shared" si="27"/>
        <v>July</v>
      </c>
      <c r="K590" t="str">
        <f t="shared" si="28"/>
        <v>Q3</v>
      </c>
      <c r="L590">
        <f t="shared" si="29"/>
        <v>2025</v>
      </c>
    </row>
    <row r="591" spans="1:12" x14ac:dyDescent="0.3">
      <c r="A591" t="s">
        <v>1412</v>
      </c>
      <c r="B591" t="s">
        <v>1411</v>
      </c>
      <c r="C591" t="s">
        <v>85</v>
      </c>
      <c r="D591">
        <v>2</v>
      </c>
      <c r="E591" s="1">
        <v>45853</v>
      </c>
      <c r="F591" t="s">
        <v>596</v>
      </c>
      <c r="G591">
        <v>2</v>
      </c>
      <c r="H591" t="s">
        <v>569</v>
      </c>
      <c r="I591" t="s">
        <v>570</v>
      </c>
      <c r="J591" t="str">
        <f t="shared" si="27"/>
        <v>July</v>
      </c>
      <c r="K591" t="str">
        <f t="shared" si="28"/>
        <v>Q3</v>
      </c>
      <c r="L591">
        <f t="shared" si="29"/>
        <v>2025</v>
      </c>
    </row>
    <row r="592" spans="1:12" x14ac:dyDescent="0.3">
      <c r="A592" t="s">
        <v>1413</v>
      </c>
      <c r="B592" t="s">
        <v>1414</v>
      </c>
      <c r="C592" t="s">
        <v>16</v>
      </c>
      <c r="D592">
        <v>1</v>
      </c>
      <c r="E592" s="1">
        <v>45760</v>
      </c>
      <c r="F592" t="s">
        <v>575</v>
      </c>
      <c r="G592">
        <v>2</v>
      </c>
      <c r="H592" t="s">
        <v>569</v>
      </c>
      <c r="I592" t="s">
        <v>570</v>
      </c>
      <c r="J592" t="str">
        <f t="shared" si="27"/>
        <v>April</v>
      </c>
      <c r="K592" t="str">
        <f t="shared" si="28"/>
        <v>Q2</v>
      </c>
      <c r="L592">
        <f t="shared" si="29"/>
        <v>2025</v>
      </c>
    </row>
    <row r="593" spans="1:12" x14ac:dyDescent="0.3">
      <c r="A593" t="s">
        <v>1415</v>
      </c>
      <c r="B593" t="s">
        <v>1414</v>
      </c>
      <c r="C593" t="s">
        <v>16</v>
      </c>
      <c r="D593">
        <v>2</v>
      </c>
      <c r="E593" s="1">
        <v>45767</v>
      </c>
      <c r="F593" t="s">
        <v>596</v>
      </c>
      <c r="G593">
        <v>2</v>
      </c>
      <c r="H593" t="s">
        <v>569</v>
      </c>
      <c r="I593" t="s">
        <v>570</v>
      </c>
      <c r="J593" t="str">
        <f t="shared" si="27"/>
        <v>April</v>
      </c>
      <c r="K593" t="str">
        <f t="shared" si="28"/>
        <v>Q2</v>
      </c>
      <c r="L593">
        <f t="shared" si="29"/>
        <v>2025</v>
      </c>
    </row>
    <row r="594" spans="1:12" x14ac:dyDescent="0.3">
      <c r="A594" t="s">
        <v>1416</v>
      </c>
      <c r="B594" t="s">
        <v>1414</v>
      </c>
      <c r="C594" t="s">
        <v>16</v>
      </c>
      <c r="D594">
        <v>3</v>
      </c>
      <c r="E594" s="1">
        <v>45777</v>
      </c>
      <c r="F594" t="s">
        <v>575</v>
      </c>
      <c r="G594">
        <v>2</v>
      </c>
      <c r="H594" t="s">
        <v>569</v>
      </c>
      <c r="I594" t="s">
        <v>570</v>
      </c>
      <c r="J594" t="str">
        <f t="shared" si="27"/>
        <v>April</v>
      </c>
      <c r="K594" t="str">
        <f t="shared" si="28"/>
        <v>Q2</v>
      </c>
      <c r="L594">
        <f t="shared" si="29"/>
        <v>2025</v>
      </c>
    </row>
    <row r="595" spans="1:12" x14ac:dyDescent="0.3">
      <c r="A595" t="s">
        <v>1417</v>
      </c>
      <c r="B595" t="s">
        <v>1414</v>
      </c>
      <c r="C595" t="s">
        <v>16</v>
      </c>
      <c r="D595">
        <v>4</v>
      </c>
      <c r="E595" s="1">
        <v>45787</v>
      </c>
      <c r="F595" t="s">
        <v>706</v>
      </c>
      <c r="G595">
        <v>2</v>
      </c>
      <c r="H595" t="s">
        <v>569</v>
      </c>
      <c r="I595" t="s">
        <v>570</v>
      </c>
      <c r="J595" t="str">
        <f t="shared" si="27"/>
        <v>May</v>
      </c>
      <c r="K595" t="str">
        <f t="shared" si="28"/>
        <v>Q2</v>
      </c>
      <c r="L595">
        <f t="shared" si="29"/>
        <v>2025</v>
      </c>
    </row>
    <row r="596" spans="1:12" x14ac:dyDescent="0.3">
      <c r="A596" t="s">
        <v>1418</v>
      </c>
      <c r="B596" t="s">
        <v>1419</v>
      </c>
      <c r="C596" t="s">
        <v>251</v>
      </c>
      <c r="D596">
        <v>1</v>
      </c>
      <c r="E596" s="1">
        <v>45816</v>
      </c>
      <c r="F596" t="s">
        <v>584</v>
      </c>
      <c r="G596">
        <v>4</v>
      </c>
      <c r="H596" t="s">
        <v>581</v>
      </c>
      <c r="I596" t="s">
        <v>608</v>
      </c>
      <c r="J596" t="str">
        <f t="shared" si="27"/>
        <v>June</v>
      </c>
      <c r="K596" t="str">
        <f t="shared" si="28"/>
        <v>Q2</v>
      </c>
      <c r="L596">
        <f t="shared" si="29"/>
        <v>2025</v>
      </c>
    </row>
    <row r="597" spans="1:12" x14ac:dyDescent="0.3">
      <c r="A597" t="s">
        <v>1420</v>
      </c>
      <c r="B597" t="s">
        <v>1419</v>
      </c>
      <c r="C597" t="s">
        <v>251</v>
      </c>
      <c r="D597">
        <v>2</v>
      </c>
      <c r="E597" s="1">
        <v>45822</v>
      </c>
      <c r="F597" t="s">
        <v>592</v>
      </c>
      <c r="G597">
        <v>1</v>
      </c>
      <c r="H597" t="s">
        <v>569</v>
      </c>
      <c r="I597" t="s">
        <v>570</v>
      </c>
      <c r="J597" t="str">
        <f t="shared" si="27"/>
        <v>June</v>
      </c>
      <c r="K597" t="str">
        <f t="shared" si="28"/>
        <v>Q2</v>
      </c>
      <c r="L597">
        <f t="shared" si="29"/>
        <v>2025</v>
      </c>
    </row>
    <row r="598" spans="1:12" x14ac:dyDescent="0.3">
      <c r="A598" t="s">
        <v>1421</v>
      </c>
      <c r="B598" t="s">
        <v>1419</v>
      </c>
      <c r="C598" t="s">
        <v>251</v>
      </c>
      <c r="D598">
        <v>3</v>
      </c>
      <c r="E598" s="1">
        <v>45827</v>
      </c>
      <c r="F598" t="s">
        <v>584</v>
      </c>
      <c r="G598">
        <v>2</v>
      </c>
      <c r="H598" t="s">
        <v>569</v>
      </c>
      <c r="I598" t="s">
        <v>570</v>
      </c>
      <c r="J598" t="str">
        <f t="shared" si="27"/>
        <v>June</v>
      </c>
      <c r="K598" t="str">
        <f t="shared" si="28"/>
        <v>Q2</v>
      </c>
      <c r="L598">
        <f t="shared" si="29"/>
        <v>2025</v>
      </c>
    </row>
    <row r="599" spans="1:12" x14ac:dyDescent="0.3">
      <c r="A599" t="s">
        <v>1422</v>
      </c>
      <c r="B599" t="s">
        <v>169</v>
      </c>
      <c r="C599" t="s">
        <v>58</v>
      </c>
      <c r="D599">
        <v>1</v>
      </c>
      <c r="E599" s="1">
        <v>45815</v>
      </c>
      <c r="F599" t="s">
        <v>572</v>
      </c>
      <c r="G599">
        <v>3</v>
      </c>
      <c r="H599" t="s">
        <v>578</v>
      </c>
      <c r="I599" t="s">
        <v>570</v>
      </c>
      <c r="J599" t="str">
        <f t="shared" si="27"/>
        <v>June</v>
      </c>
      <c r="K599" t="str">
        <f t="shared" si="28"/>
        <v>Q2</v>
      </c>
      <c r="L599">
        <f t="shared" si="29"/>
        <v>2025</v>
      </c>
    </row>
    <row r="600" spans="1:12" x14ac:dyDescent="0.3">
      <c r="A600" t="s">
        <v>1423</v>
      </c>
      <c r="B600" t="s">
        <v>169</v>
      </c>
      <c r="C600" t="s">
        <v>58</v>
      </c>
      <c r="D600">
        <v>2</v>
      </c>
      <c r="E600" s="1">
        <v>45825</v>
      </c>
      <c r="F600" t="s">
        <v>612</v>
      </c>
      <c r="G600">
        <v>3</v>
      </c>
      <c r="H600" t="s">
        <v>578</v>
      </c>
      <c r="I600" t="s">
        <v>570</v>
      </c>
      <c r="J600" t="str">
        <f t="shared" si="27"/>
        <v>June</v>
      </c>
      <c r="K600" t="str">
        <f t="shared" si="28"/>
        <v>Q2</v>
      </c>
      <c r="L600">
        <f t="shared" si="29"/>
        <v>2025</v>
      </c>
    </row>
    <row r="601" spans="1:12" x14ac:dyDescent="0.3">
      <c r="A601" t="s">
        <v>1424</v>
      </c>
      <c r="B601" t="s">
        <v>169</v>
      </c>
      <c r="C601" t="s">
        <v>58</v>
      </c>
      <c r="D601">
        <v>3</v>
      </c>
      <c r="E601" s="1">
        <v>45837</v>
      </c>
      <c r="F601" t="s">
        <v>625</v>
      </c>
      <c r="G601">
        <v>3</v>
      </c>
      <c r="H601" t="s">
        <v>578</v>
      </c>
      <c r="I601" t="s">
        <v>597</v>
      </c>
      <c r="J601" t="str">
        <f t="shared" si="27"/>
        <v>June</v>
      </c>
      <c r="K601" t="str">
        <f t="shared" si="28"/>
        <v>Q2</v>
      </c>
      <c r="L601">
        <f t="shared" si="29"/>
        <v>2025</v>
      </c>
    </row>
    <row r="602" spans="1:12" x14ac:dyDescent="0.3">
      <c r="A602" t="s">
        <v>1425</v>
      </c>
      <c r="B602" t="s">
        <v>169</v>
      </c>
      <c r="C602" t="s">
        <v>58</v>
      </c>
      <c r="D602">
        <v>4</v>
      </c>
      <c r="E602" s="1">
        <v>45847</v>
      </c>
      <c r="F602" t="s">
        <v>612</v>
      </c>
      <c r="G602">
        <v>4</v>
      </c>
      <c r="H602" t="s">
        <v>581</v>
      </c>
      <c r="I602" t="s">
        <v>570</v>
      </c>
      <c r="J602" t="str">
        <f t="shared" si="27"/>
        <v>July</v>
      </c>
      <c r="K602" t="str">
        <f t="shared" si="28"/>
        <v>Q3</v>
      </c>
      <c r="L602">
        <f t="shared" si="29"/>
        <v>2025</v>
      </c>
    </row>
    <row r="603" spans="1:12" x14ac:dyDescent="0.3">
      <c r="A603" t="s">
        <v>1426</v>
      </c>
      <c r="B603" t="s">
        <v>1427</v>
      </c>
      <c r="C603" t="s">
        <v>58</v>
      </c>
      <c r="D603">
        <v>1</v>
      </c>
      <c r="E603" s="1">
        <v>45809</v>
      </c>
      <c r="G603">
        <v>3</v>
      </c>
      <c r="H603" t="s">
        <v>578</v>
      </c>
      <c r="I603" t="s">
        <v>597</v>
      </c>
      <c r="J603" t="str">
        <f t="shared" si="27"/>
        <v>June</v>
      </c>
      <c r="K603" t="str">
        <f t="shared" si="28"/>
        <v>Q2</v>
      </c>
      <c r="L603">
        <f t="shared" si="29"/>
        <v>2025</v>
      </c>
    </row>
    <row r="604" spans="1:12" x14ac:dyDescent="0.3">
      <c r="A604" t="s">
        <v>1428</v>
      </c>
      <c r="B604" t="s">
        <v>1429</v>
      </c>
      <c r="C604" t="s">
        <v>195</v>
      </c>
      <c r="D604">
        <v>1</v>
      </c>
      <c r="E604" s="1">
        <v>45845</v>
      </c>
      <c r="G604">
        <v>1</v>
      </c>
      <c r="H604" t="s">
        <v>569</v>
      </c>
      <c r="I604" t="s">
        <v>570</v>
      </c>
      <c r="J604" t="str">
        <f t="shared" si="27"/>
        <v>July</v>
      </c>
      <c r="K604" t="str">
        <f t="shared" si="28"/>
        <v>Q3</v>
      </c>
      <c r="L604">
        <f t="shared" si="29"/>
        <v>2025</v>
      </c>
    </row>
    <row r="605" spans="1:12" x14ac:dyDescent="0.3">
      <c r="A605" t="s">
        <v>1430</v>
      </c>
      <c r="B605" t="s">
        <v>1431</v>
      </c>
      <c r="C605" t="s">
        <v>429</v>
      </c>
      <c r="D605">
        <v>1</v>
      </c>
      <c r="E605" s="1">
        <v>45765</v>
      </c>
      <c r="F605" t="s">
        <v>741</v>
      </c>
      <c r="G605">
        <v>1</v>
      </c>
      <c r="H605" t="s">
        <v>569</v>
      </c>
      <c r="I605" t="s">
        <v>570</v>
      </c>
      <c r="J605" t="str">
        <f t="shared" si="27"/>
        <v>April</v>
      </c>
      <c r="K605" t="str">
        <f t="shared" si="28"/>
        <v>Q2</v>
      </c>
      <c r="L605">
        <f t="shared" si="29"/>
        <v>2025</v>
      </c>
    </row>
    <row r="606" spans="1:12" x14ac:dyDescent="0.3">
      <c r="A606" t="s">
        <v>1432</v>
      </c>
      <c r="B606" t="s">
        <v>1433</v>
      </c>
      <c r="C606" t="s">
        <v>32</v>
      </c>
      <c r="D606">
        <v>1</v>
      </c>
      <c r="E606" s="1">
        <v>45761</v>
      </c>
      <c r="F606" t="s">
        <v>577</v>
      </c>
      <c r="G606">
        <v>4</v>
      </c>
      <c r="H606" t="s">
        <v>581</v>
      </c>
      <c r="I606" t="s">
        <v>570</v>
      </c>
      <c r="J606" t="str">
        <f t="shared" si="27"/>
        <v>April</v>
      </c>
      <c r="K606" t="str">
        <f t="shared" si="28"/>
        <v>Q2</v>
      </c>
      <c r="L606">
        <f t="shared" si="29"/>
        <v>2025</v>
      </c>
    </row>
    <row r="607" spans="1:12" x14ac:dyDescent="0.3">
      <c r="A607" t="s">
        <v>1434</v>
      </c>
      <c r="B607" t="s">
        <v>1435</v>
      </c>
      <c r="C607" t="s">
        <v>99</v>
      </c>
      <c r="D607">
        <v>1</v>
      </c>
      <c r="E607" s="1">
        <v>45850</v>
      </c>
      <c r="F607" t="s">
        <v>625</v>
      </c>
      <c r="G607">
        <v>2</v>
      </c>
      <c r="H607" t="s">
        <v>569</v>
      </c>
      <c r="I607" t="s">
        <v>570</v>
      </c>
      <c r="J607" t="str">
        <f t="shared" si="27"/>
        <v>July</v>
      </c>
      <c r="K607" t="str">
        <f t="shared" si="28"/>
        <v>Q3</v>
      </c>
      <c r="L607">
        <f t="shared" si="29"/>
        <v>2025</v>
      </c>
    </row>
    <row r="608" spans="1:12" x14ac:dyDescent="0.3">
      <c r="A608" t="s">
        <v>1436</v>
      </c>
      <c r="B608" t="s">
        <v>1435</v>
      </c>
      <c r="C608" t="s">
        <v>99</v>
      </c>
      <c r="D608">
        <v>2</v>
      </c>
      <c r="E608" s="1">
        <v>45862</v>
      </c>
      <c r="F608" t="s">
        <v>658</v>
      </c>
      <c r="G608">
        <v>1</v>
      </c>
      <c r="H608" t="s">
        <v>569</v>
      </c>
      <c r="I608" t="s">
        <v>570</v>
      </c>
      <c r="J608" t="str">
        <f t="shared" si="27"/>
        <v>July</v>
      </c>
      <c r="K608" t="str">
        <f t="shared" si="28"/>
        <v>Q3</v>
      </c>
      <c r="L608">
        <f t="shared" si="29"/>
        <v>2025</v>
      </c>
    </row>
    <row r="609" spans="1:12" x14ac:dyDescent="0.3">
      <c r="A609" t="s">
        <v>1437</v>
      </c>
      <c r="B609" t="s">
        <v>1438</v>
      </c>
      <c r="C609" t="s">
        <v>133</v>
      </c>
      <c r="D609">
        <v>1</v>
      </c>
      <c r="E609" s="1">
        <v>45709</v>
      </c>
      <c r="F609" t="s">
        <v>632</v>
      </c>
      <c r="G609">
        <v>2</v>
      </c>
      <c r="H609" t="s">
        <v>569</v>
      </c>
      <c r="I609" t="s">
        <v>570</v>
      </c>
      <c r="J609" t="str">
        <f t="shared" si="27"/>
        <v>February</v>
      </c>
      <c r="K609" t="str">
        <f t="shared" si="28"/>
        <v>Q1</v>
      </c>
      <c r="L609">
        <f t="shared" si="29"/>
        <v>2025</v>
      </c>
    </row>
    <row r="610" spans="1:12" x14ac:dyDescent="0.3">
      <c r="A610" t="s">
        <v>1439</v>
      </c>
      <c r="B610" t="s">
        <v>1438</v>
      </c>
      <c r="C610" t="s">
        <v>133</v>
      </c>
      <c r="D610">
        <v>2</v>
      </c>
      <c r="E610" s="1">
        <v>45720</v>
      </c>
      <c r="F610" t="s">
        <v>625</v>
      </c>
      <c r="G610">
        <v>2</v>
      </c>
      <c r="H610" t="s">
        <v>569</v>
      </c>
      <c r="I610" t="s">
        <v>570</v>
      </c>
      <c r="J610" t="str">
        <f t="shared" si="27"/>
        <v>March</v>
      </c>
      <c r="K610" t="str">
        <f t="shared" si="28"/>
        <v>Q1</v>
      </c>
      <c r="L610">
        <f t="shared" si="29"/>
        <v>2025</v>
      </c>
    </row>
    <row r="611" spans="1:12" x14ac:dyDescent="0.3">
      <c r="A611" t="s">
        <v>1440</v>
      </c>
      <c r="B611" t="s">
        <v>1438</v>
      </c>
      <c r="C611" t="s">
        <v>133</v>
      </c>
      <c r="D611">
        <v>3</v>
      </c>
      <c r="E611" s="1">
        <v>45730</v>
      </c>
      <c r="F611" t="s">
        <v>629</v>
      </c>
      <c r="G611">
        <v>1</v>
      </c>
      <c r="H611" t="s">
        <v>569</v>
      </c>
      <c r="I611" t="s">
        <v>570</v>
      </c>
      <c r="J611" t="str">
        <f t="shared" si="27"/>
        <v>March</v>
      </c>
      <c r="K611" t="str">
        <f t="shared" si="28"/>
        <v>Q1</v>
      </c>
      <c r="L611">
        <f t="shared" si="29"/>
        <v>2025</v>
      </c>
    </row>
    <row r="612" spans="1:12" x14ac:dyDescent="0.3">
      <c r="A612" t="s">
        <v>1441</v>
      </c>
      <c r="B612" t="s">
        <v>1438</v>
      </c>
      <c r="C612" t="s">
        <v>133</v>
      </c>
      <c r="D612">
        <v>4</v>
      </c>
      <c r="E612" s="1">
        <v>45737</v>
      </c>
      <c r="F612" t="s">
        <v>625</v>
      </c>
      <c r="G612">
        <v>2</v>
      </c>
      <c r="H612" t="s">
        <v>569</v>
      </c>
      <c r="I612" t="s">
        <v>570</v>
      </c>
      <c r="J612" t="str">
        <f t="shared" si="27"/>
        <v>March</v>
      </c>
      <c r="K612" t="str">
        <f t="shared" si="28"/>
        <v>Q1</v>
      </c>
      <c r="L612">
        <f t="shared" si="29"/>
        <v>2025</v>
      </c>
    </row>
    <row r="613" spans="1:12" x14ac:dyDescent="0.3">
      <c r="A613" t="s">
        <v>1442</v>
      </c>
      <c r="B613" t="s">
        <v>1443</v>
      </c>
      <c r="C613" t="s">
        <v>27</v>
      </c>
      <c r="D613">
        <v>1</v>
      </c>
      <c r="E613" s="1">
        <v>45888</v>
      </c>
      <c r="F613" t="s">
        <v>629</v>
      </c>
      <c r="G613">
        <v>2</v>
      </c>
      <c r="H613" t="s">
        <v>569</v>
      </c>
      <c r="I613" t="s">
        <v>570</v>
      </c>
      <c r="J613" t="str">
        <f t="shared" si="27"/>
        <v>August</v>
      </c>
      <c r="K613" t="str">
        <f t="shared" si="28"/>
        <v>Q3</v>
      </c>
      <c r="L613">
        <f t="shared" si="29"/>
        <v>2025</v>
      </c>
    </row>
    <row r="614" spans="1:12" x14ac:dyDescent="0.3">
      <c r="A614" t="s">
        <v>1444</v>
      </c>
      <c r="B614" t="s">
        <v>1443</v>
      </c>
      <c r="C614" t="s">
        <v>27</v>
      </c>
      <c r="D614">
        <v>2</v>
      </c>
      <c r="E614" s="1">
        <v>45894</v>
      </c>
      <c r="F614" t="s">
        <v>766</v>
      </c>
      <c r="G614">
        <v>2</v>
      </c>
      <c r="H614" t="s">
        <v>569</v>
      </c>
      <c r="I614" t="s">
        <v>570</v>
      </c>
      <c r="J614" t="str">
        <f t="shared" si="27"/>
        <v>August</v>
      </c>
      <c r="K614" t="str">
        <f t="shared" si="28"/>
        <v>Q3</v>
      </c>
      <c r="L614">
        <f t="shared" si="29"/>
        <v>2025</v>
      </c>
    </row>
    <row r="615" spans="1:12" x14ac:dyDescent="0.3">
      <c r="A615" t="s">
        <v>1445</v>
      </c>
      <c r="B615" t="s">
        <v>1446</v>
      </c>
      <c r="C615" t="s">
        <v>27</v>
      </c>
      <c r="D615">
        <v>1</v>
      </c>
      <c r="E615" s="1">
        <v>45881</v>
      </c>
      <c r="F615" t="s">
        <v>766</v>
      </c>
      <c r="G615">
        <v>1</v>
      </c>
      <c r="H615" t="s">
        <v>569</v>
      </c>
      <c r="I615" t="s">
        <v>570</v>
      </c>
      <c r="J615" t="str">
        <f t="shared" si="27"/>
        <v>August</v>
      </c>
      <c r="K615" t="str">
        <f t="shared" si="28"/>
        <v>Q3</v>
      </c>
      <c r="L615">
        <f t="shared" si="29"/>
        <v>2025</v>
      </c>
    </row>
    <row r="616" spans="1:12" x14ac:dyDescent="0.3">
      <c r="A616" t="s">
        <v>1447</v>
      </c>
      <c r="B616" t="s">
        <v>1446</v>
      </c>
      <c r="C616" t="s">
        <v>27</v>
      </c>
      <c r="D616">
        <v>2</v>
      </c>
      <c r="E616" s="1">
        <v>45888</v>
      </c>
      <c r="F616" t="s">
        <v>625</v>
      </c>
      <c r="G616">
        <v>3</v>
      </c>
      <c r="H616" t="s">
        <v>578</v>
      </c>
      <c r="I616" t="s">
        <v>570</v>
      </c>
      <c r="J616" t="str">
        <f t="shared" si="27"/>
        <v>August</v>
      </c>
      <c r="K616" t="str">
        <f t="shared" si="28"/>
        <v>Q3</v>
      </c>
      <c r="L616">
        <f t="shared" si="29"/>
        <v>2025</v>
      </c>
    </row>
    <row r="617" spans="1:12" x14ac:dyDescent="0.3">
      <c r="A617" t="s">
        <v>1448</v>
      </c>
      <c r="B617" t="s">
        <v>1446</v>
      </c>
      <c r="C617" t="s">
        <v>27</v>
      </c>
      <c r="D617">
        <v>3</v>
      </c>
      <c r="E617" s="1">
        <v>45897</v>
      </c>
      <c r="F617" t="s">
        <v>629</v>
      </c>
      <c r="G617">
        <v>1</v>
      </c>
      <c r="H617" t="s">
        <v>569</v>
      </c>
      <c r="I617" t="s">
        <v>570</v>
      </c>
      <c r="J617" t="str">
        <f t="shared" si="27"/>
        <v>August</v>
      </c>
      <c r="K617" t="str">
        <f t="shared" si="28"/>
        <v>Q3</v>
      </c>
      <c r="L617">
        <f t="shared" si="29"/>
        <v>2025</v>
      </c>
    </row>
    <row r="618" spans="1:12" x14ac:dyDescent="0.3">
      <c r="A618" t="s">
        <v>1449</v>
      </c>
      <c r="B618" t="s">
        <v>1450</v>
      </c>
      <c r="C618" t="s">
        <v>68</v>
      </c>
      <c r="D618">
        <v>1</v>
      </c>
      <c r="E618" s="1">
        <v>45733</v>
      </c>
      <c r="F618" t="s">
        <v>632</v>
      </c>
      <c r="G618">
        <v>3</v>
      </c>
      <c r="H618" t="s">
        <v>578</v>
      </c>
      <c r="I618" t="s">
        <v>570</v>
      </c>
      <c r="J618" t="str">
        <f t="shared" si="27"/>
        <v>March</v>
      </c>
      <c r="K618" t="str">
        <f t="shared" si="28"/>
        <v>Q1</v>
      </c>
      <c r="L618">
        <f t="shared" si="29"/>
        <v>2025</v>
      </c>
    </row>
    <row r="619" spans="1:12" x14ac:dyDescent="0.3">
      <c r="A619" t="s">
        <v>1451</v>
      </c>
      <c r="B619" t="s">
        <v>1452</v>
      </c>
      <c r="C619" t="s">
        <v>27</v>
      </c>
      <c r="D619">
        <v>1</v>
      </c>
      <c r="E619" s="1">
        <v>45882</v>
      </c>
      <c r="F619" t="s">
        <v>629</v>
      </c>
      <c r="G619">
        <v>1</v>
      </c>
      <c r="H619" t="s">
        <v>569</v>
      </c>
      <c r="I619" t="s">
        <v>570</v>
      </c>
      <c r="J619" t="str">
        <f t="shared" si="27"/>
        <v>August</v>
      </c>
      <c r="K619" t="str">
        <f t="shared" si="28"/>
        <v>Q3</v>
      </c>
      <c r="L619">
        <f t="shared" si="29"/>
        <v>2025</v>
      </c>
    </row>
    <row r="620" spans="1:12" x14ac:dyDescent="0.3">
      <c r="A620" t="s">
        <v>1453</v>
      </c>
      <c r="B620" t="s">
        <v>1452</v>
      </c>
      <c r="C620" t="s">
        <v>27</v>
      </c>
      <c r="D620">
        <v>2</v>
      </c>
      <c r="E620" s="1">
        <v>45891</v>
      </c>
      <c r="F620" t="s">
        <v>625</v>
      </c>
      <c r="G620">
        <v>2</v>
      </c>
      <c r="H620" t="s">
        <v>569</v>
      </c>
      <c r="I620" t="s">
        <v>570</v>
      </c>
      <c r="J620" t="str">
        <f t="shared" si="27"/>
        <v>August</v>
      </c>
      <c r="K620" t="str">
        <f t="shared" si="28"/>
        <v>Q3</v>
      </c>
      <c r="L620">
        <f t="shared" si="29"/>
        <v>2025</v>
      </c>
    </row>
    <row r="621" spans="1:12" x14ac:dyDescent="0.3">
      <c r="A621" t="s">
        <v>1454</v>
      </c>
      <c r="B621" t="s">
        <v>1455</v>
      </c>
      <c r="C621" t="s">
        <v>41</v>
      </c>
      <c r="D621">
        <v>1</v>
      </c>
      <c r="E621" s="1">
        <v>45821</v>
      </c>
      <c r="F621" t="s">
        <v>603</v>
      </c>
      <c r="G621">
        <v>4</v>
      </c>
      <c r="H621" t="s">
        <v>581</v>
      </c>
      <c r="I621" t="s">
        <v>570</v>
      </c>
      <c r="J621" t="str">
        <f t="shared" si="27"/>
        <v>June</v>
      </c>
      <c r="K621" t="str">
        <f t="shared" si="28"/>
        <v>Q2</v>
      </c>
      <c r="L621">
        <f t="shared" si="29"/>
        <v>2025</v>
      </c>
    </row>
    <row r="622" spans="1:12" x14ac:dyDescent="0.3">
      <c r="A622" t="s">
        <v>1456</v>
      </c>
      <c r="B622" t="s">
        <v>1455</v>
      </c>
      <c r="C622" t="s">
        <v>41</v>
      </c>
      <c r="D622">
        <v>2</v>
      </c>
      <c r="E622" s="1">
        <v>45826</v>
      </c>
      <c r="F622" t="s">
        <v>612</v>
      </c>
      <c r="G622">
        <v>4</v>
      </c>
      <c r="H622" t="s">
        <v>581</v>
      </c>
      <c r="I622" t="s">
        <v>570</v>
      </c>
      <c r="J622" t="str">
        <f t="shared" si="27"/>
        <v>June</v>
      </c>
      <c r="K622" t="str">
        <f t="shared" si="28"/>
        <v>Q2</v>
      </c>
      <c r="L622">
        <f t="shared" si="29"/>
        <v>2025</v>
      </c>
    </row>
    <row r="623" spans="1:12" x14ac:dyDescent="0.3">
      <c r="A623" t="s">
        <v>1457</v>
      </c>
      <c r="B623" t="s">
        <v>1455</v>
      </c>
      <c r="C623" t="s">
        <v>41</v>
      </c>
      <c r="D623">
        <v>3</v>
      </c>
      <c r="E623" s="1">
        <v>45836</v>
      </c>
      <c r="F623" t="s">
        <v>577</v>
      </c>
      <c r="G623">
        <v>4</v>
      </c>
      <c r="H623" t="s">
        <v>581</v>
      </c>
      <c r="I623" t="s">
        <v>570</v>
      </c>
      <c r="J623" t="str">
        <f t="shared" si="27"/>
        <v>June</v>
      </c>
      <c r="K623" t="str">
        <f t="shared" si="28"/>
        <v>Q2</v>
      </c>
      <c r="L623">
        <f t="shared" si="29"/>
        <v>2025</v>
      </c>
    </row>
    <row r="624" spans="1:12" x14ac:dyDescent="0.3">
      <c r="A624" t="s">
        <v>1458</v>
      </c>
      <c r="B624" t="s">
        <v>1459</v>
      </c>
      <c r="C624" t="s">
        <v>176</v>
      </c>
      <c r="D624">
        <v>1</v>
      </c>
      <c r="E624" s="1">
        <v>45707</v>
      </c>
      <c r="F624" t="s">
        <v>577</v>
      </c>
      <c r="G624">
        <v>3</v>
      </c>
      <c r="H624" t="s">
        <v>578</v>
      </c>
      <c r="I624" t="s">
        <v>570</v>
      </c>
      <c r="J624" t="str">
        <f t="shared" si="27"/>
        <v>February</v>
      </c>
      <c r="K624" t="str">
        <f t="shared" si="28"/>
        <v>Q1</v>
      </c>
      <c r="L624">
        <f t="shared" si="29"/>
        <v>2025</v>
      </c>
    </row>
    <row r="625" spans="1:12" x14ac:dyDescent="0.3">
      <c r="A625" t="s">
        <v>1460</v>
      </c>
      <c r="B625" t="s">
        <v>1461</v>
      </c>
      <c r="C625" t="s">
        <v>156</v>
      </c>
      <c r="D625">
        <v>1</v>
      </c>
      <c r="E625" s="1">
        <v>45731</v>
      </c>
      <c r="F625" t="s">
        <v>766</v>
      </c>
      <c r="G625">
        <v>3</v>
      </c>
      <c r="H625" t="s">
        <v>578</v>
      </c>
      <c r="I625" t="s">
        <v>570</v>
      </c>
      <c r="J625" t="str">
        <f t="shared" si="27"/>
        <v>March</v>
      </c>
      <c r="K625" t="str">
        <f t="shared" si="28"/>
        <v>Q1</v>
      </c>
      <c r="L625">
        <f t="shared" si="29"/>
        <v>2025</v>
      </c>
    </row>
    <row r="626" spans="1:12" x14ac:dyDescent="0.3">
      <c r="A626" t="s">
        <v>1462</v>
      </c>
      <c r="B626" t="s">
        <v>1461</v>
      </c>
      <c r="C626" t="s">
        <v>156</v>
      </c>
      <c r="D626">
        <v>2</v>
      </c>
      <c r="E626" s="1">
        <v>45740</v>
      </c>
      <c r="F626" t="s">
        <v>592</v>
      </c>
      <c r="G626">
        <v>3</v>
      </c>
      <c r="H626" t="s">
        <v>578</v>
      </c>
      <c r="I626" t="s">
        <v>570</v>
      </c>
      <c r="J626" t="str">
        <f t="shared" si="27"/>
        <v>March</v>
      </c>
      <c r="K626" t="str">
        <f t="shared" si="28"/>
        <v>Q1</v>
      </c>
      <c r="L626">
        <f t="shared" si="29"/>
        <v>2025</v>
      </c>
    </row>
    <row r="627" spans="1:12" x14ac:dyDescent="0.3">
      <c r="A627" t="s">
        <v>1463</v>
      </c>
      <c r="B627" t="s">
        <v>1464</v>
      </c>
      <c r="C627" t="s">
        <v>51</v>
      </c>
      <c r="D627">
        <v>1</v>
      </c>
      <c r="E627" s="1">
        <v>45955</v>
      </c>
      <c r="F627" t="s">
        <v>586</v>
      </c>
      <c r="G627">
        <v>2</v>
      </c>
      <c r="H627" t="s">
        <v>569</v>
      </c>
      <c r="I627" t="s">
        <v>570</v>
      </c>
      <c r="J627" t="str">
        <f t="shared" si="27"/>
        <v>October</v>
      </c>
      <c r="K627" t="str">
        <f t="shared" si="28"/>
        <v>Q4</v>
      </c>
      <c r="L627">
        <f t="shared" si="29"/>
        <v>2025</v>
      </c>
    </row>
    <row r="628" spans="1:12" x14ac:dyDescent="0.3">
      <c r="A628" t="s">
        <v>1465</v>
      </c>
      <c r="B628" t="s">
        <v>1464</v>
      </c>
      <c r="C628" t="s">
        <v>51</v>
      </c>
      <c r="D628">
        <v>2</v>
      </c>
      <c r="E628" s="1">
        <v>45959</v>
      </c>
      <c r="F628" t="s">
        <v>568</v>
      </c>
      <c r="G628">
        <v>1</v>
      </c>
      <c r="H628" t="s">
        <v>569</v>
      </c>
      <c r="I628" t="s">
        <v>570</v>
      </c>
      <c r="J628" t="str">
        <f t="shared" si="27"/>
        <v>October</v>
      </c>
      <c r="K628" t="str">
        <f t="shared" si="28"/>
        <v>Q4</v>
      </c>
      <c r="L628">
        <f t="shared" si="29"/>
        <v>2025</v>
      </c>
    </row>
    <row r="629" spans="1:12" x14ac:dyDescent="0.3">
      <c r="A629" t="s">
        <v>1466</v>
      </c>
      <c r="B629" t="s">
        <v>1467</v>
      </c>
      <c r="C629" t="s">
        <v>41</v>
      </c>
      <c r="D629">
        <v>1</v>
      </c>
      <c r="E629" s="1">
        <v>45825</v>
      </c>
      <c r="F629" t="s">
        <v>603</v>
      </c>
      <c r="G629">
        <v>3</v>
      </c>
      <c r="H629" t="s">
        <v>578</v>
      </c>
      <c r="I629" t="s">
        <v>570</v>
      </c>
      <c r="J629" t="str">
        <f t="shared" si="27"/>
        <v>June</v>
      </c>
      <c r="K629" t="str">
        <f t="shared" si="28"/>
        <v>Q2</v>
      </c>
      <c r="L629">
        <f t="shared" si="29"/>
        <v>2025</v>
      </c>
    </row>
    <row r="630" spans="1:12" x14ac:dyDescent="0.3">
      <c r="A630" t="s">
        <v>1468</v>
      </c>
      <c r="B630" t="s">
        <v>1469</v>
      </c>
      <c r="C630" t="s">
        <v>166</v>
      </c>
      <c r="D630">
        <v>1</v>
      </c>
      <c r="E630" s="1">
        <v>45784</v>
      </c>
      <c r="F630" t="s">
        <v>621</v>
      </c>
      <c r="G630">
        <v>3</v>
      </c>
      <c r="H630" t="s">
        <v>578</v>
      </c>
      <c r="I630" t="s">
        <v>570</v>
      </c>
      <c r="J630" t="str">
        <f t="shared" si="27"/>
        <v>May</v>
      </c>
      <c r="K630" t="str">
        <f t="shared" si="28"/>
        <v>Q2</v>
      </c>
      <c r="L630">
        <f t="shared" si="29"/>
        <v>2025</v>
      </c>
    </row>
    <row r="631" spans="1:12" x14ac:dyDescent="0.3">
      <c r="A631" t="s">
        <v>1470</v>
      </c>
      <c r="B631" t="s">
        <v>1471</v>
      </c>
      <c r="C631" t="s">
        <v>45</v>
      </c>
      <c r="D631">
        <v>1</v>
      </c>
      <c r="E631" s="1">
        <v>45855</v>
      </c>
      <c r="F631" t="s">
        <v>592</v>
      </c>
      <c r="G631">
        <v>1</v>
      </c>
      <c r="H631" t="s">
        <v>569</v>
      </c>
      <c r="I631" t="s">
        <v>570</v>
      </c>
      <c r="J631" t="str">
        <f t="shared" si="27"/>
        <v>July</v>
      </c>
      <c r="K631" t="str">
        <f t="shared" si="28"/>
        <v>Q3</v>
      </c>
      <c r="L631">
        <f t="shared" si="29"/>
        <v>2025</v>
      </c>
    </row>
    <row r="632" spans="1:12" x14ac:dyDescent="0.3">
      <c r="A632" t="s">
        <v>1472</v>
      </c>
      <c r="B632" t="s">
        <v>1473</v>
      </c>
      <c r="C632" t="s">
        <v>37</v>
      </c>
      <c r="D632">
        <v>1</v>
      </c>
      <c r="E632" s="1">
        <v>45713</v>
      </c>
      <c r="F632" t="s">
        <v>568</v>
      </c>
      <c r="G632">
        <v>1</v>
      </c>
      <c r="H632" t="s">
        <v>569</v>
      </c>
      <c r="I632" t="s">
        <v>570</v>
      </c>
      <c r="J632" t="str">
        <f t="shared" si="27"/>
        <v>February</v>
      </c>
      <c r="K632" t="str">
        <f t="shared" si="28"/>
        <v>Q1</v>
      </c>
      <c r="L632">
        <f t="shared" si="29"/>
        <v>2025</v>
      </c>
    </row>
    <row r="633" spans="1:12" x14ac:dyDescent="0.3">
      <c r="A633" t="s">
        <v>1474</v>
      </c>
      <c r="B633" t="s">
        <v>1475</v>
      </c>
      <c r="C633" t="s">
        <v>123</v>
      </c>
      <c r="D633">
        <v>1</v>
      </c>
      <c r="E633" s="1">
        <v>45793</v>
      </c>
      <c r="F633" t="s">
        <v>592</v>
      </c>
      <c r="G633">
        <v>1</v>
      </c>
      <c r="H633" t="s">
        <v>569</v>
      </c>
      <c r="I633" t="s">
        <v>570</v>
      </c>
      <c r="J633" t="str">
        <f t="shared" si="27"/>
        <v>May</v>
      </c>
      <c r="K633" t="str">
        <f t="shared" si="28"/>
        <v>Q2</v>
      </c>
      <c r="L633">
        <f t="shared" si="29"/>
        <v>2025</v>
      </c>
    </row>
    <row r="634" spans="1:12" x14ac:dyDescent="0.3">
      <c r="A634" t="s">
        <v>1476</v>
      </c>
      <c r="B634" t="s">
        <v>1475</v>
      </c>
      <c r="C634" t="s">
        <v>123</v>
      </c>
      <c r="D634">
        <v>2</v>
      </c>
      <c r="E634" s="1">
        <v>45803</v>
      </c>
      <c r="F634" t="s">
        <v>629</v>
      </c>
      <c r="G634">
        <v>3</v>
      </c>
      <c r="H634" t="s">
        <v>578</v>
      </c>
      <c r="I634" t="s">
        <v>570</v>
      </c>
      <c r="J634" t="str">
        <f t="shared" si="27"/>
        <v>May</v>
      </c>
      <c r="K634" t="str">
        <f t="shared" si="28"/>
        <v>Q2</v>
      </c>
      <c r="L634">
        <f t="shared" si="29"/>
        <v>2025</v>
      </c>
    </row>
    <row r="635" spans="1:12" x14ac:dyDescent="0.3">
      <c r="A635" t="s">
        <v>1477</v>
      </c>
      <c r="B635" t="s">
        <v>1478</v>
      </c>
      <c r="C635" t="s">
        <v>166</v>
      </c>
      <c r="D635">
        <v>1</v>
      </c>
      <c r="E635" s="1">
        <v>45779</v>
      </c>
      <c r="F635" t="s">
        <v>621</v>
      </c>
      <c r="G635">
        <v>4</v>
      </c>
      <c r="H635" t="s">
        <v>581</v>
      </c>
      <c r="I635" t="s">
        <v>570</v>
      </c>
      <c r="J635" t="str">
        <f t="shared" si="27"/>
        <v>May</v>
      </c>
      <c r="K635" t="str">
        <f t="shared" si="28"/>
        <v>Q2</v>
      </c>
      <c r="L635">
        <f t="shared" si="29"/>
        <v>2025</v>
      </c>
    </row>
    <row r="636" spans="1:12" x14ac:dyDescent="0.3">
      <c r="A636" t="s">
        <v>1479</v>
      </c>
      <c r="B636" t="s">
        <v>1478</v>
      </c>
      <c r="C636" t="s">
        <v>166</v>
      </c>
      <c r="D636">
        <v>2</v>
      </c>
      <c r="E636" s="1">
        <v>45791</v>
      </c>
      <c r="F636" t="s">
        <v>621</v>
      </c>
      <c r="G636">
        <v>4</v>
      </c>
      <c r="H636" t="s">
        <v>581</v>
      </c>
      <c r="I636" t="s">
        <v>570</v>
      </c>
      <c r="J636" t="str">
        <f t="shared" si="27"/>
        <v>May</v>
      </c>
      <c r="K636" t="str">
        <f t="shared" si="28"/>
        <v>Q2</v>
      </c>
      <c r="L636">
        <f t="shared" si="29"/>
        <v>2025</v>
      </c>
    </row>
    <row r="637" spans="1:12" x14ac:dyDescent="0.3">
      <c r="A637" t="s">
        <v>1480</v>
      </c>
      <c r="B637" t="s">
        <v>1478</v>
      </c>
      <c r="C637" t="s">
        <v>166</v>
      </c>
      <c r="D637">
        <v>3</v>
      </c>
      <c r="E637" s="1">
        <v>45799</v>
      </c>
      <c r="F637" t="s">
        <v>596</v>
      </c>
      <c r="G637">
        <v>3</v>
      </c>
      <c r="H637" t="s">
        <v>578</v>
      </c>
      <c r="I637" t="s">
        <v>570</v>
      </c>
      <c r="J637" t="str">
        <f t="shared" si="27"/>
        <v>May</v>
      </c>
      <c r="K637" t="str">
        <f t="shared" si="28"/>
        <v>Q2</v>
      </c>
      <c r="L637">
        <f t="shared" si="29"/>
        <v>2025</v>
      </c>
    </row>
    <row r="638" spans="1:12" x14ac:dyDescent="0.3">
      <c r="A638" t="s">
        <v>1481</v>
      </c>
      <c r="B638" t="s">
        <v>1478</v>
      </c>
      <c r="C638" t="s">
        <v>166</v>
      </c>
      <c r="D638">
        <v>4</v>
      </c>
      <c r="E638" s="1">
        <v>45809</v>
      </c>
      <c r="F638" t="s">
        <v>572</v>
      </c>
      <c r="G638">
        <v>4</v>
      </c>
      <c r="H638" t="s">
        <v>581</v>
      </c>
      <c r="I638" t="s">
        <v>570</v>
      </c>
      <c r="J638" t="str">
        <f t="shared" si="27"/>
        <v>June</v>
      </c>
      <c r="K638" t="str">
        <f t="shared" si="28"/>
        <v>Q2</v>
      </c>
      <c r="L638">
        <f t="shared" si="29"/>
        <v>2025</v>
      </c>
    </row>
    <row r="639" spans="1:12" x14ac:dyDescent="0.3">
      <c r="A639" t="s">
        <v>1482</v>
      </c>
      <c r="B639" t="s">
        <v>1483</v>
      </c>
      <c r="C639" t="s">
        <v>240</v>
      </c>
      <c r="D639">
        <v>1</v>
      </c>
      <c r="E639" s="1">
        <v>45950</v>
      </c>
      <c r="F639" t="s">
        <v>586</v>
      </c>
      <c r="G639">
        <v>2</v>
      </c>
      <c r="H639" t="s">
        <v>569</v>
      </c>
      <c r="I639" t="s">
        <v>570</v>
      </c>
      <c r="J639" t="str">
        <f t="shared" si="27"/>
        <v>October</v>
      </c>
      <c r="K639" t="str">
        <f t="shared" si="28"/>
        <v>Q4</v>
      </c>
      <c r="L639">
        <f t="shared" si="29"/>
        <v>2025</v>
      </c>
    </row>
    <row r="640" spans="1:12" x14ac:dyDescent="0.3">
      <c r="A640" t="s">
        <v>1484</v>
      </c>
      <c r="B640" t="s">
        <v>1483</v>
      </c>
      <c r="C640" t="s">
        <v>240</v>
      </c>
      <c r="D640">
        <v>2</v>
      </c>
      <c r="E640" s="1">
        <v>45960</v>
      </c>
      <c r="F640" t="s">
        <v>568</v>
      </c>
      <c r="G640">
        <v>3</v>
      </c>
      <c r="H640" t="s">
        <v>578</v>
      </c>
      <c r="I640" t="s">
        <v>570</v>
      </c>
      <c r="J640" t="str">
        <f t="shared" si="27"/>
        <v>October</v>
      </c>
      <c r="K640" t="str">
        <f t="shared" si="28"/>
        <v>Q4</v>
      </c>
      <c r="L640">
        <f t="shared" si="29"/>
        <v>2025</v>
      </c>
    </row>
    <row r="641" spans="1:12" x14ac:dyDescent="0.3">
      <c r="A641" t="s">
        <v>1485</v>
      </c>
      <c r="B641" t="s">
        <v>305</v>
      </c>
      <c r="C641" t="s">
        <v>99</v>
      </c>
      <c r="D641">
        <v>1</v>
      </c>
      <c r="E641" s="1">
        <v>45854</v>
      </c>
      <c r="F641" t="s">
        <v>670</v>
      </c>
      <c r="G641">
        <v>4</v>
      </c>
      <c r="H641" t="s">
        <v>581</v>
      </c>
      <c r="I641" t="s">
        <v>570</v>
      </c>
      <c r="J641" t="str">
        <f t="shared" si="27"/>
        <v>July</v>
      </c>
      <c r="K641" t="str">
        <f t="shared" si="28"/>
        <v>Q3</v>
      </c>
      <c r="L641">
        <f t="shared" si="29"/>
        <v>2025</v>
      </c>
    </row>
    <row r="642" spans="1:12" x14ac:dyDescent="0.3">
      <c r="A642" t="s">
        <v>1486</v>
      </c>
      <c r="B642" t="s">
        <v>305</v>
      </c>
      <c r="C642" t="s">
        <v>99</v>
      </c>
      <c r="D642">
        <v>2</v>
      </c>
      <c r="E642" s="1">
        <v>45864</v>
      </c>
      <c r="F642" t="s">
        <v>625</v>
      </c>
      <c r="G642">
        <v>4</v>
      </c>
      <c r="H642" t="s">
        <v>581</v>
      </c>
      <c r="I642" t="s">
        <v>570</v>
      </c>
      <c r="J642" t="str">
        <f t="shared" ref="J642:J705" si="30">TEXT(E642,"mmmm")</f>
        <v>July</v>
      </c>
      <c r="K642" t="str">
        <f t="shared" ref="K642:K705" si="31">"Q"&amp;ROUNDUP(MONTH(E642)/3,0)</f>
        <v>Q3</v>
      </c>
      <c r="L642">
        <f t="shared" ref="L642:L705" si="32">YEAR(E642)</f>
        <v>2025</v>
      </c>
    </row>
    <row r="643" spans="1:12" x14ac:dyDescent="0.3">
      <c r="A643" t="s">
        <v>1487</v>
      </c>
      <c r="B643" t="s">
        <v>1488</v>
      </c>
      <c r="C643" t="s">
        <v>22</v>
      </c>
      <c r="D643">
        <v>1</v>
      </c>
      <c r="E643" s="1">
        <v>45843</v>
      </c>
      <c r="F643" t="s">
        <v>605</v>
      </c>
      <c r="G643">
        <v>2</v>
      </c>
      <c r="H643" t="s">
        <v>569</v>
      </c>
      <c r="I643" t="s">
        <v>570</v>
      </c>
      <c r="J643" t="str">
        <f t="shared" si="30"/>
        <v>July</v>
      </c>
      <c r="K643" t="str">
        <f t="shared" si="31"/>
        <v>Q3</v>
      </c>
      <c r="L643">
        <f t="shared" si="32"/>
        <v>2025</v>
      </c>
    </row>
    <row r="644" spans="1:12" x14ac:dyDescent="0.3">
      <c r="A644" t="s">
        <v>1489</v>
      </c>
      <c r="B644" t="s">
        <v>1488</v>
      </c>
      <c r="C644" t="s">
        <v>22</v>
      </c>
      <c r="D644">
        <v>2</v>
      </c>
      <c r="E644" s="1">
        <v>45854</v>
      </c>
      <c r="F644" t="s">
        <v>625</v>
      </c>
      <c r="G644">
        <v>2</v>
      </c>
      <c r="H644" t="s">
        <v>569</v>
      </c>
      <c r="I644" t="s">
        <v>570</v>
      </c>
      <c r="J644" t="str">
        <f t="shared" si="30"/>
        <v>July</v>
      </c>
      <c r="K644" t="str">
        <f t="shared" si="31"/>
        <v>Q3</v>
      </c>
      <c r="L644">
        <f t="shared" si="32"/>
        <v>2025</v>
      </c>
    </row>
    <row r="645" spans="1:12" x14ac:dyDescent="0.3">
      <c r="A645" t="s">
        <v>1490</v>
      </c>
      <c r="B645" t="s">
        <v>1491</v>
      </c>
      <c r="C645" t="s">
        <v>156</v>
      </c>
      <c r="D645">
        <v>1</v>
      </c>
      <c r="E645" s="1">
        <v>45737</v>
      </c>
      <c r="F645" t="s">
        <v>580</v>
      </c>
      <c r="G645">
        <v>2</v>
      </c>
      <c r="H645" t="s">
        <v>569</v>
      </c>
      <c r="I645" t="s">
        <v>570</v>
      </c>
      <c r="J645" t="str">
        <f t="shared" si="30"/>
        <v>March</v>
      </c>
      <c r="K645" t="str">
        <f t="shared" si="31"/>
        <v>Q1</v>
      </c>
      <c r="L645">
        <f t="shared" si="32"/>
        <v>2025</v>
      </c>
    </row>
    <row r="646" spans="1:12" x14ac:dyDescent="0.3">
      <c r="A646" t="s">
        <v>1492</v>
      </c>
      <c r="B646" t="s">
        <v>1491</v>
      </c>
      <c r="C646" t="s">
        <v>156</v>
      </c>
      <c r="D646">
        <v>2</v>
      </c>
      <c r="E646" s="1">
        <v>45749</v>
      </c>
      <c r="F646" t="s">
        <v>766</v>
      </c>
      <c r="G646">
        <v>1</v>
      </c>
      <c r="H646" t="s">
        <v>569</v>
      </c>
      <c r="I646" t="s">
        <v>570</v>
      </c>
      <c r="J646" t="str">
        <f t="shared" si="30"/>
        <v>April</v>
      </c>
      <c r="K646" t="str">
        <f t="shared" si="31"/>
        <v>Q2</v>
      </c>
      <c r="L646">
        <f t="shared" si="32"/>
        <v>2025</v>
      </c>
    </row>
    <row r="647" spans="1:12" x14ac:dyDescent="0.3">
      <c r="A647" t="s">
        <v>1493</v>
      </c>
      <c r="B647" t="s">
        <v>1494</v>
      </c>
      <c r="C647" t="s">
        <v>92</v>
      </c>
      <c r="D647">
        <v>1</v>
      </c>
      <c r="E647" s="1">
        <v>45764</v>
      </c>
      <c r="F647" t="s">
        <v>577</v>
      </c>
      <c r="G647">
        <v>2</v>
      </c>
      <c r="H647" t="s">
        <v>569</v>
      </c>
      <c r="I647" t="s">
        <v>570</v>
      </c>
      <c r="J647" t="str">
        <f t="shared" si="30"/>
        <v>April</v>
      </c>
      <c r="K647" t="str">
        <f t="shared" si="31"/>
        <v>Q2</v>
      </c>
      <c r="L647">
        <f t="shared" si="32"/>
        <v>2025</v>
      </c>
    </row>
    <row r="648" spans="1:12" x14ac:dyDescent="0.3">
      <c r="A648" t="s">
        <v>1495</v>
      </c>
      <c r="B648" t="s">
        <v>1494</v>
      </c>
      <c r="C648" t="s">
        <v>92</v>
      </c>
      <c r="D648">
        <v>2</v>
      </c>
      <c r="E648" s="1">
        <v>45769</v>
      </c>
      <c r="F648" t="s">
        <v>603</v>
      </c>
      <c r="G648">
        <v>2</v>
      </c>
      <c r="H648" t="s">
        <v>569</v>
      </c>
      <c r="I648" t="s">
        <v>608</v>
      </c>
      <c r="J648" t="str">
        <f t="shared" si="30"/>
        <v>April</v>
      </c>
      <c r="K648" t="str">
        <f t="shared" si="31"/>
        <v>Q2</v>
      </c>
      <c r="L648">
        <f t="shared" si="32"/>
        <v>2025</v>
      </c>
    </row>
    <row r="649" spans="1:12" x14ac:dyDescent="0.3">
      <c r="A649" t="s">
        <v>1496</v>
      </c>
      <c r="B649" t="s">
        <v>1497</v>
      </c>
      <c r="C649" t="s">
        <v>92</v>
      </c>
      <c r="D649">
        <v>1</v>
      </c>
      <c r="E649" s="1">
        <v>45775</v>
      </c>
      <c r="F649" t="s">
        <v>577</v>
      </c>
      <c r="G649">
        <v>3</v>
      </c>
      <c r="H649" t="s">
        <v>578</v>
      </c>
      <c r="I649" t="s">
        <v>570</v>
      </c>
      <c r="J649" t="str">
        <f t="shared" si="30"/>
        <v>April</v>
      </c>
      <c r="K649" t="str">
        <f t="shared" si="31"/>
        <v>Q2</v>
      </c>
      <c r="L649">
        <f t="shared" si="32"/>
        <v>2025</v>
      </c>
    </row>
    <row r="650" spans="1:12" x14ac:dyDescent="0.3">
      <c r="A650" t="s">
        <v>1498</v>
      </c>
      <c r="B650" t="s">
        <v>1497</v>
      </c>
      <c r="C650" t="s">
        <v>92</v>
      </c>
      <c r="D650">
        <v>2</v>
      </c>
      <c r="E650" s="1">
        <v>45780</v>
      </c>
      <c r="F650" t="s">
        <v>605</v>
      </c>
      <c r="G650">
        <v>2</v>
      </c>
      <c r="H650" t="s">
        <v>569</v>
      </c>
      <c r="I650" t="s">
        <v>570</v>
      </c>
      <c r="J650" t="str">
        <f t="shared" si="30"/>
        <v>May</v>
      </c>
      <c r="K650" t="str">
        <f t="shared" si="31"/>
        <v>Q2</v>
      </c>
      <c r="L650">
        <f t="shared" si="32"/>
        <v>2025</v>
      </c>
    </row>
    <row r="651" spans="1:12" x14ac:dyDescent="0.3">
      <c r="A651" t="s">
        <v>1499</v>
      </c>
      <c r="B651" t="s">
        <v>1497</v>
      </c>
      <c r="C651" t="s">
        <v>92</v>
      </c>
      <c r="D651">
        <v>3</v>
      </c>
      <c r="E651" s="1">
        <v>45785</v>
      </c>
      <c r="F651" t="s">
        <v>603</v>
      </c>
      <c r="G651">
        <v>3</v>
      </c>
      <c r="H651" t="s">
        <v>578</v>
      </c>
      <c r="I651" t="s">
        <v>570</v>
      </c>
      <c r="J651" t="str">
        <f t="shared" si="30"/>
        <v>May</v>
      </c>
      <c r="K651" t="str">
        <f t="shared" si="31"/>
        <v>Q2</v>
      </c>
      <c r="L651">
        <f t="shared" si="32"/>
        <v>2025</v>
      </c>
    </row>
    <row r="652" spans="1:12" x14ac:dyDescent="0.3">
      <c r="A652" t="s">
        <v>1500</v>
      </c>
      <c r="B652" t="s">
        <v>211</v>
      </c>
      <c r="C652" t="s">
        <v>96</v>
      </c>
      <c r="D652">
        <v>1</v>
      </c>
      <c r="E652" s="1">
        <v>45880</v>
      </c>
      <c r="F652" t="s">
        <v>625</v>
      </c>
      <c r="G652">
        <v>4</v>
      </c>
      <c r="H652" t="s">
        <v>581</v>
      </c>
      <c r="I652" t="s">
        <v>570</v>
      </c>
      <c r="J652" t="str">
        <f t="shared" si="30"/>
        <v>August</v>
      </c>
      <c r="K652" t="str">
        <f t="shared" si="31"/>
        <v>Q3</v>
      </c>
      <c r="L652">
        <f t="shared" si="32"/>
        <v>2025</v>
      </c>
    </row>
    <row r="653" spans="1:12" x14ac:dyDescent="0.3">
      <c r="A653" t="s">
        <v>1501</v>
      </c>
      <c r="B653" t="s">
        <v>211</v>
      </c>
      <c r="C653" t="s">
        <v>96</v>
      </c>
      <c r="D653">
        <v>2</v>
      </c>
      <c r="E653" s="1">
        <v>45885</v>
      </c>
      <c r="F653" t="s">
        <v>625</v>
      </c>
      <c r="G653">
        <v>3</v>
      </c>
      <c r="H653" t="s">
        <v>578</v>
      </c>
      <c r="I653" t="s">
        <v>570</v>
      </c>
      <c r="J653" t="str">
        <f t="shared" si="30"/>
        <v>August</v>
      </c>
      <c r="K653" t="str">
        <f t="shared" si="31"/>
        <v>Q3</v>
      </c>
      <c r="L653">
        <f t="shared" si="32"/>
        <v>2025</v>
      </c>
    </row>
    <row r="654" spans="1:12" x14ac:dyDescent="0.3">
      <c r="A654" t="s">
        <v>1502</v>
      </c>
      <c r="B654" t="s">
        <v>211</v>
      </c>
      <c r="C654" t="s">
        <v>96</v>
      </c>
      <c r="D654">
        <v>3</v>
      </c>
      <c r="E654" s="1">
        <v>45897</v>
      </c>
      <c r="F654" t="s">
        <v>625</v>
      </c>
      <c r="G654">
        <v>4</v>
      </c>
      <c r="H654" t="s">
        <v>581</v>
      </c>
      <c r="I654" t="s">
        <v>570</v>
      </c>
      <c r="J654" t="str">
        <f t="shared" si="30"/>
        <v>August</v>
      </c>
      <c r="K654" t="str">
        <f t="shared" si="31"/>
        <v>Q3</v>
      </c>
      <c r="L654">
        <f t="shared" si="32"/>
        <v>2025</v>
      </c>
    </row>
    <row r="655" spans="1:12" x14ac:dyDescent="0.3">
      <c r="A655" t="s">
        <v>1503</v>
      </c>
      <c r="B655" t="s">
        <v>211</v>
      </c>
      <c r="C655" t="s">
        <v>96</v>
      </c>
      <c r="D655">
        <v>4</v>
      </c>
      <c r="E655" s="1">
        <v>45905</v>
      </c>
      <c r="F655" t="s">
        <v>572</v>
      </c>
      <c r="G655">
        <v>4</v>
      </c>
      <c r="H655" t="s">
        <v>581</v>
      </c>
      <c r="I655" t="s">
        <v>570</v>
      </c>
      <c r="J655" t="str">
        <f t="shared" si="30"/>
        <v>September</v>
      </c>
      <c r="K655" t="str">
        <f t="shared" si="31"/>
        <v>Q3</v>
      </c>
      <c r="L655">
        <f t="shared" si="32"/>
        <v>2025</v>
      </c>
    </row>
    <row r="656" spans="1:12" x14ac:dyDescent="0.3">
      <c r="A656" t="s">
        <v>1504</v>
      </c>
      <c r="B656" t="s">
        <v>1505</v>
      </c>
      <c r="C656" t="s">
        <v>65</v>
      </c>
      <c r="D656">
        <v>1</v>
      </c>
      <c r="E656" s="1">
        <v>45935</v>
      </c>
      <c r="F656" t="s">
        <v>596</v>
      </c>
      <c r="G656">
        <v>1</v>
      </c>
      <c r="H656" t="s">
        <v>569</v>
      </c>
      <c r="I656" t="s">
        <v>570</v>
      </c>
      <c r="J656" t="str">
        <f t="shared" si="30"/>
        <v>October</v>
      </c>
      <c r="K656" t="str">
        <f t="shared" si="31"/>
        <v>Q4</v>
      </c>
      <c r="L656">
        <f t="shared" si="32"/>
        <v>2025</v>
      </c>
    </row>
    <row r="657" spans="1:12" x14ac:dyDescent="0.3">
      <c r="A657" t="s">
        <v>1506</v>
      </c>
      <c r="B657" t="s">
        <v>1505</v>
      </c>
      <c r="C657" t="s">
        <v>65</v>
      </c>
      <c r="D657">
        <v>2</v>
      </c>
      <c r="E657" s="1">
        <v>45947</v>
      </c>
      <c r="F657" t="s">
        <v>568</v>
      </c>
      <c r="G657">
        <v>1</v>
      </c>
      <c r="H657" t="s">
        <v>569</v>
      </c>
      <c r="I657" t="s">
        <v>570</v>
      </c>
      <c r="J657" t="str">
        <f t="shared" si="30"/>
        <v>October</v>
      </c>
      <c r="K657" t="str">
        <f t="shared" si="31"/>
        <v>Q4</v>
      </c>
      <c r="L657">
        <f t="shared" si="32"/>
        <v>2025</v>
      </c>
    </row>
    <row r="658" spans="1:12" x14ac:dyDescent="0.3">
      <c r="A658" t="s">
        <v>1507</v>
      </c>
      <c r="B658" t="s">
        <v>1508</v>
      </c>
      <c r="C658" t="s">
        <v>16</v>
      </c>
      <c r="D658">
        <v>1</v>
      </c>
      <c r="E658" s="1">
        <v>45760</v>
      </c>
      <c r="F658" t="s">
        <v>706</v>
      </c>
      <c r="G658">
        <v>2</v>
      </c>
      <c r="H658" t="s">
        <v>569</v>
      </c>
      <c r="I658" t="s">
        <v>570</v>
      </c>
      <c r="J658" t="str">
        <f t="shared" si="30"/>
        <v>April</v>
      </c>
      <c r="K658" t="str">
        <f t="shared" si="31"/>
        <v>Q2</v>
      </c>
      <c r="L658">
        <f t="shared" si="32"/>
        <v>2025</v>
      </c>
    </row>
    <row r="659" spans="1:12" x14ac:dyDescent="0.3">
      <c r="A659" t="s">
        <v>1509</v>
      </c>
      <c r="B659" t="s">
        <v>1508</v>
      </c>
      <c r="C659" t="s">
        <v>16</v>
      </c>
      <c r="D659">
        <v>2</v>
      </c>
      <c r="E659" s="1">
        <v>45769</v>
      </c>
      <c r="F659" t="s">
        <v>596</v>
      </c>
      <c r="G659">
        <v>1</v>
      </c>
      <c r="H659" t="s">
        <v>569</v>
      </c>
      <c r="I659" t="s">
        <v>570</v>
      </c>
      <c r="J659" t="str">
        <f t="shared" si="30"/>
        <v>April</v>
      </c>
      <c r="K659" t="str">
        <f t="shared" si="31"/>
        <v>Q2</v>
      </c>
      <c r="L659">
        <f t="shared" si="32"/>
        <v>2025</v>
      </c>
    </row>
    <row r="660" spans="1:12" x14ac:dyDescent="0.3">
      <c r="A660" t="s">
        <v>1510</v>
      </c>
      <c r="B660" t="s">
        <v>1511</v>
      </c>
      <c r="C660" t="s">
        <v>429</v>
      </c>
      <c r="D660">
        <v>1</v>
      </c>
      <c r="E660" s="1">
        <v>45769</v>
      </c>
      <c r="F660" t="s">
        <v>741</v>
      </c>
      <c r="G660">
        <v>4</v>
      </c>
      <c r="H660" t="s">
        <v>581</v>
      </c>
      <c r="I660" t="s">
        <v>570</v>
      </c>
      <c r="J660" t="str">
        <f t="shared" si="30"/>
        <v>April</v>
      </c>
      <c r="K660" t="str">
        <f t="shared" si="31"/>
        <v>Q2</v>
      </c>
      <c r="L660">
        <f t="shared" si="32"/>
        <v>2025</v>
      </c>
    </row>
    <row r="661" spans="1:12" x14ac:dyDescent="0.3">
      <c r="A661" t="s">
        <v>1512</v>
      </c>
      <c r="B661" t="s">
        <v>1513</v>
      </c>
      <c r="C661" t="s">
        <v>201</v>
      </c>
      <c r="D661">
        <v>1</v>
      </c>
      <c r="E661" s="1">
        <v>45966</v>
      </c>
      <c r="F661" t="s">
        <v>605</v>
      </c>
      <c r="G661">
        <v>3</v>
      </c>
      <c r="H661" t="s">
        <v>578</v>
      </c>
      <c r="I661" t="s">
        <v>570</v>
      </c>
      <c r="J661" t="str">
        <f t="shared" si="30"/>
        <v>November</v>
      </c>
      <c r="K661" t="str">
        <f t="shared" si="31"/>
        <v>Q4</v>
      </c>
      <c r="L661">
        <f t="shared" si="32"/>
        <v>2025</v>
      </c>
    </row>
    <row r="662" spans="1:12" x14ac:dyDescent="0.3">
      <c r="A662" t="s">
        <v>1514</v>
      </c>
      <c r="B662" t="s">
        <v>1513</v>
      </c>
      <c r="C662" t="s">
        <v>201</v>
      </c>
      <c r="D662">
        <v>2</v>
      </c>
      <c r="E662" s="1">
        <v>45978</v>
      </c>
      <c r="F662" t="s">
        <v>625</v>
      </c>
      <c r="G662">
        <v>1</v>
      </c>
      <c r="H662" t="s">
        <v>569</v>
      </c>
      <c r="I662" t="s">
        <v>570</v>
      </c>
      <c r="J662" t="str">
        <f t="shared" si="30"/>
        <v>November</v>
      </c>
      <c r="K662" t="str">
        <f t="shared" si="31"/>
        <v>Q4</v>
      </c>
      <c r="L662">
        <f t="shared" si="32"/>
        <v>2025</v>
      </c>
    </row>
    <row r="663" spans="1:12" x14ac:dyDescent="0.3">
      <c r="A663" t="s">
        <v>1515</v>
      </c>
      <c r="B663" t="s">
        <v>1513</v>
      </c>
      <c r="C663" t="s">
        <v>201</v>
      </c>
      <c r="D663">
        <v>3</v>
      </c>
      <c r="E663" s="1">
        <v>45983</v>
      </c>
      <c r="F663" t="s">
        <v>625</v>
      </c>
      <c r="G663">
        <v>2</v>
      </c>
      <c r="H663" t="s">
        <v>569</v>
      </c>
      <c r="I663" t="s">
        <v>570</v>
      </c>
      <c r="J663" t="str">
        <f t="shared" si="30"/>
        <v>November</v>
      </c>
      <c r="K663" t="str">
        <f t="shared" si="31"/>
        <v>Q4</v>
      </c>
      <c r="L663">
        <f t="shared" si="32"/>
        <v>2025</v>
      </c>
    </row>
    <row r="664" spans="1:12" x14ac:dyDescent="0.3">
      <c r="A664" t="s">
        <v>1516</v>
      </c>
      <c r="B664" t="s">
        <v>1513</v>
      </c>
      <c r="C664" t="s">
        <v>201</v>
      </c>
      <c r="D664">
        <v>4</v>
      </c>
      <c r="E664" s="1">
        <v>45989</v>
      </c>
      <c r="F664" t="s">
        <v>625</v>
      </c>
      <c r="G664">
        <v>1</v>
      </c>
      <c r="H664" t="s">
        <v>569</v>
      </c>
      <c r="I664" t="s">
        <v>570</v>
      </c>
      <c r="J664" t="str">
        <f t="shared" si="30"/>
        <v>November</v>
      </c>
      <c r="K664" t="str">
        <f t="shared" si="31"/>
        <v>Q4</v>
      </c>
      <c r="L664">
        <f t="shared" si="32"/>
        <v>2025</v>
      </c>
    </row>
    <row r="665" spans="1:12" x14ac:dyDescent="0.3">
      <c r="A665" t="s">
        <v>1517</v>
      </c>
      <c r="B665" t="s">
        <v>1518</v>
      </c>
      <c r="C665" t="s">
        <v>191</v>
      </c>
      <c r="D665">
        <v>1</v>
      </c>
      <c r="E665" s="1">
        <v>45664</v>
      </c>
      <c r="F665" t="s">
        <v>621</v>
      </c>
      <c r="G665">
        <v>2</v>
      </c>
      <c r="H665" t="s">
        <v>569</v>
      </c>
      <c r="I665" t="s">
        <v>570</v>
      </c>
      <c r="J665" t="str">
        <f t="shared" si="30"/>
        <v>January</v>
      </c>
      <c r="K665" t="str">
        <f t="shared" si="31"/>
        <v>Q1</v>
      </c>
      <c r="L665">
        <f t="shared" si="32"/>
        <v>2025</v>
      </c>
    </row>
    <row r="666" spans="1:12" x14ac:dyDescent="0.3">
      <c r="A666" t="s">
        <v>1519</v>
      </c>
      <c r="B666" t="s">
        <v>253</v>
      </c>
      <c r="C666" t="s">
        <v>166</v>
      </c>
      <c r="D666">
        <v>1</v>
      </c>
      <c r="E666" s="1">
        <v>45781</v>
      </c>
      <c r="F666" t="s">
        <v>596</v>
      </c>
      <c r="G666">
        <v>4</v>
      </c>
      <c r="H666" t="s">
        <v>581</v>
      </c>
      <c r="I666" t="s">
        <v>570</v>
      </c>
      <c r="J666" t="str">
        <f t="shared" si="30"/>
        <v>May</v>
      </c>
      <c r="K666" t="str">
        <f t="shared" si="31"/>
        <v>Q2</v>
      </c>
      <c r="L666">
        <f t="shared" si="32"/>
        <v>2025</v>
      </c>
    </row>
    <row r="667" spans="1:12" x14ac:dyDescent="0.3">
      <c r="A667" t="s">
        <v>1520</v>
      </c>
      <c r="B667" t="s">
        <v>1521</v>
      </c>
      <c r="C667" t="s">
        <v>195</v>
      </c>
      <c r="D667">
        <v>1</v>
      </c>
      <c r="E667" s="1">
        <v>45849</v>
      </c>
      <c r="F667" t="s">
        <v>586</v>
      </c>
      <c r="G667">
        <v>1</v>
      </c>
      <c r="H667" t="s">
        <v>569</v>
      </c>
      <c r="I667" t="s">
        <v>570</v>
      </c>
      <c r="J667" t="str">
        <f t="shared" si="30"/>
        <v>July</v>
      </c>
      <c r="K667" t="str">
        <f t="shared" si="31"/>
        <v>Q3</v>
      </c>
      <c r="L667">
        <f t="shared" si="32"/>
        <v>2025</v>
      </c>
    </row>
    <row r="668" spans="1:12" x14ac:dyDescent="0.3">
      <c r="A668" t="s">
        <v>1522</v>
      </c>
      <c r="B668" t="s">
        <v>1521</v>
      </c>
      <c r="C668" t="s">
        <v>195</v>
      </c>
      <c r="D668">
        <v>2</v>
      </c>
      <c r="E668" s="1">
        <v>45858</v>
      </c>
      <c r="F668" t="s">
        <v>632</v>
      </c>
      <c r="G668">
        <v>3</v>
      </c>
      <c r="H668" t="s">
        <v>578</v>
      </c>
      <c r="I668" t="s">
        <v>570</v>
      </c>
      <c r="J668" t="str">
        <f t="shared" si="30"/>
        <v>July</v>
      </c>
      <c r="K668" t="str">
        <f t="shared" si="31"/>
        <v>Q3</v>
      </c>
      <c r="L668">
        <f t="shared" si="32"/>
        <v>2025</v>
      </c>
    </row>
    <row r="669" spans="1:12" x14ac:dyDescent="0.3">
      <c r="A669" t="s">
        <v>1523</v>
      </c>
      <c r="B669" t="s">
        <v>1521</v>
      </c>
      <c r="C669" t="s">
        <v>195</v>
      </c>
      <c r="D669">
        <v>3</v>
      </c>
      <c r="E669" s="1">
        <v>45862</v>
      </c>
      <c r="F669" t="s">
        <v>632</v>
      </c>
      <c r="G669">
        <v>1</v>
      </c>
      <c r="H669" t="s">
        <v>569</v>
      </c>
      <c r="I669" t="s">
        <v>570</v>
      </c>
      <c r="J669" t="str">
        <f t="shared" si="30"/>
        <v>July</v>
      </c>
      <c r="K669" t="str">
        <f t="shared" si="31"/>
        <v>Q3</v>
      </c>
      <c r="L669">
        <f t="shared" si="32"/>
        <v>2025</v>
      </c>
    </row>
    <row r="670" spans="1:12" x14ac:dyDescent="0.3">
      <c r="A670" t="s">
        <v>1524</v>
      </c>
      <c r="B670" t="s">
        <v>1521</v>
      </c>
      <c r="C670" t="s">
        <v>195</v>
      </c>
      <c r="D670">
        <v>4</v>
      </c>
      <c r="E670" s="1">
        <v>45874</v>
      </c>
      <c r="F670" t="s">
        <v>575</v>
      </c>
      <c r="G670">
        <v>2</v>
      </c>
      <c r="H670" t="s">
        <v>569</v>
      </c>
      <c r="I670" t="s">
        <v>608</v>
      </c>
      <c r="J670" t="str">
        <f t="shared" si="30"/>
        <v>August</v>
      </c>
      <c r="K670" t="str">
        <f t="shared" si="31"/>
        <v>Q3</v>
      </c>
      <c r="L670">
        <f t="shared" si="32"/>
        <v>2025</v>
      </c>
    </row>
    <row r="671" spans="1:12" x14ac:dyDescent="0.3">
      <c r="A671" t="s">
        <v>1525</v>
      </c>
      <c r="B671" t="s">
        <v>1526</v>
      </c>
      <c r="C671" t="s">
        <v>88</v>
      </c>
      <c r="D671">
        <v>1</v>
      </c>
      <c r="E671" s="1">
        <v>45745</v>
      </c>
      <c r="F671" t="s">
        <v>572</v>
      </c>
      <c r="G671">
        <v>1</v>
      </c>
      <c r="H671" t="s">
        <v>569</v>
      </c>
      <c r="I671" t="s">
        <v>570</v>
      </c>
      <c r="J671" t="str">
        <f t="shared" si="30"/>
        <v>March</v>
      </c>
      <c r="K671" t="str">
        <f t="shared" si="31"/>
        <v>Q1</v>
      </c>
      <c r="L671">
        <f t="shared" si="32"/>
        <v>2025</v>
      </c>
    </row>
    <row r="672" spans="1:12" x14ac:dyDescent="0.3">
      <c r="A672" t="s">
        <v>1527</v>
      </c>
      <c r="B672" t="s">
        <v>1528</v>
      </c>
      <c r="C672" t="s">
        <v>191</v>
      </c>
      <c r="D672">
        <v>1</v>
      </c>
      <c r="E672" s="1">
        <v>45677</v>
      </c>
      <c r="F672" t="s">
        <v>988</v>
      </c>
      <c r="G672">
        <v>2</v>
      </c>
      <c r="H672" t="s">
        <v>569</v>
      </c>
      <c r="I672" t="s">
        <v>570</v>
      </c>
      <c r="J672" t="str">
        <f t="shared" si="30"/>
        <v>January</v>
      </c>
      <c r="K672" t="str">
        <f t="shared" si="31"/>
        <v>Q1</v>
      </c>
      <c r="L672">
        <f t="shared" si="32"/>
        <v>2025</v>
      </c>
    </row>
    <row r="673" spans="1:12" x14ac:dyDescent="0.3">
      <c r="A673" t="s">
        <v>1529</v>
      </c>
      <c r="B673" t="s">
        <v>1528</v>
      </c>
      <c r="C673" t="s">
        <v>191</v>
      </c>
      <c r="D673">
        <v>2</v>
      </c>
      <c r="E673" s="1">
        <v>45682</v>
      </c>
      <c r="F673" t="s">
        <v>600</v>
      </c>
      <c r="G673">
        <v>2</v>
      </c>
      <c r="H673" t="s">
        <v>569</v>
      </c>
      <c r="I673" t="s">
        <v>570</v>
      </c>
      <c r="J673" t="str">
        <f t="shared" si="30"/>
        <v>January</v>
      </c>
      <c r="K673" t="str">
        <f t="shared" si="31"/>
        <v>Q1</v>
      </c>
      <c r="L673">
        <f t="shared" si="32"/>
        <v>2025</v>
      </c>
    </row>
    <row r="674" spans="1:12" x14ac:dyDescent="0.3">
      <c r="A674" t="s">
        <v>1530</v>
      </c>
      <c r="B674" t="s">
        <v>1528</v>
      </c>
      <c r="C674" t="s">
        <v>191</v>
      </c>
      <c r="D674">
        <v>3</v>
      </c>
      <c r="E674" s="1">
        <v>45694</v>
      </c>
      <c r="F674" t="s">
        <v>600</v>
      </c>
      <c r="G674">
        <v>1</v>
      </c>
      <c r="H674" t="s">
        <v>569</v>
      </c>
      <c r="I674" t="s">
        <v>570</v>
      </c>
      <c r="J674" t="str">
        <f t="shared" si="30"/>
        <v>February</v>
      </c>
      <c r="K674" t="str">
        <f t="shared" si="31"/>
        <v>Q1</v>
      </c>
      <c r="L674">
        <f t="shared" si="32"/>
        <v>2025</v>
      </c>
    </row>
    <row r="675" spans="1:12" x14ac:dyDescent="0.3">
      <c r="A675" t="s">
        <v>1531</v>
      </c>
      <c r="B675" t="s">
        <v>349</v>
      </c>
      <c r="C675" t="s">
        <v>16</v>
      </c>
      <c r="D675">
        <v>1</v>
      </c>
      <c r="E675" s="1">
        <v>45761</v>
      </c>
      <c r="F675" t="s">
        <v>625</v>
      </c>
      <c r="G675">
        <v>4</v>
      </c>
      <c r="H675" t="s">
        <v>581</v>
      </c>
      <c r="I675" t="s">
        <v>570</v>
      </c>
      <c r="J675" t="str">
        <f t="shared" si="30"/>
        <v>April</v>
      </c>
      <c r="K675" t="str">
        <f t="shared" si="31"/>
        <v>Q2</v>
      </c>
      <c r="L675">
        <f t="shared" si="32"/>
        <v>2025</v>
      </c>
    </row>
    <row r="676" spans="1:12" x14ac:dyDescent="0.3">
      <c r="A676" t="s">
        <v>1532</v>
      </c>
      <c r="B676" t="s">
        <v>349</v>
      </c>
      <c r="C676" t="s">
        <v>16</v>
      </c>
      <c r="D676">
        <v>2</v>
      </c>
      <c r="E676" s="1">
        <v>45771</v>
      </c>
      <c r="F676" t="s">
        <v>596</v>
      </c>
      <c r="G676">
        <v>4</v>
      </c>
      <c r="H676" t="s">
        <v>581</v>
      </c>
      <c r="I676" t="s">
        <v>570</v>
      </c>
      <c r="J676" t="str">
        <f t="shared" si="30"/>
        <v>April</v>
      </c>
      <c r="K676" t="str">
        <f t="shared" si="31"/>
        <v>Q2</v>
      </c>
      <c r="L676">
        <f t="shared" si="32"/>
        <v>2025</v>
      </c>
    </row>
    <row r="677" spans="1:12" x14ac:dyDescent="0.3">
      <c r="A677" t="s">
        <v>1533</v>
      </c>
      <c r="B677" t="s">
        <v>349</v>
      </c>
      <c r="C677" t="s">
        <v>16</v>
      </c>
      <c r="D677">
        <v>3</v>
      </c>
      <c r="E677" s="1">
        <v>45782</v>
      </c>
      <c r="F677" t="s">
        <v>600</v>
      </c>
      <c r="G677">
        <v>4</v>
      </c>
      <c r="H677" t="s">
        <v>581</v>
      </c>
      <c r="I677" t="s">
        <v>570</v>
      </c>
      <c r="J677" t="str">
        <f t="shared" si="30"/>
        <v>May</v>
      </c>
      <c r="K677" t="str">
        <f t="shared" si="31"/>
        <v>Q2</v>
      </c>
      <c r="L677">
        <f t="shared" si="32"/>
        <v>2025</v>
      </c>
    </row>
    <row r="678" spans="1:12" x14ac:dyDescent="0.3">
      <c r="A678" t="s">
        <v>1534</v>
      </c>
      <c r="B678" t="s">
        <v>1535</v>
      </c>
      <c r="C678" t="s">
        <v>16</v>
      </c>
      <c r="D678">
        <v>1</v>
      </c>
      <c r="E678" s="1">
        <v>45754</v>
      </c>
      <c r="F678" t="s">
        <v>636</v>
      </c>
      <c r="G678">
        <v>2</v>
      </c>
      <c r="H678" t="s">
        <v>569</v>
      </c>
      <c r="I678" t="s">
        <v>570</v>
      </c>
      <c r="J678" t="str">
        <f t="shared" si="30"/>
        <v>April</v>
      </c>
      <c r="K678" t="str">
        <f t="shared" si="31"/>
        <v>Q2</v>
      </c>
      <c r="L678">
        <f t="shared" si="32"/>
        <v>2025</v>
      </c>
    </row>
    <row r="679" spans="1:12" x14ac:dyDescent="0.3">
      <c r="A679" t="s">
        <v>1536</v>
      </c>
      <c r="B679" t="s">
        <v>1535</v>
      </c>
      <c r="C679" t="s">
        <v>16</v>
      </c>
      <c r="D679">
        <v>2</v>
      </c>
      <c r="E679" s="1">
        <v>45759</v>
      </c>
      <c r="F679" t="s">
        <v>706</v>
      </c>
      <c r="G679">
        <v>1</v>
      </c>
      <c r="H679" t="s">
        <v>569</v>
      </c>
      <c r="I679" t="s">
        <v>570</v>
      </c>
      <c r="J679" t="str">
        <f t="shared" si="30"/>
        <v>April</v>
      </c>
      <c r="K679" t="str">
        <f t="shared" si="31"/>
        <v>Q2</v>
      </c>
      <c r="L679">
        <f t="shared" si="32"/>
        <v>2025</v>
      </c>
    </row>
    <row r="680" spans="1:12" x14ac:dyDescent="0.3">
      <c r="A680" t="s">
        <v>1537</v>
      </c>
      <c r="B680" t="s">
        <v>1535</v>
      </c>
      <c r="C680" t="s">
        <v>16</v>
      </c>
      <c r="D680">
        <v>3</v>
      </c>
      <c r="E680" s="1">
        <v>45767</v>
      </c>
      <c r="F680" t="s">
        <v>636</v>
      </c>
      <c r="G680">
        <v>1</v>
      </c>
      <c r="H680" t="s">
        <v>569</v>
      </c>
      <c r="I680" t="s">
        <v>570</v>
      </c>
      <c r="J680" t="str">
        <f t="shared" si="30"/>
        <v>April</v>
      </c>
      <c r="K680" t="str">
        <f t="shared" si="31"/>
        <v>Q2</v>
      </c>
      <c r="L680">
        <f t="shared" si="32"/>
        <v>2025</v>
      </c>
    </row>
    <row r="681" spans="1:12" x14ac:dyDescent="0.3">
      <c r="A681" t="s">
        <v>1538</v>
      </c>
      <c r="B681" t="s">
        <v>1535</v>
      </c>
      <c r="C681" t="s">
        <v>16</v>
      </c>
      <c r="D681">
        <v>4</v>
      </c>
      <c r="E681" s="1">
        <v>45774</v>
      </c>
      <c r="F681" t="s">
        <v>625</v>
      </c>
      <c r="G681">
        <v>1</v>
      </c>
      <c r="H681" t="s">
        <v>569</v>
      </c>
      <c r="I681" t="s">
        <v>570</v>
      </c>
      <c r="J681" t="str">
        <f t="shared" si="30"/>
        <v>April</v>
      </c>
      <c r="K681" t="str">
        <f t="shared" si="31"/>
        <v>Q2</v>
      </c>
      <c r="L681">
        <f t="shared" si="32"/>
        <v>2025</v>
      </c>
    </row>
    <row r="682" spans="1:12" x14ac:dyDescent="0.3">
      <c r="A682" t="s">
        <v>1539</v>
      </c>
      <c r="B682" t="s">
        <v>1540</v>
      </c>
      <c r="C682" t="s">
        <v>99</v>
      </c>
      <c r="D682">
        <v>1</v>
      </c>
      <c r="E682" s="1">
        <v>45856</v>
      </c>
      <c r="F682" t="s">
        <v>658</v>
      </c>
      <c r="G682">
        <v>1</v>
      </c>
      <c r="H682" t="s">
        <v>569</v>
      </c>
      <c r="I682" t="s">
        <v>570</v>
      </c>
      <c r="J682" t="str">
        <f t="shared" si="30"/>
        <v>July</v>
      </c>
      <c r="K682" t="str">
        <f t="shared" si="31"/>
        <v>Q3</v>
      </c>
      <c r="L682">
        <f t="shared" si="32"/>
        <v>2025</v>
      </c>
    </row>
    <row r="683" spans="1:12" x14ac:dyDescent="0.3">
      <c r="A683" t="s">
        <v>1541</v>
      </c>
      <c r="B683" t="s">
        <v>1540</v>
      </c>
      <c r="C683" t="s">
        <v>99</v>
      </c>
      <c r="D683">
        <v>2</v>
      </c>
      <c r="E683" s="1">
        <v>45863</v>
      </c>
      <c r="F683" t="s">
        <v>656</v>
      </c>
      <c r="G683">
        <v>1</v>
      </c>
      <c r="H683" t="s">
        <v>569</v>
      </c>
      <c r="I683" t="s">
        <v>570</v>
      </c>
      <c r="J683" t="str">
        <f t="shared" si="30"/>
        <v>July</v>
      </c>
      <c r="K683" t="str">
        <f t="shared" si="31"/>
        <v>Q3</v>
      </c>
      <c r="L683">
        <f t="shared" si="32"/>
        <v>2025</v>
      </c>
    </row>
    <row r="684" spans="1:12" x14ac:dyDescent="0.3">
      <c r="A684" t="s">
        <v>1542</v>
      </c>
      <c r="B684" t="s">
        <v>1543</v>
      </c>
      <c r="C684" t="s">
        <v>32</v>
      </c>
      <c r="D684">
        <v>1</v>
      </c>
      <c r="E684" s="1">
        <v>45759</v>
      </c>
      <c r="F684" t="s">
        <v>572</v>
      </c>
      <c r="G684">
        <v>1</v>
      </c>
      <c r="H684" t="s">
        <v>569</v>
      </c>
      <c r="I684" t="s">
        <v>570</v>
      </c>
      <c r="J684" t="str">
        <f t="shared" si="30"/>
        <v>April</v>
      </c>
      <c r="K684" t="str">
        <f t="shared" si="31"/>
        <v>Q2</v>
      </c>
      <c r="L684">
        <f t="shared" si="32"/>
        <v>2025</v>
      </c>
    </row>
    <row r="685" spans="1:12" x14ac:dyDescent="0.3">
      <c r="A685" t="s">
        <v>1544</v>
      </c>
      <c r="B685" t="s">
        <v>1543</v>
      </c>
      <c r="C685" t="s">
        <v>32</v>
      </c>
      <c r="D685">
        <v>2</v>
      </c>
      <c r="E685" s="1">
        <v>45771</v>
      </c>
      <c r="F685" t="s">
        <v>577</v>
      </c>
      <c r="G685">
        <v>2</v>
      </c>
      <c r="H685" t="s">
        <v>569</v>
      </c>
      <c r="I685" t="s">
        <v>570</v>
      </c>
      <c r="J685" t="str">
        <f t="shared" si="30"/>
        <v>April</v>
      </c>
      <c r="K685" t="str">
        <f t="shared" si="31"/>
        <v>Q2</v>
      </c>
      <c r="L685">
        <f t="shared" si="32"/>
        <v>2025</v>
      </c>
    </row>
    <row r="686" spans="1:12" x14ac:dyDescent="0.3">
      <c r="A686" t="s">
        <v>1545</v>
      </c>
      <c r="B686" t="s">
        <v>1546</v>
      </c>
      <c r="C686" t="s">
        <v>108</v>
      </c>
      <c r="D686">
        <v>1</v>
      </c>
      <c r="E686" s="1">
        <v>45760</v>
      </c>
      <c r="F686" t="s">
        <v>572</v>
      </c>
      <c r="G686">
        <v>1</v>
      </c>
      <c r="H686" t="s">
        <v>569</v>
      </c>
      <c r="I686" t="s">
        <v>570</v>
      </c>
      <c r="J686" t="str">
        <f t="shared" si="30"/>
        <v>April</v>
      </c>
      <c r="K686" t="str">
        <f t="shared" si="31"/>
        <v>Q2</v>
      </c>
      <c r="L686">
        <f t="shared" si="32"/>
        <v>2025</v>
      </c>
    </row>
    <row r="687" spans="1:12" x14ac:dyDescent="0.3">
      <c r="A687" t="s">
        <v>1547</v>
      </c>
      <c r="B687" t="s">
        <v>1548</v>
      </c>
      <c r="C687" t="s">
        <v>127</v>
      </c>
      <c r="D687">
        <v>1</v>
      </c>
      <c r="E687" s="1">
        <v>45953</v>
      </c>
      <c r="F687" t="s">
        <v>766</v>
      </c>
      <c r="G687">
        <v>4</v>
      </c>
      <c r="H687" t="s">
        <v>581</v>
      </c>
      <c r="I687" t="s">
        <v>570</v>
      </c>
      <c r="J687" t="str">
        <f t="shared" si="30"/>
        <v>October</v>
      </c>
      <c r="K687" t="str">
        <f t="shared" si="31"/>
        <v>Q4</v>
      </c>
      <c r="L687">
        <f t="shared" si="32"/>
        <v>2025</v>
      </c>
    </row>
    <row r="688" spans="1:12" x14ac:dyDescent="0.3">
      <c r="A688" t="s">
        <v>1549</v>
      </c>
      <c r="B688" t="s">
        <v>1548</v>
      </c>
      <c r="C688" t="s">
        <v>127</v>
      </c>
      <c r="D688">
        <v>2</v>
      </c>
      <c r="E688" s="1">
        <v>45964</v>
      </c>
      <c r="F688" t="s">
        <v>592</v>
      </c>
      <c r="G688">
        <v>4</v>
      </c>
      <c r="H688" t="s">
        <v>581</v>
      </c>
      <c r="I688" t="s">
        <v>570</v>
      </c>
      <c r="J688" t="str">
        <f t="shared" si="30"/>
        <v>November</v>
      </c>
      <c r="K688" t="str">
        <f t="shared" si="31"/>
        <v>Q4</v>
      </c>
      <c r="L688">
        <f t="shared" si="32"/>
        <v>2025</v>
      </c>
    </row>
    <row r="689" spans="1:12" x14ac:dyDescent="0.3">
      <c r="A689" t="s">
        <v>1550</v>
      </c>
      <c r="B689" t="s">
        <v>376</v>
      </c>
      <c r="C689" t="s">
        <v>208</v>
      </c>
      <c r="D689">
        <v>1</v>
      </c>
      <c r="E689" s="1">
        <v>45800</v>
      </c>
      <c r="F689" t="s">
        <v>580</v>
      </c>
      <c r="G689">
        <v>4</v>
      </c>
      <c r="H689" t="s">
        <v>581</v>
      </c>
      <c r="I689" t="s">
        <v>597</v>
      </c>
      <c r="J689" t="str">
        <f t="shared" si="30"/>
        <v>May</v>
      </c>
      <c r="K689" t="str">
        <f t="shared" si="31"/>
        <v>Q2</v>
      </c>
      <c r="L689">
        <f t="shared" si="32"/>
        <v>2025</v>
      </c>
    </row>
    <row r="690" spans="1:12" x14ac:dyDescent="0.3">
      <c r="A690" t="s">
        <v>1551</v>
      </c>
      <c r="B690" t="s">
        <v>376</v>
      </c>
      <c r="C690" t="s">
        <v>208</v>
      </c>
      <c r="D690">
        <v>2</v>
      </c>
      <c r="E690" s="1">
        <v>45809</v>
      </c>
      <c r="F690" t="s">
        <v>766</v>
      </c>
      <c r="G690">
        <v>4</v>
      </c>
      <c r="H690" t="s">
        <v>581</v>
      </c>
      <c r="I690" t="s">
        <v>570</v>
      </c>
      <c r="J690" t="str">
        <f t="shared" si="30"/>
        <v>June</v>
      </c>
      <c r="K690" t="str">
        <f t="shared" si="31"/>
        <v>Q2</v>
      </c>
      <c r="L690">
        <f t="shared" si="32"/>
        <v>2025</v>
      </c>
    </row>
    <row r="691" spans="1:12" x14ac:dyDescent="0.3">
      <c r="A691" t="s">
        <v>1552</v>
      </c>
      <c r="B691" t="s">
        <v>1553</v>
      </c>
      <c r="C691" t="s">
        <v>191</v>
      </c>
      <c r="D691">
        <v>1</v>
      </c>
      <c r="E691" s="1">
        <v>45679</v>
      </c>
      <c r="F691" t="s">
        <v>621</v>
      </c>
      <c r="G691">
        <v>3</v>
      </c>
      <c r="H691" t="s">
        <v>578</v>
      </c>
      <c r="I691" t="s">
        <v>570</v>
      </c>
      <c r="J691" t="str">
        <f t="shared" si="30"/>
        <v>January</v>
      </c>
      <c r="K691" t="str">
        <f t="shared" si="31"/>
        <v>Q1</v>
      </c>
      <c r="L691">
        <f t="shared" si="32"/>
        <v>2025</v>
      </c>
    </row>
    <row r="692" spans="1:12" x14ac:dyDescent="0.3">
      <c r="A692" t="s">
        <v>1554</v>
      </c>
      <c r="B692" t="s">
        <v>1553</v>
      </c>
      <c r="C692" t="s">
        <v>191</v>
      </c>
      <c r="D692">
        <v>2</v>
      </c>
      <c r="E692" s="1">
        <v>45683</v>
      </c>
      <c r="F692" t="s">
        <v>988</v>
      </c>
      <c r="G692">
        <v>1</v>
      </c>
      <c r="H692" t="s">
        <v>569</v>
      </c>
      <c r="I692" t="s">
        <v>570</v>
      </c>
      <c r="J692" t="str">
        <f t="shared" si="30"/>
        <v>January</v>
      </c>
      <c r="K692" t="str">
        <f t="shared" si="31"/>
        <v>Q1</v>
      </c>
      <c r="L692">
        <f t="shared" si="32"/>
        <v>2025</v>
      </c>
    </row>
    <row r="693" spans="1:12" x14ac:dyDescent="0.3">
      <c r="A693" t="s">
        <v>1555</v>
      </c>
      <c r="B693" t="s">
        <v>1556</v>
      </c>
      <c r="C693" t="s">
        <v>51</v>
      </c>
      <c r="D693">
        <v>1</v>
      </c>
      <c r="E693" s="1">
        <v>45959</v>
      </c>
      <c r="F693" t="s">
        <v>596</v>
      </c>
      <c r="G693">
        <v>1</v>
      </c>
      <c r="H693" t="s">
        <v>569</v>
      </c>
      <c r="I693" t="s">
        <v>570</v>
      </c>
      <c r="J693" t="str">
        <f t="shared" si="30"/>
        <v>October</v>
      </c>
      <c r="K693" t="str">
        <f t="shared" si="31"/>
        <v>Q4</v>
      </c>
      <c r="L693">
        <f t="shared" si="32"/>
        <v>2025</v>
      </c>
    </row>
    <row r="694" spans="1:12" x14ac:dyDescent="0.3">
      <c r="A694" t="s">
        <v>1557</v>
      </c>
      <c r="B694" t="s">
        <v>1556</v>
      </c>
      <c r="C694" t="s">
        <v>51</v>
      </c>
      <c r="D694">
        <v>2</v>
      </c>
      <c r="E694" s="1">
        <v>45966</v>
      </c>
      <c r="F694" t="s">
        <v>572</v>
      </c>
      <c r="G694">
        <v>1</v>
      </c>
      <c r="H694" t="s">
        <v>569</v>
      </c>
      <c r="I694" t="s">
        <v>570</v>
      </c>
      <c r="J694" t="str">
        <f t="shared" si="30"/>
        <v>November</v>
      </c>
      <c r="K694" t="str">
        <f t="shared" si="31"/>
        <v>Q4</v>
      </c>
      <c r="L694">
        <f t="shared" si="32"/>
        <v>2025</v>
      </c>
    </row>
    <row r="695" spans="1:12" x14ac:dyDescent="0.3">
      <c r="A695" t="s">
        <v>1558</v>
      </c>
      <c r="B695" t="s">
        <v>1559</v>
      </c>
      <c r="C695" t="s">
        <v>156</v>
      </c>
      <c r="D695">
        <v>1</v>
      </c>
      <c r="E695" s="1">
        <v>45735</v>
      </c>
      <c r="F695" t="s">
        <v>638</v>
      </c>
      <c r="G695">
        <v>3</v>
      </c>
      <c r="H695" t="s">
        <v>578</v>
      </c>
      <c r="I695" t="s">
        <v>570</v>
      </c>
      <c r="J695" t="str">
        <f t="shared" si="30"/>
        <v>March</v>
      </c>
      <c r="K695" t="str">
        <f t="shared" si="31"/>
        <v>Q1</v>
      </c>
      <c r="L695">
        <f t="shared" si="32"/>
        <v>2025</v>
      </c>
    </row>
    <row r="696" spans="1:12" x14ac:dyDescent="0.3">
      <c r="A696" t="s">
        <v>1560</v>
      </c>
      <c r="B696" t="s">
        <v>1559</v>
      </c>
      <c r="C696" t="s">
        <v>156</v>
      </c>
      <c r="D696">
        <v>2</v>
      </c>
      <c r="E696" s="1">
        <v>45741</v>
      </c>
      <c r="F696" t="s">
        <v>592</v>
      </c>
      <c r="G696">
        <v>1</v>
      </c>
      <c r="H696" t="s">
        <v>569</v>
      </c>
      <c r="I696" t="s">
        <v>570</v>
      </c>
      <c r="J696" t="str">
        <f t="shared" si="30"/>
        <v>March</v>
      </c>
      <c r="K696" t="str">
        <f t="shared" si="31"/>
        <v>Q1</v>
      </c>
      <c r="L696">
        <f t="shared" si="32"/>
        <v>2025</v>
      </c>
    </row>
    <row r="697" spans="1:12" x14ac:dyDescent="0.3">
      <c r="A697" t="s">
        <v>1561</v>
      </c>
      <c r="B697" t="s">
        <v>1559</v>
      </c>
      <c r="C697" t="s">
        <v>156</v>
      </c>
      <c r="D697">
        <v>3</v>
      </c>
      <c r="E697" s="1">
        <v>45750</v>
      </c>
      <c r="F697" t="s">
        <v>638</v>
      </c>
      <c r="G697">
        <v>1</v>
      </c>
      <c r="H697" t="s">
        <v>569</v>
      </c>
      <c r="I697" t="s">
        <v>570</v>
      </c>
      <c r="J697" t="str">
        <f t="shared" si="30"/>
        <v>April</v>
      </c>
      <c r="K697" t="str">
        <f t="shared" si="31"/>
        <v>Q2</v>
      </c>
      <c r="L697">
        <f t="shared" si="32"/>
        <v>2025</v>
      </c>
    </row>
    <row r="698" spans="1:12" x14ac:dyDescent="0.3">
      <c r="A698" t="s">
        <v>1562</v>
      </c>
      <c r="B698" t="s">
        <v>1563</v>
      </c>
      <c r="C698" t="s">
        <v>201</v>
      </c>
      <c r="D698">
        <v>1</v>
      </c>
      <c r="E698" s="1">
        <v>45966</v>
      </c>
      <c r="F698" t="s">
        <v>572</v>
      </c>
      <c r="G698">
        <v>1</v>
      </c>
      <c r="H698" t="s">
        <v>569</v>
      </c>
      <c r="I698" t="s">
        <v>570</v>
      </c>
      <c r="J698" t="str">
        <f t="shared" si="30"/>
        <v>November</v>
      </c>
      <c r="K698" t="str">
        <f t="shared" si="31"/>
        <v>Q4</v>
      </c>
      <c r="L698">
        <f t="shared" si="32"/>
        <v>2025</v>
      </c>
    </row>
    <row r="699" spans="1:12" x14ac:dyDescent="0.3">
      <c r="A699" t="s">
        <v>1564</v>
      </c>
      <c r="B699" t="s">
        <v>1563</v>
      </c>
      <c r="C699" t="s">
        <v>201</v>
      </c>
      <c r="D699">
        <v>2</v>
      </c>
      <c r="E699" s="1">
        <v>45974</v>
      </c>
      <c r="F699" t="s">
        <v>612</v>
      </c>
      <c r="G699">
        <v>3</v>
      </c>
      <c r="H699" t="s">
        <v>578</v>
      </c>
      <c r="I699" t="s">
        <v>570</v>
      </c>
      <c r="J699" t="str">
        <f t="shared" si="30"/>
        <v>November</v>
      </c>
      <c r="K699" t="str">
        <f t="shared" si="31"/>
        <v>Q4</v>
      </c>
      <c r="L699">
        <f t="shared" si="32"/>
        <v>2025</v>
      </c>
    </row>
    <row r="700" spans="1:12" x14ac:dyDescent="0.3">
      <c r="A700" t="s">
        <v>1565</v>
      </c>
      <c r="B700" t="s">
        <v>1566</v>
      </c>
      <c r="C700" t="s">
        <v>88</v>
      </c>
      <c r="D700">
        <v>1</v>
      </c>
      <c r="E700" s="1">
        <v>45754</v>
      </c>
      <c r="F700" t="s">
        <v>621</v>
      </c>
      <c r="G700">
        <v>3</v>
      </c>
      <c r="H700" t="s">
        <v>578</v>
      </c>
      <c r="I700" t="s">
        <v>570</v>
      </c>
      <c r="J700" t="str">
        <f t="shared" si="30"/>
        <v>April</v>
      </c>
      <c r="K700" t="str">
        <f t="shared" si="31"/>
        <v>Q2</v>
      </c>
      <c r="L700">
        <f t="shared" si="32"/>
        <v>2025</v>
      </c>
    </row>
    <row r="701" spans="1:12" x14ac:dyDescent="0.3">
      <c r="A701" t="s">
        <v>1567</v>
      </c>
      <c r="B701" t="s">
        <v>1566</v>
      </c>
      <c r="C701" t="s">
        <v>88</v>
      </c>
      <c r="D701">
        <v>2</v>
      </c>
      <c r="E701" s="1">
        <v>45764</v>
      </c>
      <c r="F701" t="s">
        <v>596</v>
      </c>
      <c r="G701">
        <v>3</v>
      </c>
      <c r="H701" t="s">
        <v>578</v>
      </c>
      <c r="I701" t="s">
        <v>570</v>
      </c>
      <c r="J701" t="str">
        <f t="shared" si="30"/>
        <v>April</v>
      </c>
      <c r="K701" t="str">
        <f t="shared" si="31"/>
        <v>Q2</v>
      </c>
      <c r="L701">
        <f t="shared" si="32"/>
        <v>2025</v>
      </c>
    </row>
    <row r="702" spans="1:12" x14ac:dyDescent="0.3">
      <c r="A702" t="s">
        <v>1568</v>
      </c>
      <c r="B702" t="s">
        <v>1566</v>
      </c>
      <c r="C702" t="s">
        <v>88</v>
      </c>
      <c r="D702">
        <v>3</v>
      </c>
      <c r="E702" s="1">
        <v>45770</v>
      </c>
      <c r="F702" t="s">
        <v>577</v>
      </c>
      <c r="G702">
        <v>1</v>
      </c>
      <c r="H702" t="s">
        <v>569</v>
      </c>
      <c r="I702" t="s">
        <v>570</v>
      </c>
      <c r="J702" t="str">
        <f t="shared" si="30"/>
        <v>April</v>
      </c>
      <c r="K702" t="str">
        <f t="shared" si="31"/>
        <v>Q2</v>
      </c>
      <c r="L702">
        <f t="shared" si="32"/>
        <v>2025</v>
      </c>
    </row>
    <row r="703" spans="1:12" x14ac:dyDescent="0.3">
      <c r="A703" t="s">
        <v>1569</v>
      </c>
      <c r="B703" t="s">
        <v>1570</v>
      </c>
      <c r="C703" t="s">
        <v>208</v>
      </c>
      <c r="D703">
        <v>1</v>
      </c>
      <c r="E703" s="1">
        <v>45809</v>
      </c>
      <c r="F703" t="s">
        <v>638</v>
      </c>
      <c r="G703">
        <v>3</v>
      </c>
      <c r="H703" t="s">
        <v>578</v>
      </c>
      <c r="I703" t="s">
        <v>570</v>
      </c>
      <c r="J703" t="str">
        <f t="shared" si="30"/>
        <v>June</v>
      </c>
      <c r="K703" t="str">
        <f t="shared" si="31"/>
        <v>Q2</v>
      </c>
      <c r="L703">
        <f t="shared" si="32"/>
        <v>2025</v>
      </c>
    </row>
    <row r="704" spans="1:12" x14ac:dyDescent="0.3">
      <c r="A704" t="s">
        <v>1571</v>
      </c>
      <c r="B704" t="s">
        <v>40</v>
      </c>
      <c r="C704" t="s">
        <v>41</v>
      </c>
      <c r="D704">
        <v>1</v>
      </c>
      <c r="E704" s="1">
        <v>45822</v>
      </c>
      <c r="F704" t="s">
        <v>612</v>
      </c>
      <c r="G704">
        <v>5</v>
      </c>
      <c r="H704" t="s">
        <v>581</v>
      </c>
      <c r="I704" t="s">
        <v>570</v>
      </c>
      <c r="J704" t="str">
        <f t="shared" si="30"/>
        <v>June</v>
      </c>
      <c r="K704" t="str">
        <f t="shared" si="31"/>
        <v>Q2</v>
      </c>
      <c r="L704">
        <f t="shared" si="32"/>
        <v>2025</v>
      </c>
    </row>
    <row r="705" spans="1:12" x14ac:dyDescent="0.3">
      <c r="A705" t="s">
        <v>1572</v>
      </c>
      <c r="B705" t="s">
        <v>40</v>
      </c>
      <c r="C705" t="s">
        <v>41</v>
      </c>
      <c r="D705">
        <v>2</v>
      </c>
      <c r="E705" s="1">
        <v>45832</v>
      </c>
      <c r="F705" t="s">
        <v>577</v>
      </c>
      <c r="G705">
        <v>4</v>
      </c>
      <c r="H705" t="s">
        <v>581</v>
      </c>
      <c r="I705" t="s">
        <v>570</v>
      </c>
      <c r="J705" t="str">
        <f t="shared" si="30"/>
        <v>June</v>
      </c>
      <c r="K705" t="str">
        <f t="shared" si="31"/>
        <v>Q2</v>
      </c>
      <c r="L705">
        <f t="shared" si="32"/>
        <v>2025</v>
      </c>
    </row>
    <row r="706" spans="1:12" x14ac:dyDescent="0.3">
      <c r="A706" t="s">
        <v>1573</v>
      </c>
      <c r="B706" t="s">
        <v>40</v>
      </c>
      <c r="C706" t="s">
        <v>41</v>
      </c>
      <c r="D706">
        <v>3</v>
      </c>
      <c r="E706" s="1">
        <v>45836</v>
      </c>
      <c r="F706" t="s">
        <v>605</v>
      </c>
      <c r="G706">
        <v>3</v>
      </c>
      <c r="H706" t="s">
        <v>578</v>
      </c>
      <c r="I706" t="s">
        <v>570</v>
      </c>
      <c r="J706" t="str">
        <f t="shared" ref="J706:J769" si="33">TEXT(E706,"mmmm")</f>
        <v>June</v>
      </c>
      <c r="K706" t="str">
        <f t="shared" ref="K706:K769" si="34">"Q"&amp;ROUNDUP(MONTH(E706)/3,0)</f>
        <v>Q2</v>
      </c>
      <c r="L706">
        <f t="shared" ref="L706:L769" si="35">YEAR(E706)</f>
        <v>2025</v>
      </c>
    </row>
    <row r="707" spans="1:12" x14ac:dyDescent="0.3">
      <c r="A707" t="s">
        <v>1574</v>
      </c>
      <c r="B707" t="s">
        <v>40</v>
      </c>
      <c r="C707" t="s">
        <v>41</v>
      </c>
      <c r="D707">
        <v>4</v>
      </c>
      <c r="E707" s="1">
        <v>45841</v>
      </c>
      <c r="F707" t="s">
        <v>572</v>
      </c>
      <c r="G707">
        <v>5</v>
      </c>
      <c r="H707" t="s">
        <v>581</v>
      </c>
      <c r="I707" t="s">
        <v>570</v>
      </c>
      <c r="J707" t="str">
        <f t="shared" si="33"/>
        <v>July</v>
      </c>
      <c r="K707" t="str">
        <f t="shared" si="34"/>
        <v>Q3</v>
      </c>
      <c r="L707">
        <f t="shared" si="35"/>
        <v>2025</v>
      </c>
    </row>
    <row r="708" spans="1:12" x14ac:dyDescent="0.3">
      <c r="A708" t="s">
        <v>1575</v>
      </c>
      <c r="B708" t="s">
        <v>1576</v>
      </c>
      <c r="C708" t="s">
        <v>156</v>
      </c>
      <c r="D708">
        <v>1</v>
      </c>
      <c r="E708" s="1">
        <v>45740</v>
      </c>
      <c r="F708" t="s">
        <v>580</v>
      </c>
      <c r="G708">
        <v>2</v>
      </c>
      <c r="H708" t="s">
        <v>569</v>
      </c>
      <c r="I708" t="s">
        <v>570</v>
      </c>
      <c r="J708" t="str">
        <f t="shared" si="33"/>
        <v>March</v>
      </c>
      <c r="K708" t="str">
        <f t="shared" si="34"/>
        <v>Q1</v>
      </c>
      <c r="L708">
        <f t="shared" si="35"/>
        <v>2025</v>
      </c>
    </row>
    <row r="709" spans="1:12" x14ac:dyDescent="0.3">
      <c r="A709" t="s">
        <v>1577</v>
      </c>
      <c r="B709" t="s">
        <v>1576</v>
      </c>
      <c r="C709" t="s">
        <v>156</v>
      </c>
      <c r="D709">
        <v>2</v>
      </c>
      <c r="E709" s="1">
        <v>45747</v>
      </c>
      <c r="F709" t="s">
        <v>741</v>
      </c>
      <c r="G709">
        <v>2</v>
      </c>
      <c r="H709" t="s">
        <v>569</v>
      </c>
      <c r="I709" t="s">
        <v>570</v>
      </c>
      <c r="J709" t="str">
        <f t="shared" si="33"/>
        <v>March</v>
      </c>
      <c r="K709" t="str">
        <f t="shared" si="34"/>
        <v>Q1</v>
      </c>
      <c r="L709">
        <f t="shared" si="35"/>
        <v>2025</v>
      </c>
    </row>
    <row r="710" spans="1:12" x14ac:dyDescent="0.3">
      <c r="A710" t="s">
        <v>1578</v>
      </c>
      <c r="B710" t="s">
        <v>1576</v>
      </c>
      <c r="C710" t="s">
        <v>156</v>
      </c>
      <c r="D710">
        <v>3</v>
      </c>
      <c r="E710" s="1">
        <v>45759</v>
      </c>
      <c r="F710" t="s">
        <v>638</v>
      </c>
      <c r="G710">
        <v>3</v>
      </c>
      <c r="H710" t="s">
        <v>578</v>
      </c>
      <c r="I710" t="s">
        <v>570</v>
      </c>
      <c r="J710" t="str">
        <f t="shared" si="33"/>
        <v>April</v>
      </c>
      <c r="K710" t="str">
        <f t="shared" si="34"/>
        <v>Q2</v>
      </c>
      <c r="L710">
        <f t="shared" si="35"/>
        <v>2025</v>
      </c>
    </row>
    <row r="711" spans="1:12" x14ac:dyDescent="0.3">
      <c r="A711" t="s">
        <v>1579</v>
      </c>
      <c r="B711" t="s">
        <v>1576</v>
      </c>
      <c r="C711" t="s">
        <v>156</v>
      </c>
      <c r="D711">
        <v>4</v>
      </c>
      <c r="E711" s="1">
        <v>45766</v>
      </c>
      <c r="F711" t="s">
        <v>741</v>
      </c>
      <c r="G711">
        <v>3</v>
      </c>
      <c r="H711" t="s">
        <v>578</v>
      </c>
      <c r="I711" t="s">
        <v>570</v>
      </c>
      <c r="J711" t="str">
        <f t="shared" si="33"/>
        <v>April</v>
      </c>
      <c r="K711" t="str">
        <f t="shared" si="34"/>
        <v>Q2</v>
      </c>
      <c r="L711">
        <f t="shared" si="35"/>
        <v>2025</v>
      </c>
    </row>
    <row r="712" spans="1:12" x14ac:dyDescent="0.3">
      <c r="A712" t="s">
        <v>1580</v>
      </c>
      <c r="B712" t="s">
        <v>9</v>
      </c>
      <c r="C712" t="s">
        <v>10</v>
      </c>
      <c r="D712">
        <v>1</v>
      </c>
      <c r="E712" s="1">
        <v>45931</v>
      </c>
      <c r="F712" t="s">
        <v>572</v>
      </c>
      <c r="G712">
        <v>4</v>
      </c>
      <c r="H712" t="s">
        <v>581</v>
      </c>
      <c r="I712" t="s">
        <v>570</v>
      </c>
      <c r="J712" t="str">
        <f t="shared" si="33"/>
        <v>October</v>
      </c>
      <c r="K712" t="str">
        <f t="shared" si="34"/>
        <v>Q4</v>
      </c>
      <c r="L712">
        <f t="shared" si="35"/>
        <v>2025</v>
      </c>
    </row>
    <row r="713" spans="1:12" x14ac:dyDescent="0.3">
      <c r="A713" t="s">
        <v>1581</v>
      </c>
      <c r="B713" t="s">
        <v>9</v>
      </c>
      <c r="C713" t="s">
        <v>10</v>
      </c>
      <c r="D713">
        <v>2</v>
      </c>
      <c r="E713" s="1">
        <v>45938</v>
      </c>
      <c r="F713" t="s">
        <v>663</v>
      </c>
      <c r="G713">
        <v>4</v>
      </c>
      <c r="H713" t="s">
        <v>581</v>
      </c>
      <c r="I713" t="s">
        <v>570</v>
      </c>
      <c r="J713" t="str">
        <f t="shared" si="33"/>
        <v>October</v>
      </c>
      <c r="K713" t="str">
        <f t="shared" si="34"/>
        <v>Q4</v>
      </c>
      <c r="L713">
        <f t="shared" si="35"/>
        <v>2025</v>
      </c>
    </row>
    <row r="714" spans="1:12" x14ac:dyDescent="0.3">
      <c r="A714" t="s">
        <v>1582</v>
      </c>
      <c r="B714" t="s">
        <v>1583</v>
      </c>
      <c r="C714" t="s">
        <v>41</v>
      </c>
      <c r="D714">
        <v>1</v>
      </c>
      <c r="E714" s="1">
        <v>45818</v>
      </c>
      <c r="F714" t="s">
        <v>572</v>
      </c>
      <c r="G714">
        <v>2</v>
      </c>
      <c r="H714" t="s">
        <v>569</v>
      </c>
      <c r="I714" t="s">
        <v>570</v>
      </c>
      <c r="J714" t="str">
        <f t="shared" si="33"/>
        <v>June</v>
      </c>
      <c r="K714" t="str">
        <f t="shared" si="34"/>
        <v>Q2</v>
      </c>
      <c r="L714">
        <f t="shared" si="35"/>
        <v>2025</v>
      </c>
    </row>
    <row r="715" spans="1:12" x14ac:dyDescent="0.3">
      <c r="A715" t="s">
        <v>1584</v>
      </c>
      <c r="B715" t="s">
        <v>1585</v>
      </c>
      <c r="C715" t="s">
        <v>45</v>
      </c>
      <c r="D715">
        <v>1</v>
      </c>
      <c r="E715" s="1">
        <v>45854</v>
      </c>
      <c r="F715" t="s">
        <v>638</v>
      </c>
      <c r="G715">
        <v>2</v>
      </c>
      <c r="H715" t="s">
        <v>569</v>
      </c>
      <c r="I715" t="s">
        <v>570</v>
      </c>
      <c r="J715" t="str">
        <f t="shared" si="33"/>
        <v>July</v>
      </c>
      <c r="K715" t="str">
        <f t="shared" si="34"/>
        <v>Q3</v>
      </c>
      <c r="L715">
        <f t="shared" si="35"/>
        <v>2025</v>
      </c>
    </row>
    <row r="716" spans="1:12" x14ac:dyDescent="0.3">
      <c r="A716" t="s">
        <v>1586</v>
      </c>
      <c r="B716" t="s">
        <v>1585</v>
      </c>
      <c r="C716" t="s">
        <v>45</v>
      </c>
      <c r="D716">
        <v>2</v>
      </c>
      <c r="E716" s="1">
        <v>45858</v>
      </c>
      <c r="F716" t="s">
        <v>766</v>
      </c>
      <c r="G716">
        <v>1</v>
      </c>
      <c r="H716" t="s">
        <v>569</v>
      </c>
      <c r="I716" t="s">
        <v>570</v>
      </c>
      <c r="J716" t="str">
        <f t="shared" si="33"/>
        <v>July</v>
      </c>
      <c r="K716" t="str">
        <f t="shared" si="34"/>
        <v>Q3</v>
      </c>
      <c r="L716">
        <f t="shared" si="35"/>
        <v>2025</v>
      </c>
    </row>
    <row r="717" spans="1:12" x14ac:dyDescent="0.3">
      <c r="A717" t="s">
        <v>1587</v>
      </c>
      <c r="B717" t="s">
        <v>1588</v>
      </c>
      <c r="C717" t="s">
        <v>147</v>
      </c>
      <c r="D717">
        <v>1</v>
      </c>
      <c r="E717" s="1">
        <v>45829</v>
      </c>
      <c r="F717" t="s">
        <v>572</v>
      </c>
      <c r="G717">
        <v>5</v>
      </c>
      <c r="H717" t="s">
        <v>581</v>
      </c>
      <c r="I717" t="s">
        <v>570</v>
      </c>
      <c r="J717" t="str">
        <f t="shared" si="33"/>
        <v>June</v>
      </c>
      <c r="K717" t="str">
        <f t="shared" si="34"/>
        <v>Q2</v>
      </c>
      <c r="L717">
        <f t="shared" si="35"/>
        <v>2025</v>
      </c>
    </row>
    <row r="718" spans="1:12" x14ac:dyDescent="0.3">
      <c r="A718" t="s">
        <v>1589</v>
      </c>
      <c r="B718" t="s">
        <v>1588</v>
      </c>
      <c r="C718" t="s">
        <v>147</v>
      </c>
      <c r="D718">
        <v>2</v>
      </c>
      <c r="E718" s="1">
        <v>45833</v>
      </c>
      <c r="F718" t="s">
        <v>568</v>
      </c>
      <c r="G718">
        <v>3</v>
      </c>
      <c r="H718" t="s">
        <v>578</v>
      </c>
      <c r="I718" t="s">
        <v>570</v>
      </c>
      <c r="J718" t="str">
        <f t="shared" si="33"/>
        <v>June</v>
      </c>
      <c r="K718" t="str">
        <f t="shared" si="34"/>
        <v>Q2</v>
      </c>
      <c r="L718">
        <f t="shared" si="35"/>
        <v>2025</v>
      </c>
    </row>
    <row r="719" spans="1:12" x14ac:dyDescent="0.3">
      <c r="A719" t="s">
        <v>1590</v>
      </c>
      <c r="B719" t="s">
        <v>1588</v>
      </c>
      <c r="C719" t="s">
        <v>147</v>
      </c>
      <c r="D719">
        <v>3</v>
      </c>
      <c r="E719" s="1">
        <v>45840</v>
      </c>
      <c r="F719" t="s">
        <v>586</v>
      </c>
      <c r="G719">
        <v>3</v>
      </c>
      <c r="H719" t="s">
        <v>578</v>
      </c>
      <c r="I719" t="s">
        <v>570</v>
      </c>
      <c r="J719" t="str">
        <f t="shared" si="33"/>
        <v>July</v>
      </c>
      <c r="K719" t="str">
        <f t="shared" si="34"/>
        <v>Q3</v>
      </c>
      <c r="L719">
        <f t="shared" si="35"/>
        <v>2025</v>
      </c>
    </row>
    <row r="720" spans="1:12" x14ac:dyDescent="0.3">
      <c r="A720" t="s">
        <v>1591</v>
      </c>
      <c r="B720" t="s">
        <v>1588</v>
      </c>
      <c r="C720" t="s">
        <v>147</v>
      </c>
      <c r="D720">
        <v>4</v>
      </c>
      <c r="E720" s="1">
        <v>45848</v>
      </c>
      <c r="F720" t="s">
        <v>586</v>
      </c>
      <c r="G720">
        <v>4</v>
      </c>
      <c r="H720" t="s">
        <v>581</v>
      </c>
      <c r="I720" t="s">
        <v>570</v>
      </c>
      <c r="J720" t="str">
        <f t="shared" si="33"/>
        <v>July</v>
      </c>
      <c r="K720" t="str">
        <f t="shared" si="34"/>
        <v>Q3</v>
      </c>
      <c r="L720">
        <f t="shared" si="35"/>
        <v>2025</v>
      </c>
    </row>
    <row r="721" spans="1:12" x14ac:dyDescent="0.3">
      <c r="A721" t="s">
        <v>1592</v>
      </c>
      <c r="B721" t="s">
        <v>1593</v>
      </c>
      <c r="C721" t="s">
        <v>51</v>
      </c>
      <c r="D721">
        <v>1</v>
      </c>
      <c r="E721" s="1">
        <v>45946</v>
      </c>
      <c r="F721" t="s">
        <v>580</v>
      </c>
      <c r="G721">
        <v>2</v>
      </c>
      <c r="H721" t="s">
        <v>569</v>
      </c>
      <c r="I721" t="s">
        <v>570</v>
      </c>
      <c r="J721" t="str">
        <f t="shared" si="33"/>
        <v>October</v>
      </c>
      <c r="K721" t="str">
        <f t="shared" si="34"/>
        <v>Q4</v>
      </c>
      <c r="L721">
        <f t="shared" si="35"/>
        <v>2025</v>
      </c>
    </row>
    <row r="722" spans="1:12" x14ac:dyDescent="0.3">
      <c r="A722" t="s">
        <v>1594</v>
      </c>
      <c r="B722" t="s">
        <v>1593</v>
      </c>
      <c r="C722" t="s">
        <v>51</v>
      </c>
      <c r="D722">
        <v>2</v>
      </c>
      <c r="E722" s="1">
        <v>45956</v>
      </c>
      <c r="F722" t="s">
        <v>580</v>
      </c>
      <c r="G722">
        <v>5</v>
      </c>
      <c r="H722" t="s">
        <v>581</v>
      </c>
      <c r="I722" t="s">
        <v>570</v>
      </c>
      <c r="J722" t="str">
        <f t="shared" si="33"/>
        <v>October</v>
      </c>
      <c r="K722" t="str">
        <f t="shared" si="34"/>
        <v>Q4</v>
      </c>
      <c r="L722">
        <f t="shared" si="35"/>
        <v>2025</v>
      </c>
    </row>
    <row r="723" spans="1:12" x14ac:dyDescent="0.3">
      <c r="A723" t="s">
        <v>1595</v>
      </c>
      <c r="B723" t="s">
        <v>1593</v>
      </c>
      <c r="C723" t="s">
        <v>51</v>
      </c>
      <c r="D723">
        <v>3</v>
      </c>
      <c r="E723" s="1">
        <v>45964</v>
      </c>
      <c r="F723" t="s">
        <v>596</v>
      </c>
      <c r="G723">
        <v>3</v>
      </c>
      <c r="H723" t="s">
        <v>578</v>
      </c>
      <c r="I723" t="s">
        <v>570</v>
      </c>
      <c r="J723" t="str">
        <f t="shared" si="33"/>
        <v>November</v>
      </c>
      <c r="K723" t="str">
        <f t="shared" si="34"/>
        <v>Q4</v>
      </c>
      <c r="L723">
        <f t="shared" si="35"/>
        <v>2025</v>
      </c>
    </row>
    <row r="724" spans="1:12" x14ac:dyDescent="0.3">
      <c r="A724" t="s">
        <v>1596</v>
      </c>
      <c r="B724" t="s">
        <v>1597</v>
      </c>
      <c r="C724" t="s">
        <v>201</v>
      </c>
      <c r="D724">
        <v>1</v>
      </c>
      <c r="E724" s="1">
        <v>45974</v>
      </c>
      <c r="F724" t="s">
        <v>577</v>
      </c>
      <c r="G724">
        <v>4</v>
      </c>
      <c r="H724" t="s">
        <v>581</v>
      </c>
      <c r="I724" t="s">
        <v>608</v>
      </c>
      <c r="J724" t="str">
        <f t="shared" si="33"/>
        <v>November</v>
      </c>
      <c r="K724" t="str">
        <f t="shared" si="34"/>
        <v>Q4</v>
      </c>
      <c r="L724">
        <f t="shared" si="35"/>
        <v>2025</v>
      </c>
    </row>
    <row r="725" spans="1:12" x14ac:dyDescent="0.3">
      <c r="A725" t="s">
        <v>1598</v>
      </c>
      <c r="B725" t="s">
        <v>1599</v>
      </c>
      <c r="C725" t="s">
        <v>68</v>
      </c>
      <c r="D725">
        <v>1</v>
      </c>
      <c r="E725" s="1">
        <v>45734</v>
      </c>
      <c r="F725" t="s">
        <v>612</v>
      </c>
      <c r="G725">
        <v>1</v>
      </c>
      <c r="H725" t="s">
        <v>569</v>
      </c>
      <c r="I725" t="s">
        <v>570</v>
      </c>
      <c r="J725" t="str">
        <f t="shared" si="33"/>
        <v>March</v>
      </c>
      <c r="K725" t="str">
        <f t="shared" si="34"/>
        <v>Q1</v>
      </c>
      <c r="L725">
        <f t="shared" si="35"/>
        <v>2025</v>
      </c>
    </row>
    <row r="726" spans="1:12" x14ac:dyDescent="0.3">
      <c r="A726" t="s">
        <v>1600</v>
      </c>
      <c r="B726" t="s">
        <v>437</v>
      </c>
      <c r="C726" t="s">
        <v>208</v>
      </c>
      <c r="D726">
        <v>1</v>
      </c>
      <c r="E726" s="1">
        <v>45808</v>
      </c>
      <c r="F726" t="s">
        <v>741</v>
      </c>
      <c r="G726">
        <v>4</v>
      </c>
      <c r="H726" t="s">
        <v>581</v>
      </c>
      <c r="I726" t="s">
        <v>570</v>
      </c>
      <c r="J726" t="str">
        <f t="shared" si="33"/>
        <v>May</v>
      </c>
      <c r="K726" t="str">
        <f t="shared" si="34"/>
        <v>Q2</v>
      </c>
      <c r="L726">
        <f t="shared" si="35"/>
        <v>2025</v>
      </c>
    </row>
    <row r="727" spans="1:12" x14ac:dyDescent="0.3">
      <c r="A727" t="s">
        <v>1601</v>
      </c>
      <c r="B727" t="s">
        <v>223</v>
      </c>
      <c r="C727" t="s">
        <v>45</v>
      </c>
      <c r="D727">
        <v>1</v>
      </c>
      <c r="E727" s="1">
        <v>45856</v>
      </c>
      <c r="F727" t="s">
        <v>638</v>
      </c>
      <c r="G727">
        <v>4</v>
      </c>
      <c r="H727" t="s">
        <v>581</v>
      </c>
      <c r="I727" t="s">
        <v>570</v>
      </c>
      <c r="J727" t="str">
        <f t="shared" si="33"/>
        <v>July</v>
      </c>
      <c r="K727" t="str">
        <f t="shared" si="34"/>
        <v>Q3</v>
      </c>
      <c r="L727">
        <f t="shared" si="35"/>
        <v>2025</v>
      </c>
    </row>
    <row r="728" spans="1:12" x14ac:dyDescent="0.3">
      <c r="A728" t="s">
        <v>1602</v>
      </c>
      <c r="B728" t="s">
        <v>1603</v>
      </c>
      <c r="C728" t="s">
        <v>108</v>
      </c>
      <c r="D728">
        <v>1</v>
      </c>
      <c r="E728" s="1">
        <v>45754</v>
      </c>
      <c r="F728" t="s">
        <v>621</v>
      </c>
      <c r="G728">
        <v>4</v>
      </c>
      <c r="H728" t="s">
        <v>581</v>
      </c>
      <c r="I728" t="s">
        <v>570</v>
      </c>
      <c r="J728" t="str">
        <f t="shared" si="33"/>
        <v>April</v>
      </c>
      <c r="K728" t="str">
        <f t="shared" si="34"/>
        <v>Q2</v>
      </c>
      <c r="L728">
        <f t="shared" si="35"/>
        <v>2025</v>
      </c>
    </row>
    <row r="729" spans="1:12" x14ac:dyDescent="0.3">
      <c r="A729" t="s">
        <v>1604</v>
      </c>
      <c r="B729" t="s">
        <v>1605</v>
      </c>
      <c r="C729" t="s">
        <v>176</v>
      </c>
      <c r="D729">
        <v>1</v>
      </c>
      <c r="E729" s="1">
        <v>45707</v>
      </c>
      <c r="F729" t="s">
        <v>577</v>
      </c>
      <c r="G729">
        <v>3</v>
      </c>
      <c r="H729" t="s">
        <v>578</v>
      </c>
      <c r="I729" t="s">
        <v>570</v>
      </c>
      <c r="J729" t="str">
        <f t="shared" si="33"/>
        <v>February</v>
      </c>
      <c r="K729" t="str">
        <f t="shared" si="34"/>
        <v>Q1</v>
      </c>
      <c r="L729">
        <f t="shared" si="35"/>
        <v>2025</v>
      </c>
    </row>
    <row r="730" spans="1:12" x14ac:dyDescent="0.3">
      <c r="A730" t="s">
        <v>1606</v>
      </c>
      <c r="B730" t="s">
        <v>1605</v>
      </c>
      <c r="C730" t="s">
        <v>176</v>
      </c>
      <c r="D730">
        <v>2</v>
      </c>
      <c r="E730" s="1">
        <v>45714</v>
      </c>
      <c r="F730" t="s">
        <v>572</v>
      </c>
      <c r="G730">
        <v>4</v>
      </c>
      <c r="H730" t="s">
        <v>581</v>
      </c>
      <c r="I730" t="s">
        <v>570</v>
      </c>
      <c r="J730" t="str">
        <f t="shared" si="33"/>
        <v>February</v>
      </c>
      <c r="K730" t="str">
        <f t="shared" si="34"/>
        <v>Q1</v>
      </c>
      <c r="L730">
        <f t="shared" si="35"/>
        <v>2025</v>
      </c>
    </row>
    <row r="731" spans="1:12" x14ac:dyDescent="0.3">
      <c r="A731" t="s">
        <v>1607</v>
      </c>
      <c r="B731" t="s">
        <v>1605</v>
      </c>
      <c r="C731" t="s">
        <v>176</v>
      </c>
      <c r="D731">
        <v>3</v>
      </c>
      <c r="E731" s="1">
        <v>45718</v>
      </c>
      <c r="F731" t="s">
        <v>575</v>
      </c>
      <c r="G731">
        <v>4</v>
      </c>
      <c r="H731" t="s">
        <v>581</v>
      </c>
      <c r="I731" t="s">
        <v>570</v>
      </c>
      <c r="J731" t="str">
        <f t="shared" si="33"/>
        <v>March</v>
      </c>
      <c r="K731" t="str">
        <f t="shared" si="34"/>
        <v>Q1</v>
      </c>
      <c r="L731">
        <f t="shared" si="35"/>
        <v>2025</v>
      </c>
    </row>
    <row r="732" spans="1:12" x14ac:dyDescent="0.3">
      <c r="A732" t="s">
        <v>1608</v>
      </c>
      <c r="B732" t="s">
        <v>105</v>
      </c>
      <c r="C732" t="s">
        <v>92</v>
      </c>
      <c r="D732">
        <v>1</v>
      </c>
      <c r="E732" s="1">
        <v>45769</v>
      </c>
      <c r="F732" t="s">
        <v>605</v>
      </c>
      <c r="G732">
        <v>4</v>
      </c>
      <c r="H732" t="s">
        <v>581</v>
      </c>
      <c r="I732" t="s">
        <v>570</v>
      </c>
      <c r="J732" t="str">
        <f t="shared" si="33"/>
        <v>April</v>
      </c>
      <c r="K732" t="str">
        <f t="shared" si="34"/>
        <v>Q2</v>
      </c>
      <c r="L732">
        <f t="shared" si="35"/>
        <v>2025</v>
      </c>
    </row>
    <row r="733" spans="1:12" x14ac:dyDescent="0.3">
      <c r="A733" t="s">
        <v>1609</v>
      </c>
      <c r="B733" t="s">
        <v>105</v>
      </c>
      <c r="C733" t="s">
        <v>92</v>
      </c>
      <c r="D733">
        <v>2</v>
      </c>
      <c r="E733" s="1">
        <v>45776</v>
      </c>
      <c r="F733" t="s">
        <v>605</v>
      </c>
      <c r="G733">
        <v>3</v>
      </c>
      <c r="H733" t="s">
        <v>578</v>
      </c>
      <c r="I733" t="s">
        <v>570</v>
      </c>
      <c r="J733" t="str">
        <f t="shared" si="33"/>
        <v>April</v>
      </c>
      <c r="K733" t="str">
        <f t="shared" si="34"/>
        <v>Q2</v>
      </c>
      <c r="L733">
        <f t="shared" si="35"/>
        <v>2025</v>
      </c>
    </row>
    <row r="734" spans="1:12" x14ac:dyDescent="0.3">
      <c r="A734" t="s">
        <v>1610</v>
      </c>
      <c r="B734" t="s">
        <v>105</v>
      </c>
      <c r="C734" t="s">
        <v>92</v>
      </c>
      <c r="D734">
        <v>3</v>
      </c>
      <c r="E734" s="1">
        <v>45786</v>
      </c>
      <c r="F734" t="s">
        <v>625</v>
      </c>
      <c r="G734">
        <v>5</v>
      </c>
      <c r="H734" t="s">
        <v>581</v>
      </c>
      <c r="I734" t="s">
        <v>570</v>
      </c>
      <c r="J734" t="str">
        <f t="shared" si="33"/>
        <v>May</v>
      </c>
      <c r="K734" t="str">
        <f t="shared" si="34"/>
        <v>Q2</v>
      </c>
      <c r="L734">
        <f t="shared" si="35"/>
        <v>2025</v>
      </c>
    </row>
    <row r="735" spans="1:12" x14ac:dyDescent="0.3">
      <c r="A735" t="s">
        <v>1611</v>
      </c>
      <c r="B735" t="s">
        <v>105</v>
      </c>
      <c r="C735" t="s">
        <v>92</v>
      </c>
      <c r="D735">
        <v>4</v>
      </c>
      <c r="E735" s="1">
        <v>45798</v>
      </c>
      <c r="F735" t="s">
        <v>605</v>
      </c>
      <c r="G735">
        <v>4</v>
      </c>
      <c r="H735" t="s">
        <v>581</v>
      </c>
      <c r="I735" t="s">
        <v>570</v>
      </c>
      <c r="J735" t="str">
        <f t="shared" si="33"/>
        <v>May</v>
      </c>
      <c r="K735" t="str">
        <f t="shared" si="34"/>
        <v>Q2</v>
      </c>
      <c r="L735">
        <f t="shared" si="35"/>
        <v>2025</v>
      </c>
    </row>
    <row r="736" spans="1:12" x14ac:dyDescent="0.3">
      <c r="A736" t="s">
        <v>1612</v>
      </c>
      <c r="B736" t="s">
        <v>1613</v>
      </c>
      <c r="C736" t="s">
        <v>108</v>
      </c>
      <c r="D736">
        <v>1</v>
      </c>
      <c r="E736" s="1">
        <v>45762</v>
      </c>
      <c r="F736" t="s">
        <v>638</v>
      </c>
      <c r="G736">
        <v>1</v>
      </c>
      <c r="H736" t="s">
        <v>569</v>
      </c>
      <c r="I736" t="s">
        <v>570</v>
      </c>
      <c r="J736" t="str">
        <f t="shared" si="33"/>
        <v>April</v>
      </c>
      <c r="K736" t="str">
        <f t="shared" si="34"/>
        <v>Q2</v>
      </c>
      <c r="L736">
        <f t="shared" si="35"/>
        <v>2025</v>
      </c>
    </row>
    <row r="737" spans="1:12" x14ac:dyDescent="0.3">
      <c r="A737" t="s">
        <v>1614</v>
      </c>
      <c r="B737" t="s">
        <v>1615</v>
      </c>
      <c r="C737" t="s">
        <v>85</v>
      </c>
      <c r="D737">
        <v>1</v>
      </c>
      <c r="E737" s="1">
        <v>45842</v>
      </c>
      <c r="F737" t="s">
        <v>572</v>
      </c>
      <c r="G737">
        <v>2</v>
      </c>
      <c r="H737" t="s">
        <v>569</v>
      </c>
      <c r="I737" t="s">
        <v>570</v>
      </c>
      <c r="J737" t="str">
        <f t="shared" si="33"/>
        <v>July</v>
      </c>
      <c r="K737" t="str">
        <f t="shared" si="34"/>
        <v>Q3</v>
      </c>
      <c r="L737">
        <f t="shared" si="35"/>
        <v>2025</v>
      </c>
    </row>
    <row r="738" spans="1:12" x14ac:dyDescent="0.3">
      <c r="A738" t="s">
        <v>1616</v>
      </c>
      <c r="B738" t="s">
        <v>1615</v>
      </c>
      <c r="C738" t="s">
        <v>85</v>
      </c>
      <c r="D738">
        <v>2</v>
      </c>
      <c r="E738" s="1">
        <v>45852</v>
      </c>
      <c r="F738" t="s">
        <v>572</v>
      </c>
      <c r="G738">
        <v>3</v>
      </c>
      <c r="H738" t="s">
        <v>578</v>
      </c>
      <c r="I738" t="s">
        <v>570</v>
      </c>
      <c r="J738" t="str">
        <f t="shared" si="33"/>
        <v>July</v>
      </c>
      <c r="K738" t="str">
        <f t="shared" si="34"/>
        <v>Q3</v>
      </c>
      <c r="L738">
        <f t="shared" si="35"/>
        <v>2025</v>
      </c>
    </row>
    <row r="739" spans="1:12" x14ac:dyDescent="0.3">
      <c r="A739" t="s">
        <v>1617</v>
      </c>
      <c r="B739" t="s">
        <v>1615</v>
      </c>
      <c r="C739" t="s">
        <v>85</v>
      </c>
      <c r="D739">
        <v>3</v>
      </c>
      <c r="E739" s="1">
        <v>45856</v>
      </c>
      <c r="F739" t="s">
        <v>572</v>
      </c>
      <c r="G739">
        <v>1</v>
      </c>
      <c r="H739" t="s">
        <v>569</v>
      </c>
      <c r="I739" t="s">
        <v>570</v>
      </c>
      <c r="J739" t="str">
        <f t="shared" si="33"/>
        <v>July</v>
      </c>
      <c r="K739" t="str">
        <f t="shared" si="34"/>
        <v>Q3</v>
      </c>
      <c r="L739">
        <f t="shared" si="35"/>
        <v>2025</v>
      </c>
    </row>
    <row r="740" spans="1:12" x14ac:dyDescent="0.3">
      <c r="A740" t="s">
        <v>1618</v>
      </c>
      <c r="B740" t="s">
        <v>1619</v>
      </c>
      <c r="C740" t="s">
        <v>92</v>
      </c>
      <c r="D740">
        <v>1</v>
      </c>
      <c r="E740" s="1">
        <v>45763</v>
      </c>
      <c r="F740" t="s">
        <v>577</v>
      </c>
      <c r="G740">
        <v>1</v>
      </c>
      <c r="H740" t="s">
        <v>569</v>
      </c>
      <c r="I740" t="s">
        <v>570</v>
      </c>
      <c r="J740" t="str">
        <f t="shared" si="33"/>
        <v>April</v>
      </c>
      <c r="K740" t="str">
        <f t="shared" si="34"/>
        <v>Q2</v>
      </c>
      <c r="L740">
        <f t="shared" si="35"/>
        <v>2025</v>
      </c>
    </row>
    <row r="741" spans="1:12" x14ac:dyDescent="0.3">
      <c r="A741" t="s">
        <v>1620</v>
      </c>
      <c r="B741" t="s">
        <v>1621</v>
      </c>
      <c r="C741" t="s">
        <v>156</v>
      </c>
      <c r="D741">
        <v>1</v>
      </c>
      <c r="E741" s="1">
        <v>45735</v>
      </c>
      <c r="F741" t="s">
        <v>766</v>
      </c>
      <c r="G741">
        <v>3</v>
      </c>
      <c r="H741" t="s">
        <v>578</v>
      </c>
      <c r="I741" t="s">
        <v>570</v>
      </c>
      <c r="J741" t="str">
        <f t="shared" si="33"/>
        <v>March</v>
      </c>
      <c r="K741" t="str">
        <f t="shared" si="34"/>
        <v>Q1</v>
      </c>
      <c r="L741">
        <f t="shared" si="35"/>
        <v>2025</v>
      </c>
    </row>
    <row r="742" spans="1:12" x14ac:dyDescent="0.3">
      <c r="A742" t="s">
        <v>1622</v>
      </c>
      <c r="B742" t="s">
        <v>1621</v>
      </c>
      <c r="C742" t="s">
        <v>156</v>
      </c>
      <c r="D742">
        <v>2</v>
      </c>
      <c r="E742" s="1">
        <v>45745</v>
      </c>
      <c r="F742" t="s">
        <v>741</v>
      </c>
      <c r="G742">
        <v>2</v>
      </c>
      <c r="H742" t="s">
        <v>569</v>
      </c>
      <c r="I742" t="s">
        <v>570</v>
      </c>
      <c r="J742" t="str">
        <f t="shared" si="33"/>
        <v>March</v>
      </c>
      <c r="K742" t="str">
        <f t="shared" si="34"/>
        <v>Q1</v>
      </c>
      <c r="L742">
        <f t="shared" si="35"/>
        <v>2025</v>
      </c>
    </row>
    <row r="743" spans="1:12" x14ac:dyDescent="0.3">
      <c r="A743" t="s">
        <v>1623</v>
      </c>
      <c r="B743" t="s">
        <v>1621</v>
      </c>
      <c r="C743" t="s">
        <v>156</v>
      </c>
      <c r="D743">
        <v>3</v>
      </c>
      <c r="E743" s="1">
        <v>45752</v>
      </c>
      <c r="F743" t="s">
        <v>592</v>
      </c>
      <c r="G743">
        <v>1</v>
      </c>
      <c r="H743" t="s">
        <v>569</v>
      </c>
      <c r="I743" t="s">
        <v>570</v>
      </c>
      <c r="J743" t="str">
        <f t="shared" si="33"/>
        <v>April</v>
      </c>
      <c r="K743" t="str">
        <f t="shared" si="34"/>
        <v>Q2</v>
      </c>
      <c r="L743">
        <f t="shared" si="35"/>
        <v>2025</v>
      </c>
    </row>
    <row r="744" spans="1:12" x14ac:dyDescent="0.3">
      <c r="A744" t="s">
        <v>1624</v>
      </c>
      <c r="B744" t="s">
        <v>233</v>
      </c>
      <c r="C744" t="s">
        <v>51</v>
      </c>
      <c r="D744">
        <v>1</v>
      </c>
      <c r="E744" s="1">
        <v>45951</v>
      </c>
      <c r="F744" t="s">
        <v>596</v>
      </c>
      <c r="G744">
        <v>3</v>
      </c>
      <c r="H744" t="s">
        <v>578</v>
      </c>
      <c r="I744" t="s">
        <v>570</v>
      </c>
      <c r="J744" t="str">
        <f t="shared" si="33"/>
        <v>October</v>
      </c>
      <c r="K744" t="str">
        <f t="shared" si="34"/>
        <v>Q4</v>
      </c>
      <c r="L744">
        <f t="shared" si="35"/>
        <v>2025</v>
      </c>
    </row>
    <row r="745" spans="1:12" x14ac:dyDescent="0.3">
      <c r="A745" t="s">
        <v>1625</v>
      </c>
      <c r="B745" t="s">
        <v>233</v>
      </c>
      <c r="C745" t="s">
        <v>51</v>
      </c>
      <c r="D745">
        <v>2</v>
      </c>
      <c r="E745" s="1">
        <v>45960</v>
      </c>
      <c r="F745" t="s">
        <v>586</v>
      </c>
      <c r="G745">
        <v>3</v>
      </c>
      <c r="H745" t="s">
        <v>578</v>
      </c>
      <c r="I745" t="s">
        <v>608</v>
      </c>
      <c r="J745" t="str">
        <f t="shared" si="33"/>
        <v>October</v>
      </c>
      <c r="K745" t="str">
        <f t="shared" si="34"/>
        <v>Q4</v>
      </c>
      <c r="L745">
        <f t="shared" si="35"/>
        <v>2025</v>
      </c>
    </row>
    <row r="746" spans="1:12" x14ac:dyDescent="0.3">
      <c r="A746" t="s">
        <v>1626</v>
      </c>
      <c r="B746" t="s">
        <v>233</v>
      </c>
      <c r="C746" t="s">
        <v>51</v>
      </c>
      <c r="D746">
        <v>3</v>
      </c>
      <c r="E746" s="1">
        <v>45970</v>
      </c>
      <c r="F746" t="s">
        <v>572</v>
      </c>
      <c r="G746">
        <v>2</v>
      </c>
      <c r="H746" t="s">
        <v>569</v>
      </c>
      <c r="I746" t="s">
        <v>570</v>
      </c>
      <c r="J746" t="str">
        <f t="shared" si="33"/>
        <v>November</v>
      </c>
      <c r="K746" t="str">
        <f t="shared" si="34"/>
        <v>Q4</v>
      </c>
      <c r="L746">
        <f t="shared" si="35"/>
        <v>2025</v>
      </c>
    </row>
    <row r="747" spans="1:12" x14ac:dyDescent="0.3">
      <c r="A747" t="s">
        <v>1627</v>
      </c>
      <c r="B747" t="s">
        <v>233</v>
      </c>
      <c r="C747" t="s">
        <v>51</v>
      </c>
      <c r="D747">
        <v>4</v>
      </c>
      <c r="E747" s="1">
        <v>45981</v>
      </c>
      <c r="F747" t="s">
        <v>572</v>
      </c>
      <c r="G747">
        <v>4</v>
      </c>
      <c r="H747" t="s">
        <v>581</v>
      </c>
      <c r="I747" t="s">
        <v>570</v>
      </c>
      <c r="J747" t="str">
        <f t="shared" si="33"/>
        <v>November</v>
      </c>
      <c r="K747" t="str">
        <f t="shared" si="34"/>
        <v>Q4</v>
      </c>
      <c r="L747">
        <f t="shared" si="35"/>
        <v>2025</v>
      </c>
    </row>
    <row r="748" spans="1:12" x14ac:dyDescent="0.3">
      <c r="A748" t="s">
        <v>1628</v>
      </c>
      <c r="B748" t="s">
        <v>1629</v>
      </c>
      <c r="C748" t="s">
        <v>183</v>
      </c>
      <c r="D748">
        <v>1</v>
      </c>
      <c r="E748" s="1">
        <v>45864</v>
      </c>
      <c r="F748" t="s">
        <v>656</v>
      </c>
      <c r="G748">
        <v>3</v>
      </c>
      <c r="H748" t="s">
        <v>578</v>
      </c>
      <c r="I748" t="s">
        <v>570</v>
      </c>
      <c r="J748" t="str">
        <f t="shared" si="33"/>
        <v>July</v>
      </c>
      <c r="K748" t="str">
        <f t="shared" si="34"/>
        <v>Q3</v>
      </c>
      <c r="L748">
        <f t="shared" si="35"/>
        <v>2025</v>
      </c>
    </row>
    <row r="749" spans="1:12" x14ac:dyDescent="0.3">
      <c r="A749" t="s">
        <v>1630</v>
      </c>
      <c r="B749" t="s">
        <v>1629</v>
      </c>
      <c r="C749" t="s">
        <v>183</v>
      </c>
      <c r="D749">
        <v>2</v>
      </c>
      <c r="E749" s="1">
        <v>45869</v>
      </c>
      <c r="G749">
        <v>4</v>
      </c>
      <c r="H749" t="s">
        <v>581</v>
      </c>
      <c r="I749" t="s">
        <v>570</v>
      </c>
      <c r="J749" t="str">
        <f t="shared" si="33"/>
        <v>July</v>
      </c>
      <c r="K749" t="str">
        <f t="shared" si="34"/>
        <v>Q3</v>
      </c>
      <c r="L749">
        <f t="shared" si="35"/>
        <v>2025</v>
      </c>
    </row>
    <row r="750" spans="1:12" x14ac:dyDescent="0.3">
      <c r="A750" t="s">
        <v>1631</v>
      </c>
      <c r="B750" t="s">
        <v>1629</v>
      </c>
      <c r="C750" t="s">
        <v>183</v>
      </c>
      <c r="D750">
        <v>3</v>
      </c>
      <c r="E750" s="1">
        <v>45878</v>
      </c>
      <c r="F750" t="s">
        <v>670</v>
      </c>
      <c r="G750">
        <v>4</v>
      </c>
      <c r="H750" t="s">
        <v>581</v>
      </c>
      <c r="I750" t="s">
        <v>570</v>
      </c>
      <c r="J750" t="str">
        <f t="shared" si="33"/>
        <v>August</v>
      </c>
      <c r="K750" t="str">
        <f t="shared" si="34"/>
        <v>Q3</v>
      </c>
      <c r="L750">
        <f t="shared" si="35"/>
        <v>2025</v>
      </c>
    </row>
    <row r="751" spans="1:12" x14ac:dyDescent="0.3">
      <c r="A751" t="s">
        <v>1632</v>
      </c>
      <c r="B751" t="s">
        <v>1629</v>
      </c>
      <c r="C751" t="s">
        <v>183</v>
      </c>
      <c r="D751">
        <v>4</v>
      </c>
      <c r="E751" s="1">
        <v>45890</v>
      </c>
      <c r="F751" t="s">
        <v>625</v>
      </c>
      <c r="G751">
        <v>4</v>
      </c>
      <c r="H751" t="s">
        <v>581</v>
      </c>
      <c r="I751" t="s">
        <v>597</v>
      </c>
      <c r="J751" t="str">
        <f t="shared" si="33"/>
        <v>August</v>
      </c>
      <c r="K751" t="str">
        <f t="shared" si="34"/>
        <v>Q3</v>
      </c>
      <c r="L751">
        <f t="shared" si="35"/>
        <v>2025</v>
      </c>
    </row>
    <row r="752" spans="1:12" x14ac:dyDescent="0.3">
      <c r="A752" t="s">
        <v>1633</v>
      </c>
      <c r="B752" t="s">
        <v>1634</v>
      </c>
      <c r="C752" t="s">
        <v>251</v>
      </c>
      <c r="D752">
        <v>1</v>
      </c>
      <c r="E752" s="1">
        <v>45811</v>
      </c>
      <c r="G752">
        <v>1</v>
      </c>
      <c r="H752" t="s">
        <v>569</v>
      </c>
      <c r="I752" t="s">
        <v>570</v>
      </c>
      <c r="J752" t="str">
        <f t="shared" si="33"/>
        <v>June</v>
      </c>
      <c r="K752" t="str">
        <f t="shared" si="34"/>
        <v>Q2</v>
      </c>
      <c r="L752">
        <f t="shared" si="35"/>
        <v>2025</v>
      </c>
    </row>
    <row r="753" spans="1:12" x14ac:dyDescent="0.3">
      <c r="A753" t="s">
        <v>1635</v>
      </c>
      <c r="B753" t="s">
        <v>132</v>
      </c>
      <c r="C753" t="s">
        <v>133</v>
      </c>
      <c r="D753">
        <v>1</v>
      </c>
      <c r="E753" s="1">
        <v>45701</v>
      </c>
      <c r="F753" t="s">
        <v>584</v>
      </c>
      <c r="G753">
        <v>2</v>
      </c>
      <c r="H753" t="s">
        <v>569</v>
      </c>
      <c r="I753" t="s">
        <v>570</v>
      </c>
      <c r="J753" t="str">
        <f t="shared" si="33"/>
        <v>February</v>
      </c>
      <c r="K753" t="str">
        <f t="shared" si="34"/>
        <v>Q1</v>
      </c>
      <c r="L753">
        <f t="shared" si="35"/>
        <v>2025</v>
      </c>
    </row>
    <row r="754" spans="1:12" x14ac:dyDescent="0.3">
      <c r="A754" t="s">
        <v>1636</v>
      </c>
      <c r="B754" t="s">
        <v>132</v>
      </c>
      <c r="C754" t="s">
        <v>133</v>
      </c>
      <c r="D754">
        <v>2</v>
      </c>
      <c r="E754" s="1">
        <v>45713</v>
      </c>
      <c r="F754" t="s">
        <v>584</v>
      </c>
      <c r="G754">
        <v>4</v>
      </c>
      <c r="H754" t="s">
        <v>581</v>
      </c>
      <c r="I754" t="s">
        <v>570</v>
      </c>
      <c r="J754" t="str">
        <f t="shared" si="33"/>
        <v>February</v>
      </c>
      <c r="K754" t="str">
        <f t="shared" si="34"/>
        <v>Q1</v>
      </c>
      <c r="L754">
        <f t="shared" si="35"/>
        <v>2025</v>
      </c>
    </row>
    <row r="755" spans="1:12" x14ac:dyDescent="0.3">
      <c r="A755" t="s">
        <v>1637</v>
      </c>
      <c r="B755" t="s">
        <v>132</v>
      </c>
      <c r="C755" t="s">
        <v>133</v>
      </c>
      <c r="D755">
        <v>3</v>
      </c>
      <c r="E755" s="1">
        <v>45717</v>
      </c>
      <c r="F755" t="s">
        <v>625</v>
      </c>
      <c r="G755">
        <v>4</v>
      </c>
      <c r="H755" t="s">
        <v>581</v>
      </c>
      <c r="I755" t="s">
        <v>570</v>
      </c>
      <c r="J755" t="str">
        <f t="shared" si="33"/>
        <v>March</v>
      </c>
      <c r="K755" t="str">
        <f t="shared" si="34"/>
        <v>Q1</v>
      </c>
      <c r="L755">
        <f t="shared" si="35"/>
        <v>2025</v>
      </c>
    </row>
    <row r="756" spans="1:12" x14ac:dyDescent="0.3">
      <c r="A756" t="s">
        <v>1638</v>
      </c>
      <c r="B756" t="s">
        <v>1639</v>
      </c>
      <c r="C756" t="s">
        <v>85</v>
      </c>
      <c r="D756">
        <v>1</v>
      </c>
      <c r="E756" s="1">
        <v>45850</v>
      </c>
      <c r="F756" t="s">
        <v>572</v>
      </c>
      <c r="G756">
        <v>2</v>
      </c>
      <c r="H756" t="s">
        <v>569</v>
      </c>
      <c r="I756" t="s">
        <v>570</v>
      </c>
      <c r="J756" t="str">
        <f t="shared" si="33"/>
        <v>July</v>
      </c>
      <c r="K756" t="str">
        <f t="shared" si="34"/>
        <v>Q3</v>
      </c>
      <c r="L756">
        <f t="shared" si="35"/>
        <v>2025</v>
      </c>
    </row>
    <row r="757" spans="1:12" x14ac:dyDescent="0.3">
      <c r="A757" t="s">
        <v>1640</v>
      </c>
      <c r="B757" t="s">
        <v>1639</v>
      </c>
      <c r="C757" t="s">
        <v>85</v>
      </c>
      <c r="D757">
        <v>2</v>
      </c>
      <c r="E757" s="1">
        <v>45856</v>
      </c>
      <c r="F757" t="s">
        <v>663</v>
      </c>
      <c r="G757">
        <v>2</v>
      </c>
      <c r="H757" t="s">
        <v>569</v>
      </c>
      <c r="I757" t="s">
        <v>570</v>
      </c>
      <c r="J757" t="str">
        <f t="shared" si="33"/>
        <v>July</v>
      </c>
      <c r="K757" t="str">
        <f t="shared" si="34"/>
        <v>Q3</v>
      </c>
      <c r="L757">
        <f t="shared" si="35"/>
        <v>2025</v>
      </c>
    </row>
    <row r="758" spans="1:12" x14ac:dyDescent="0.3">
      <c r="A758" t="s">
        <v>1641</v>
      </c>
      <c r="B758" t="s">
        <v>1639</v>
      </c>
      <c r="C758" t="s">
        <v>85</v>
      </c>
      <c r="D758">
        <v>3</v>
      </c>
      <c r="E758" s="1">
        <v>45865</v>
      </c>
      <c r="F758" t="s">
        <v>580</v>
      </c>
      <c r="G758">
        <v>1</v>
      </c>
      <c r="H758" t="s">
        <v>569</v>
      </c>
      <c r="I758" t="s">
        <v>597</v>
      </c>
      <c r="J758" t="str">
        <f t="shared" si="33"/>
        <v>July</v>
      </c>
      <c r="K758" t="str">
        <f t="shared" si="34"/>
        <v>Q3</v>
      </c>
      <c r="L758">
        <f t="shared" si="35"/>
        <v>2025</v>
      </c>
    </row>
    <row r="759" spans="1:12" x14ac:dyDescent="0.3">
      <c r="A759" t="s">
        <v>1642</v>
      </c>
      <c r="B759" t="s">
        <v>1643</v>
      </c>
      <c r="C759" t="s">
        <v>37</v>
      </c>
      <c r="D759">
        <v>1</v>
      </c>
      <c r="E759" s="1">
        <v>45710</v>
      </c>
      <c r="F759" t="s">
        <v>586</v>
      </c>
      <c r="G759">
        <v>3</v>
      </c>
      <c r="H759" t="s">
        <v>578</v>
      </c>
      <c r="I759" t="s">
        <v>597</v>
      </c>
      <c r="J759" t="str">
        <f t="shared" si="33"/>
        <v>February</v>
      </c>
      <c r="K759" t="str">
        <f t="shared" si="34"/>
        <v>Q1</v>
      </c>
      <c r="L759">
        <f t="shared" si="35"/>
        <v>2025</v>
      </c>
    </row>
    <row r="760" spans="1:12" x14ac:dyDescent="0.3">
      <c r="A760" t="s">
        <v>1644</v>
      </c>
      <c r="B760" t="s">
        <v>1643</v>
      </c>
      <c r="C760" t="s">
        <v>37</v>
      </c>
      <c r="D760">
        <v>2</v>
      </c>
      <c r="E760" s="1">
        <v>45720</v>
      </c>
      <c r="F760" t="s">
        <v>580</v>
      </c>
      <c r="G760">
        <v>3</v>
      </c>
      <c r="H760" t="s">
        <v>578</v>
      </c>
      <c r="I760" t="s">
        <v>597</v>
      </c>
      <c r="J760" t="str">
        <f t="shared" si="33"/>
        <v>March</v>
      </c>
      <c r="K760" t="str">
        <f t="shared" si="34"/>
        <v>Q1</v>
      </c>
      <c r="L760">
        <f t="shared" si="35"/>
        <v>2025</v>
      </c>
    </row>
    <row r="761" spans="1:12" x14ac:dyDescent="0.3">
      <c r="A761" t="s">
        <v>1645</v>
      </c>
      <c r="B761" t="s">
        <v>1643</v>
      </c>
      <c r="C761" t="s">
        <v>37</v>
      </c>
      <c r="D761">
        <v>3</v>
      </c>
      <c r="E761" s="1">
        <v>45724</v>
      </c>
      <c r="F761" t="s">
        <v>596</v>
      </c>
      <c r="G761">
        <v>1</v>
      </c>
      <c r="H761" t="s">
        <v>569</v>
      </c>
      <c r="I761" t="s">
        <v>570</v>
      </c>
      <c r="J761" t="str">
        <f t="shared" si="33"/>
        <v>March</v>
      </c>
      <c r="K761" t="str">
        <f t="shared" si="34"/>
        <v>Q1</v>
      </c>
      <c r="L761">
        <f t="shared" si="35"/>
        <v>2025</v>
      </c>
    </row>
    <row r="762" spans="1:12" x14ac:dyDescent="0.3">
      <c r="A762" t="s">
        <v>1646</v>
      </c>
      <c r="B762" t="s">
        <v>1643</v>
      </c>
      <c r="C762" t="s">
        <v>37</v>
      </c>
      <c r="D762">
        <v>4</v>
      </c>
      <c r="E762" s="1">
        <v>45730</v>
      </c>
      <c r="F762" t="s">
        <v>663</v>
      </c>
      <c r="G762">
        <v>1</v>
      </c>
      <c r="H762" t="s">
        <v>569</v>
      </c>
      <c r="I762" t="s">
        <v>597</v>
      </c>
      <c r="J762" t="str">
        <f t="shared" si="33"/>
        <v>March</v>
      </c>
      <c r="K762" t="str">
        <f t="shared" si="34"/>
        <v>Q1</v>
      </c>
      <c r="L762">
        <f t="shared" si="35"/>
        <v>2025</v>
      </c>
    </row>
    <row r="763" spans="1:12" x14ac:dyDescent="0.3">
      <c r="A763" t="s">
        <v>1647</v>
      </c>
      <c r="B763" t="s">
        <v>1648</v>
      </c>
      <c r="C763" t="s">
        <v>156</v>
      </c>
      <c r="D763">
        <v>1</v>
      </c>
      <c r="E763" s="1">
        <v>45737</v>
      </c>
      <c r="F763" t="s">
        <v>741</v>
      </c>
      <c r="G763">
        <v>2</v>
      </c>
      <c r="H763" t="s">
        <v>569</v>
      </c>
      <c r="I763" t="s">
        <v>570</v>
      </c>
      <c r="J763" t="str">
        <f t="shared" si="33"/>
        <v>March</v>
      </c>
      <c r="K763" t="str">
        <f t="shared" si="34"/>
        <v>Q1</v>
      </c>
      <c r="L763">
        <f t="shared" si="35"/>
        <v>2025</v>
      </c>
    </row>
    <row r="764" spans="1:12" x14ac:dyDescent="0.3">
      <c r="A764" t="s">
        <v>1649</v>
      </c>
      <c r="B764" t="s">
        <v>1648</v>
      </c>
      <c r="C764" t="s">
        <v>156</v>
      </c>
      <c r="D764">
        <v>2</v>
      </c>
      <c r="E764" s="1">
        <v>45741</v>
      </c>
      <c r="F764" t="s">
        <v>741</v>
      </c>
      <c r="G764">
        <v>3</v>
      </c>
      <c r="H764" t="s">
        <v>578</v>
      </c>
      <c r="I764" t="s">
        <v>570</v>
      </c>
      <c r="J764" t="str">
        <f t="shared" si="33"/>
        <v>March</v>
      </c>
      <c r="K764" t="str">
        <f t="shared" si="34"/>
        <v>Q1</v>
      </c>
      <c r="L764">
        <f t="shared" si="35"/>
        <v>2025</v>
      </c>
    </row>
    <row r="765" spans="1:12" x14ac:dyDescent="0.3">
      <c r="A765" t="s">
        <v>1650</v>
      </c>
      <c r="B765" t="s">
        <v>1648</v>
      </c>
      <c r="C765" t="s">
        <v>156</v>
      </c>
      <c r="D765">
        <v>3</v>
      </c>
      <c r="E765" s="1">
        <v>45753</v>
      </c>
      <c r="F765" t="s">
        <v>580</v>
      </c>
      <c r="G765">
        <v>4</v>
      </c>
      <c r="H765" t="s">
        <v>581</v>
      </c>
      <c r="I765" t="s">
        <v>570</v>
      </c>
      <c r="J765" t="str">
        <f t="shared" si="33"/>
        <v>April</v>
      </c>
      <c r="K765" t="str">
        <f t="shared" si="34"/>
        <v>Q2</v>
      </c>
      <c r="L765">
        <f t="shared" si="35"/>
        <v>2025</v>
      </c>
    </row>
    <row r="766" spans="1:12" x14ac:dyDescent="0.3">
      <c r="A766" t="s">
        <v>1651</v>
      </c>
      <c r="B766" t="s">
        <v>144</v>
      </c>
      <c r="C766" t="s">
        <v>45</v>
      </c>
      <c r="D766">
        <v>1</v>
      </c>
      <c r="E766" s="1">
        <v>45852</v>
      </c>
      <c r="F766" t="s">
        <v>766</v>
      </c>
      <c r="G766">
        <v>2</v>
      </c>
      <c r="H766" t="s">
        <v>569</v>
      </c>
      <c r="I766" t="s">
        <v>570</v>
      </c>
      <c r="J766" t="str">
        <f t="shared" si="33"/>
        <v>July</v>
      </c>
      <c r="K766" t="str">
        <f t="shared" si="34"/>
        <v>Q3</v>
      </c>
      <c r="L766">
        <f t="shared" si="35"/>
        <v>2025</v>
      </c>
    </row>
    <row r="767" spans="1:12" x14ac:dyDescent="0.3">
      <c r="A767" t="s">
        <v>1652</v>
      </c>
      <c r="B767" t="s">
        <v>144</v>
      </c>
      <c r="C767" t="s">
        <v>45</v>
      </c>
      <c r="D767">
        <v>2</v>
      </c>
      <c r="E767" s="1">
        <v>45859</v>
      </c>
      <c r="F767" t="s">
        <v>580</v>
      </c>
      <c r="G767">
        <v>5</v>
      </c>
      <c r="H767" t="s">
        <v>581</v>
      </c>
      <c r="I767" t="s">
        <v>570</v>
      </c>
      <c r="J767" t="str">
        <f t="shared" si="33"/>
        <v>July</v>
      </c>
      <c r="K767" t="str">
        <f t="shared" si="34"/>
        <v>Q3</v>
      </c>
      <c r="L767">
        <f t="shared" si="35"/>
        <v>2025</v>
      </c>
    </row>
    <row r="768" spans="1:12" x14ac:dyDescent="0.3">
      <c r="A768" t="s">
        <v>1653</v>
      </c>
      <c r="B768" t="s">
        <v>144</v>
      </c>
      <c r="C768" t="s">
        <v>45</v>
      </c>
      <c r="D768">
        <v>3</v>
      </c>
      <c r="E768" s="1">
        <v>45865</v>
      </c>
      <c r="F768" t="s">
        <v>592</v>
      </c>
      <c r="G768">
        <v>3</v>
      </c>
      <c r="H768" t="s">
        <v>578</v>
      </c>
      <c r="I768" t="s">
        <v>570</v>
      </c>
      <c r="J768" t="str">
        <f t="shared" si="33"/>
        <v>July</v>
      </c>
      <c r="K768" t="str">
        <f t="shared" si="34"/>
        <v>Q3</v>
      </c>
      <c r="L768">
        <f t="shared" si="35"/>
        <v>2025</v>
      </c>
    </row>
    <row r="769" spans="1:12" x14ac:dyDescent="0.3">
      <c r="A769" t="s">
        <v>1654</v>
      </c>
      <c r="B769" t="s">
        <v>144</v>
      </c>
      <c r="C769" t="s">
        <v>45</v>
      </c>
      <c r="D769">
        <v>4</v>
      </c>
      <c r="E769" s="1">
        <v>45873</v>
      </c>
      <c r="F769" t="s">
        <v>592</v>
      </c>
      <c r="G769">
        <v>4</v>
      </c>
      <c r="H769" t="s">
        <v>581</v>
      </c>
      <c r="I769" t="s">
        <v>570</v>
      </c>
      <c r="J769" t="str">
        <f t="shared" si="33"/>
        <v>August</v>
      </c>
      <c r="K769" t="str">
        <f t="shared" si="34"/>
        <v>Q3</v>
      </c>
      <c r="L769">
        <f t="shared" si="35"/>
        <v>2025</v>
      </c>
    </row>
    <row r="770" spans="1:12" x14ac:dyDescent="0.3">
      <c r="A770" t="s">
        <v>1655</v>
      </c>
      <c r="B770" t="s">
        <v>1656</v>
      </c>
      <c r="C770" t="s">
        <v>58</v>
      </c>
      <c r="D770">
        <v>1</v>
      </c>
      <c r="E770" s="1">
        <v>45807</v>
      </c>
      <c r="F770" t="s">
        <v>625</v>
      </c>
      <c r="G770">
        <v>1</v>
      </c>
      <c r="H770" t="s">
        <v>569</v>
      </c>
      <c r="I770" t="s">
        <v>570</v>
      </c>
      <c r="J770" t="str">
        <f t="shared" ref="J770:J833" si="36">TEXT(E770,"mmmm")</f>
        <v>May</v>
      </c>
      <c r="K770" t="str">
        <f t="shared" ref="K770:K833" si="37">"Q"&amp;ROUNDUP(MONTH(E770)/3,0)</f>
        <v>Q2</v>
      </c>
      <c r="L770">
        <f t="shared" ref="L770:L833" si="38">YEAR(E770)</f>
        <v>2025</v>
      </c>
    </row>
    <row r="771" spans="1:12" x14ac:dyDescent="0.3">
      <c r="A771" t="s">
        <v>1657</v>
      </c>
      <c r="B771" t="s">
        <v>1656</v>
      </c>
      <c r="C771" t="s">
        <v>58</v>
      </c>
      <c r="D771">
        <v>2</v>
      </c>
      <c r="E771" s="1">
        <v>45812</v>
      </c>
      <c r="F771" t="s">
        <v>612</v>
      </c>
      <c r="G771">
        <v>2</v>
      </c>
      <c r="H771" t="s">
        <v>569</v>
      </c>
      <c r="I771" t="s">
        <v>570</v>
      </c>
      <c r="J771" t="str">
        <f t="shared" si="36"/>
        <v>June</v>
      </c>
      <c r="K771" t="str">
        <f t="shared" si="37"/>
        <v>Q2</v>
      </c>
      <c r="L771">
        <f t="shared" si="38"/>
        <v>2025</v>
      </c>
    </row>
    <row r="772" spans="1:12" x14ac:dyDescent="0.3">
      <c r="A772" t="s">
        <v>1658</v>
      </c>
      <c r="B772" t="s">
        <v>1656</v>
      </c>
      <c r="C772" t="s">
        <v>58</v>
      </c>
      <c r="D772">
        <v>3</v>
      </c>
      <c r="E772" s="1">
        <v>45818</v>
      </c>
      <c r="F772" t="s">
        <v>605</v>
      </c>
      <c r="G772">
        <v>2</v>
      </c>
      <c r="H772" t="s">
        <v>569</v>
      </c>
      <c r="I772" t="s">
        <v>570</v>
      </c>
      <c r="J772" t="str">
        <f t="shared" si="36"/>
        <v>June</v>
      </c>
      <c r="K772" t="str">
        <f t="shared" si="37"/>
        <v>Q2</v>
      </c>
      <c r="L772">
        <f t="shared" si="38"/>
        <v>2025</v>
      </c>
    </row>
    <row r="773" spans="1:12" x14ac:dyDescent="0.3">
      <c r="A773" t="s">
        <v>1659</v>
      </c>
      <c r="B773" t="s">
        <v>1656</v>
      </c>
      <c r="C773" t="s">
        <v>58</v>
      </c>
      <c r="D773">
        <v>4</v>
      </c>
      <c r="E773" s="1">
        <v>45822</v>
      </c>
      <c r="F773" t="s">
        <v>603</v>
      </c>
      <c r="G773">
        <v>1</v>
      </c>
      <c r="H773" t="s">
        <v>569</v>
      </c>
      <c r="I773" t="s">
        <v>597</v>
      </c>
      <c r="J773" t="str">
        <f t="shared" si="36"/>
        <v>June</v>
      </c>
      <c r="K773" t="str">
        <f t="shared" si="37"/>
        <v>Q2</v>
      </c>
      <c r="L773">
        <f t="shared" si="38"/>
        <v>2025</v>
      </c>
    </row>
    <row r="774" spans="1:12" x14ac:dyDescent="0.3">
      <c r="A774" t="s">
        <v>1660</v>
      </c>
      <c r="B774" t="s">
        <v>1661</v>
      </c>
      <c r="C774" t="s">
        <v>108</v>
      </c>
      <c r="D774">
        <v>1</v>
      </c>
      <c r="E774" s="1">
        <v>45751</v>
      </c>
      <c r="F774" t="s">
        <v>638</v>
      </c>
      <c r="G774">
        <v>1</v>
      </c>
      <c r="H774" t="s">
        <v>569</v>
      </c>
      <c r="I774" t="s">
        <v>570</v>
      </c>
      <c r="J774" t="str">
        <f t="shared" si="36"/>
        <v>April</v>
      </c>
      <c r="K774" t="str">
        <f t="shared" si="37"/>
        <v>Q2</v>
      </c>
      <c r="L774">
        <f t="shared" si="38"/>
        <v>2025</v>
      </c>
    </row>
    <row r="775" spans="1:12" x14ac:dyDescent="0.3">
      <c r="A775" t="s">
        <v>1662</v>
      </c>
      <c r="B775" t="s">
        <v>1661</v>
      </c>
      <c r="C775" t="s">
        <v>108</v>
      </c>
      <c r="D775">
        <v>2</v>
      </c>
      <c r="E775" s="1">
        <v>45759</v>
      </c>
      <c r="F775" t="s">
        <v>577</v>
      </c>
      <c r="G775">
        <v>2</v>
      </c>
      <c r="H775" t="s">
        <v>569</v>
      </c>
      <c r="I775" t="s">
        <v>570</v>
      </c>
      <c r="J775" t="str">
        <f t="shared" si="36"/>
        <v>April</v>
      </c>
      <c r="K775" t="str">
        <f t="shared" si="37"/>
        <v>Q2</v>
      </c>
      <c r="L775">
        <f t="shared" si="38"/>
        <v>2025</v>
      </c>
    </row>
    <row r="776" spans="1:12" x14ac:dyDescent="0.3">
      <c r="A776" t="s">
        <v>1663</v>
      </c>
      <c r="B776" t="s">
        <v>1661</v>
      </c>
      <c r="C776" t="s">
        <v>108</v>
      </c>
      <c r="D776">
        <v>3</v>
      </c>
      <c r="E776" s="1">
        <v>45763</v>
      </c>
      <c r="F776" t="s">
        <v>596</v>
      </c>
      <c r="G776">
        <v>2</v>
      </c>
      <c r="H776" t="s">
        <v>569</v>
      </c>
      <c r="I776" t="s">
        <v>570</v>
      </c>
      <c r="J776" t="str">
        <f t="shared" si="36"/>
        <v>April</v>
      </c>
      <c r="K776" t="str">
        <f t="shared" si="37"/>
        <v>Q2</v>
      </c>
      <c r="L776">
        <f t="shared" si="38"/>
        <v>2025</v>
      </c>
    </row>
    <row r="777" spans="1:12" x14ac:dyDescent="0.3">
      <c r="A777" t="s">
        <v>1664</v>
      </c>
      <c r="B777" t="s">
        <v>1665</v>
      </c>
      <c r="C777" t="s">
        <v>88</v>
      </c>
      <c r="D777">
        <v>1</v>
      </c>
      <c r="E777" s="1">
        <v>45757</v>
      </c>
      <c r="F777" t="s">
        <v>638</v>
      </c>
      <c r="G777">
        <v>2</v>
      </c>
      <c r="H777" t="s">
        <v>569</v>
      </c>
      <c r="I777" t="s">
        <v>570</v>
      </c>
      <c r="J777" t="str">
        <f t="shared" si="36"/>
        <v>April</v>
      </c>
      <c r="K777" t="str">
        <f t="shared" si="37"/>
        <v>Q2</v>
      </c>
      <c r="L777">
        <f t="shared" si="38"/>
        <v>2025</v>
      </c>
    </row>
    <row r="778" spans="1:12" x14ac:dyDescent="0.3">
      <c r="A778" t="s">
        <v>1666</v>
      </c>
      <c r="B778" t="s">
        <v>1665</v>
      </c>
      <c r="C778" t="s">
        <v>88</v>
      </c>
      <c r="D778">
        <v>2</v>
      </c>
      <c r="E778" s="1">
        <v>45762</v>
      </c>
      <c r="F778" t="s">
        <v>638</v>
      </c>
      <c r="G778">
        <v>2</v>
      </c>
      <c r="H778" t="s">
        <v>569</v>
      </c>
      <c r="I778" t="s">
        <v>570</v>
      </c>
      <c r="J778" t="str">
        <f t="shared" si="36"/>
        <v>April</v>
      </c>
      <c r="K778" t="str">
        <f t="shared" si="37"/>
        <v>Q2</v>
      </c>
      <c r="L778">
        <f t="shared" si="38"/>
        <v>2025</v>
      </c>
    </row>
    <row r="779" spans="1:12" x14ac:dyDescent="0.3">
      <c r="A779" t="s">
        <v>1667</v>
      </c>
      <c r="B779" t="s">
        <v>1665</v>
      </c>
      <c r="C779" t="s">
        <v>88</v>
      </c>
      <c r="D779">
        <v>3</v>
      </c>
      <c r="E779" s="1">
        <v>45774</v>
      </c>
      <c r="F779" t="s">
        <v>572</v>
      </c>
      <c r="G779">
        <v>1</v>
      </c>
      <c r="H779" t="s">
        <v>569</v>
      </c>
      <c r="I779" t="s">
        <v>570</v>
      </c>
      <c r="J779" t="str">
        <f t="shared" si="36"/>
        <v>April</v>
      </c>
      <c r="K779" t="str">
        <f t="shared" si="37"/>
        <v>Q2</v>
      </c>
      <c r="L779">
        <f t="shared" si="38"/>
        <v>2025</v>
      </c>
    </row>
    <row r="780" spans="1:12" x14ac:dyDescent="0.3">
      <c r="A780" t="s">
        <v>1668</v>
      </c>
      <c r="B780" t="s">
        <v>1669</v>
      </c>
      <c r="C780" t="s">
        <v>92</v>
      </c>
      <c r="D780">
        <v>1</v>
      </c>
      <c r="E780" s="1">
        <v>45765</v>
      </c>
      <c r="F780" t="s">
        <v>572</v>
      </c>
      <c r="G780">
        <v>2</v>
      </c>
      <c r="H780" t="s">
        <v>569</v>
      </c>
      <c r="I780" t="s">
        <v>597</v>
      </c>
      <c r="J780" t="str">
        <f t="shared" si="36"/>
        <v>April</v>
      </c>
      <c r="K780" t="str">
        <f t="shared" si="37"/>
        <v>Q2</v>
      </c>
      <c r="L780">
        <f t="shared" si="38"/>
        <v>2025</v>
      </c>
    </row>
    <row r="781" spans="1:12" x14ac:dyDescent="0.3">
      <c r="A781" t="s">
        <v>1670</v>
      </c>
      <c r="B781" t="s">
        <v>107</v>
      </c>
      <c r="C781" t="s">
        <v>108</v>
      </c>
      <c r="D781">
        <v>1</v>
      </c>
      <c r="E781" s="1">
        <v>45753</v>
      </c>
      <c r="F781" t="s">
        <v>621</v>
      </c>
      <c r="G781">
        <v>4</v>
      </c>
      <c r="H781" t="s">
        <v>581</v>
      </c>
      <c r="I781" t="s">
        <v>570</v>
      </c>
      <c r="J781" t="str">
        <f t="shared" si="36"/>
        <v>April</v>
      </c>
      <c r="K781" t="str">
        <f t="shared" si="37"/>
        <v>Q2</v>
      </c>
      <c r="L781">
        <f t="shared" si="38"/>
        <v>2025</v>
      </c>
    </row>
    <row r="782" spans="1:12" x14ac:dyDescent="0.3">
      <c r="A782" t="s">
        <v>1671</v>
      </c>
      <c r="B782" t="s">
        <v>107</v>
      </c>
      <c r="C782" t="s">
        <v>108</v>
      </c>
      <c r="D782">
        <v>2</v>
      </c>
      <c r="E782" s="1">
        <v>45758</v>
      </c>
      <c r="F782" t="s">
        <v>572</v>
      </c>
      <c r="G782">
        <v>4</v>
      </c>
      <c r="H782" t="s">
        <v>581</v>
      </c>
      <c r="I782" t="s">
        <v>570</v>
      </c>
      <c r="J782" t="str">
        <f t="shared" si="36"/>
        <v>April</v>
      </c>
      <c r="K782" t="str">
        <f t="shared" si="37"/>
        <v>Q2</v>
      </c>
      <c r="L782">
        <f t="shared" si="38"/>
        <v>2025</v>
      </c>
    </row>
    <row r="783" spans="1:12" x14ac:dyDescent="0.3">
      <c r="A783" t="s">
        <v>1672</v>
      </c>
      <c r="B783" t="s">
        <v>107</v>
      </c>
      <c r="C783" t="s">
        <v>108</v>
      </c>
      <c r="D783">
        <v>3</v>
      </c>
      <c r="E783" s="1">
        <v>45770</v>
      </c>
      <c r="F783" t="s">
        <v>575</v>
      </c>
      <c r="G783">
        <v>4</v>
      </c>
      <c r="H783" t="s">
        <v>581</v>
      </c>
      <c r="I783" t="s">
        <v>570</v>
      </c>
      <c r="J783" t="str">
        <f t="shared" si="36"/>
        <v>April</v>
      </c>
      <c r="K783" t="str">
        <f t="shared" si="37"/>
        <v>Q2</v>
      </c>
      <c r="L783">
        <f t="shared" si="38"/>
        <v>2025</v>
      </c>
    </row>
    <row r="784" spans="1:12" x14ac:dyDescent="0.3">
      <c r="A784" t="s">
        <v>1673</v>
      </c>
      <c r="B784" t="s">
        <v>1674</v>
      </c>
      <c r="C784" t="s">
        <v>187</v>
      </c>
      <c r="D784">
        <v>1</v>
      </c>
      <c r="E784" s="1">
        <v>45826</v>
      </c>
      <c r="F784" t="s">
        <v>596</v>
      </c>
      <c r="G784">
        <v>1</v>
      </c>
      <c r="H784" t="s">
        <v>569</v>
      </c>
      <c r="I784" t="s">
        <v>570</v>
      </c>
      <c r="J784" t="str">
        <f t="shared" si="36"/>
        <v>June</v>
      </c>
      <c r="K784" t="str">
        <f t="shared" si="37"/>
        <v>Q2</v>
      </c>
      <c r="L784">
        <f t="shared" si="38"/>
        <v>2025</v>
      </c>
    </row>
    <row r="785" spans="1:12" x14ac:dyDescent="0.3">
      <c r="A785" t="s">
        <v>1675</v>
      </c>
      <c r="B785" t="s">
        <v>1674</v>
      </c>
      <c r="C785" t="s">
        <v>187</v>
      </c>
      <c r="D785">
        <v>2</v>
      </c>
      <c r="E785" s="1">
        <v>45836</v>
      </c>
      <c r="F785" t="s">
        <v>575</v>
      </c>
      <c r="G785">
        <v>1</v>
      </c>
      <c r="H785" t="s">
        <v>569</v>
      </c>
      <c r="I785" t="s">
        <v>570</v>
      </c>
      <c r="J785" t="str">
        <f t="shared" si="36"/>
        <v>June</v>
      </c>
      <c r="K785" t="str">
        <f t="shared" si="37"/>
        <v>Q2</v>
      </c>
      <c r="L785">
        <f t="shared" si="38"/>
        <v>2025</v>
      </c>
    </row>
    <row r="786" spans="1:12" x14ac:dyDescent="0.3">
      <c r="A786" t="s">
        <v>1676</v>
      </c>
      <c r="B786" t="s">
        <v>1674</v>
      </c>
      <c r="C786" t="s">
        <v>187</v>
      </c>
      <c r="D786">
        <v>3</v>
      </c>
      <c r="E786" s="1">
        <v>45842</v>
      </c>
      <c r="F786" t="s">
        <v>575</v>
      </c>
      <c r="G786">
        <v>2</v>
      </c>
      <c r="H786" t="s">
        <v>569</v>
      </c>
      <c r="I786" t="s">
        <v>570</v>
      </c>
      <c r="J786" t="str">
        <f t="shared" si="36"/>
        <v>July</v>
      </c>
      <c r="K786" t="str">
        <f t="shared" si="37"/>
        <v>Q3</v>
      </c>
      <c r="L786">
        <f t="shared" si="38"/>
        <v>2025</v>
      </c>
    </row>
    <row r="787" spans="1:12" x14ac:dyDescent="0.3">
      <c r="A787" t="s">
        <v>1677</v>
      </c>
      <c r="B787" t="s">
        <v>1678</v>
      </c>
      <c r="C787" t="s">
        <v>58</v>
      </c>
      <c r="D787">
        <v>1</v>
      </c>
      <c r="E787" s="1">
        <v>45809</v>
      </c>
      <c r="F787" t="s">
        <v>625</v>
      </c>
      <c r="G787">
        <v>1</v>
      </c>
      <c r="H787" t="s">
        <v>569</v>
      </c>
      <c r="I787" t="s">
        <v>570</v>
      </c>
      <c r="J787" t="str">
        <f t="shared" si="36"/>
        <v>June</v>
      </c>
      <c r="K787" t="str">
        <f t="shared" si="37"/>
        <v>Q2</v>
      </c>
      <c r="L787">
        <f t="shared" si="38"/>
        <v>2025</v>
      </c>
    </row>
    <row r="788" spans="1:12" x14ac:dyDescent="0.3">
      <c r="A788" t="s">
        <v>1679</v>
      </c>
      <c r="B788" t="s">
        <v>1678</v>
      </c>
      <c r="C788" t="s">
        <v>58</v>
      </c>
      <c r="D788">
        <v>2</v>
      </c>
      <c r="E788" s="1">
        <v>45820</v>
      </c>
      <c r="G788">
        <v>1</v>
      </c>
      <c r="H788" t="s">
        <v>569</v>
      </c>
      <c r="I788" t="s">
        <v>570</v>
      </c>
      <c r="J788" t="str">
        <f t="shared" si="36"/>
        <v>June</v>
      </c>
      <c r="K788" t="str">
        <f t="shared" si="37"/>
        <v>Q2</v>
      </c>
      <c r="L788">
        <f t="shared" si="38"/>
        <v>2025</v>
      </c>
    </row>
    <row r="789" spans="1:12" x14ac:dyDescent="0.3">
      <c r="A789" t="s">
        <v>1680</v>
      </c>
      <c r="B789" t="s">
        <v>1681</v>
      </c>
      <c r="C789" t="s">
        <v>51</v>
      </c>
      <c r="D789">
        <v>1</v>
      </c>
      <c r="E789" s="1">
        <v>45960</v>
      </c>
      <c r="F789" t="s">
        <v>568</v>
      </c>
      <c r="G789">
        <v>1</v>
      </c>
      <c r="H789" t="s">
        <v>569</v>
      </c>
      <c r="I789" t="s">
        <v>570</v>
      </c>
      <c r="J789" t="str">
        <f t="shared" si="36"/>
        <v>October</v>
      </c>
      <c r="K789" t="str">
        <f t="shared" si="37"/>
        <v>Q4</v>
      </c>
      <c r="L789">
        <f t="shared" si="38"/>
        <v>2025</v>
      </c>
    </row>
    <row r="790" spans="1:12" x14ac:dyDescent="0.3">
      <c r="A790" t="s">
        <v>1682</v>
      </c>
      <c r="B790" t="s">
        <v>1683</v>
      </c>
      <c r="C790" t="s">
        <v>41</v>
      </c>
      <c r="D790">
        <v>1</v>
      </c>
      <c r="E790" s="1">
        <v>45818</v>
      </c>
      <c r="F790" t="s">
        <v>605</v>
      </c>
      <c r="G790">
        <v>2</v>
      </c>
      <c r="H790" t="s">
        <v>569</v>
      </c>
      <c r="I790" t="s">
        <v>570</v>
      </c>
      <c r="J790" t="str">
        <f t="shared" si="36"/>
        <v>June</v>
      </c>
      <c r="K790" t="str">
        <f t="shared" si="37"/>
        <v>Q2</v>
      </c>
      <c r="L790">
        <f t="shared" si="38"/>
        <v>2025</v>
      </c>
    </row>
    <row r="791" spans="1:12" x14ac:dyDescent="0.3">
      <c r="A791" t="s">
        <v>1684</v>
      </c>
      <c r="B791" t="s">
        <v>1683</v>
      </c>
      <c r="C791" t="s">
        <v>41</v>
      </c>
      <c r="D791">
        <v>2</v>
      </c>
      <c r="E791" s="1">
        <v>45829</v>
      </c>
      <c r="F791" t="s">
        <v>612</v>
      </c>
      <c r="G791">
        <v>3</v>
      </c>
      <c r="H791" t="s">
        <v>578</v>
      </c>
      <c r="I791" t="s">
        <v>570</v>
      </c>
      <c r="J791" t="str">
        <f t="shared" si="36"/>
        <v>June</v>
      </c>
      <c r="K791" t="str">
        <f t="shared" si="37"/>
        <v>Q2</v>
      </c>
      <c r="L791">
        <f t="shared" si="38"/>
        <v>2025</v>
      </c>
    </row>
    <row r="792" spans="1:12" x14ac:dyDescent="0.3">
      <c r="A792" t="s">
        <v>1685</v>
      </c>
      <c r="B792" t="s">
        <v>1686</v>
      </c>
      <c r="C792" t="s">
        <v>240</v>
      </c>
      <c r="D792">
        <v>1</v>
      </c>
      <c r="E792" s="1">
        <v>45958</v>
      </c>
      <c r="F792" t="s">
        <v>586</v>
      </c>
      <c r="G792">
        <v>1</v>
      </c>
      <c r="H792" t="s">
        <v>569</v>
      </c>
      <c r="I792" t="s">
        <v>570</v>
      </c>
      <c r="J792" t="str">
        <f t="shared" si="36"/>
        <v>October</v>
      </c>
      <c r="K792" t="str">
        <f t="shared" si="37"/>
        <v>Q4</v>
      </c>
      <c r="L792">
        <f t="shared" si="38"/>
        <v>2025</v>
      </c>
    </row>
    <row r="793" spans="1:12" x14ac:dyDescent="0.3">
      <c r="A793" t="s">
        <v>1687</v>
      </c>
      <c r="B793" t="s">
        <v>1686</v>
      </c>
      <c r="C793" t="s">
        <v>240</v>
      </c>
      <c r="D793">
        <v>2</v>
      </c>
      <c r="E793" s="1">
        <v>45963</v>
      </c>
      <c r="F793" t="s">
        <v>663</v>
      </c>
      <c r="G793">
        <v>3</v>
      </c>
      <c r="H793" t="s">
        <v>578</v>
      </c>
      <c r="I793" t="s">
        <v>570</v>
      </c>
      <c r="J793" t="str">
        <f t="shared" si="36"/>
        <v>November</v>
      </c>
      <c r="K793" t="str">
        <f t="shared" si="37"/>
        <v>Q4</v>
      </c>
      <c r="L793">
        <f t="shared" si="38"/>
        <v>2025</v>
      </c>
    </row>
    <row r="794" spans="1:12" x14ac:dyDescent="0.3">
      <c r="A794" t="s">
        <v>1688</v>
      </c>
      <c r="B794" t="s">
        <v>1686</v>
      </c>
      <c r="C794" t="s">
        <v>240</v>
      </c>
      <c r="D794">
        <v>3</v>
      </c>
      <c r="E794" s="1">
        <v>45974</v>
      </c>
      <c r="F794" t="s">
        <v>596</v>
      </c>
      <c r="G794">
        <v>1</v>
      </c>
      <c r="H794" t="s">
        <v>569</v>
      </c>
      <c r="I794" t="s">
        <v>570</v>
      </c>
      <c r="J794" t="str">
        <f t="shared" si="36"/>
        <v>November</v>
      </c>
      <c r="K794" t="str">
        <f t="shared" si="37"/>
        <v>Q4</v>
      </c>
      <c r="L794">
        <f t="shared" si="38"/>
        <v>2025</v>
      </c>
    </row>
    <row r="795" spans="1:12" x14ac:dyDescent="0.3">
      <c r="A795" t="s">
        <v>1689</v>
      </c>
      <c r="B795" t="s">
        <v>57</v>
      </c>
      <c r="C795" t="s">
        <v>58</v>
      </c>
      <c r="D795">
        <v>1</v>
      </c>
      <c r="E795" s="1">
        <v>45813</v>
      </c>
      <c r="F795" t="s">
        <v>612</v>
      </c>
      <c r="G795">
        <v>3</v>
      </c>
      <c r="H795" t="s">
        <v>578</v>
      </c>
      <c r="I795" t="s">
        <v>570</v>
      </c>
      <c r="J795" t="str">
        <f t="shared" si="36"/>
        <v>June</v>
      </c>
      <c r="K795" t="str">
        <f t="shared" si="37"/>
        <v>Q2</v>
      </c>
      <c r="L795">
        <f t="shared" si="38"/>
        <v>2025</v>
      </c>
    </row>
    <row r="796" spans="1:12" x14ac:dyDescent="0.3">
      <c r="A796" t="s">
        <v>1690</v>
      </c>
      <c r="B796" t="s">
        <v>57</v>
      </c>
      <c r="C796" t="s">
        <v>58</v>
      </c>
      <c r="D796">
        <v>2</v>
      </c>
      <c r="E796" s="1">
        <v>45819</v>
      </c>
      <c r="F796" t="s">
        <v>603</v>
      </c>
      <c r="G796">
        <v>5</v>
      </c>
      <c r="H796" t="s">
        <v>581</v>
      </c>
      <c r="I796" t="s">
        <v>570</v>
      </c>
      <c r="J796" t="str">
        <f t="shared" si="36"/>
        <v>June</v>
      </c>
      <c r="K796" t="str">
        <f t="shared" si="37"/>
        <v>Q2</v>
      </c>
      <c r="L796">
        <f t="shared" si="38"/>
        <v>2025</v>
      </c>
    </row>
    <row r="797" spans="1:12" x14ac:dyDescent="0.3">
      <c r="A797" t="s">
        <v>1691</v>
      </c>
      <c r="B797" t="s">
        <v>1692</v>
      </c>
      <c r="C797" t="s">
        <v>201</v>
      </c>
      <c r="D797">
        <v>1</v>
      </c>
      <c r="E797" s="1">
        <v>45965</v>
      </c>
      <c r="F797" t="s">
        <v>603</v>
      </c>
      <c r="G797">
        <v>1</v>
      </c>
      <c r="H797" t="s">
        <v>569</v>
      </c>
      <c r="I797" t="s">
        <v>570</v>
      </c>
      <c r="J797" t="str">
        <f t="shared" si="36"/>
        <v>November</v>
      </c>
      <c r="K797" t="str">
        <f t="shared" si="37"/>
        <v>Q4</v>
      </c>
      <c r="L797">
        <f t="shared" si="38"/>
        <v>2025</v>
      </c>
    </row>
    <row r="798" spans="1:12" x14ac:dyDescent="0.3">
      <c r="A798" t="s">
        <v>1693</v>
      </c>
      <c r="B798" t="s">
        <v>1694</v>
      </c>
      <c r="C798" t="s">
        <v>37</v>
      </c>
      <c r="D798">
        <v>1</v>
      </c>
      <c r="E798" s="1">
        <v>45709</v>
      </c>
      <c r="F798" t="s">
        <v>572</v>
      </c>
      <c r="G798">
        <v>4</v>
      </c>
      <c r="H798" t="s">
        <v>581</v>
      </c>
      <c r="I798" t="s">
        <v>570</v>
      </c>
      <c r="J798" t="str">
        <f t="shared" si="36"/>
        <v>February</v>
      </c>
      <c r="K798" t="str">
        <f t="shared" si="37"/>
        <v>Q1</v>
      </c>
      <c r="L798">
        <f t="shared" si="38"/>
        <v>2025</v>
      </c>
    </row>
    <row r="799" spans="1:12" x14ac:dyDescent="0.3">
      <c r="A799" t="s">
        <v>1695</v>
      </c>
      <c r="B799" t="s">
        <v>1696</v>
      </c>
      <c r="C799" t="s">
        <v>45</v>
      </c>
      <c r="D799">
        <v>1</v>
      </c>
      <c r="E799" s="1">
        <v>45858</v>
      </c>
      <c r="F799" t="s">
        <v>638</v>
      </c>
      <c r="G799">
        <v>2</v>
      </c>
      <c r="H799" t="s">
        <v>569</v>
      </c>
      <c r="I799" t="s">
        <v>570</v>
      </c>
      <c r="J799" t="str">
        <f t="shared" si="36"/>
        <v>July</v>
      </c>
      <c r="K799" t="str">
        <f t="shared" si="37"/>
        <v>Q3</v>
      </c>
      <c r="L799">
        <f t="shared" si="38"/>
        <v>2025</v>
      </c>
    </row>
    <row r="800" spans="1:12" x14ac:dyDescent="0.3">
      <c r="A800" t="s">
        <v>1697</v>
      </c>
      <c r="B800" t="s">
        <v>1698</v>
      </c>
      <c r="C800" t="s">
        <v>191</v>
      </c>
      <c r="D800">
        <v>1</v>
      </c>
      <c r="E800" s="1">
        <v>45676</v>
      </c>
      <c r="F800" t="s">
        <v>577</v>
      </c>
      <c r="G800">
        <v>3</v>
      </c>
      <c r="H800" t="s">
        <v>578</v>
      </c>
      <c r="I800" t="s">
        <v>570</v>
      </c>
      <c r="J800" t="str">
        <f t="shared" si="36"/>
        <v>January</v>
      </c>
      <c r="K800" t="str">
        <f t="shared" si="37"/>
        <v>Q1</v>
      </c>
      <c r="L800">
        <f t="shared" si="38"/>
        <v>2025</v>
      </c>
    </row>
    <row r="801" spans="1:12" x14ac:dyDescent="0.3">
      <c r="A801" t="s">
        <v>1699</v>
      </c>
      <c r="B801" t="s">
        <v>1698</v>
      </c>
      <c r="C801" t="s">
        <v>191</v>
      </c>
      <c r="D801">
        <v>2</v>
      </c>
      <c r="E801" s="1">
        <v>45687</v>
      </c>
      <c r="F801" t="s">
        <v>600</v>
      </c>
      <c r="G801">
        <v>3</v>
      </c>
      <c r="H801" t="s">
        <v>578</v>
      </c>
      <c r="I801" t="s">
        <v>570</v>
      </c>
      <c r="J801" t="str">
        <f t="shared" si="36"/>
        <v>January</v>
      </c>
      <c r="K801" t="str">
        <f t="shared" si="37"/>
        <v>Q1</v>
      </c>
      <c r="L801">
        <f t="shared" si="38"/>
        <v>2025</v>
      </c>
    </row>
    <row r="802" spans="1:12" x14ac:dyDescent="0.3">
      <c r="A802" t="s">
        <v>1700</v>
      </c>
      <c r="B802" t="s">
        <v>1701</v>
      </c>
      <c r="C802" t="s">
        <v>65</v>
      </c>
      <c r="D802">
        <v>1</v>
      </c>
      <c r="E802" s="1">
        <v>45932</v>
      </c>
      <c r="F802" t="s">
        <v>586</v>
      </c>
      <c r="G802">
        <v>3</v>
      </c>
      <c r="H802" t="s">
        <v>578</v>
      </c>
      <c r="I802" t="s">
        <v>570</v>
      </c>
      <c r="J802" t="str">
        <f t="shared" si="36"/>
        <v>October</v>
      </c>
      <c r="K802" t="str">
        <f t="shared" si="37"/>
        <v>Q4</v>
      </c>
      <c r="L802">
        <f t="shared" si="38"/>
        <v>2025</v>
      </c>
    </row>
    <row r="803" spans="1:12" x14ac:dyDescent="0.3">
      <c r="A803" t="s">
        <v>1702</v>
      </c>
      <c r="B803" t="s">
        <v>1701</v>
      </c>
      <c r="C803" t="s">
        <v>65</v>
      </c>
      <c r="D803">
        <v>2</v>
      </c>
      <c r="E803" s="1">
        <v>45943</v>
      </c>
      <c r="F803" t="s">
        <v>572</v>
      </c>
      <c r="G803">
        <v>2</v>
      </c>
      <c r="H803" t="s">
        <v>569</v>
      </c>
      <c r="I803" t="s">
        <v>570</v>
      </c>
      <c r="J803" t="str">
        <f t="shared" si="36"/>
        <v>October</v>
      </c>
      <c r="K803" t="str">
        <f t="shared" si="37"/>
        <v>Q4</v>
      </c>
      <c r="L803">
        <f t="shared" si="38"/>
        <v>2025</v>
      </c>
    </row>
    <row r="804" spans="1:12" x14ac:dyDescent="0.3">
      <c r="A804" t="s">
        <v>1703</v>
      </c>
      <c r="B804" t="s">
        <v>1701</v>
      </c>
      <c r="C804" t="s">
        <v>65</v>
      </c>
      <c r="D804">
        <v>3</v>
      </c>
      <c r="E804" s="1">
        <v>45950</v>
      </c>
      <c r="F804" t="s">
        <v>568</v>
      </c>
      <c r="G804">
        <v>3</v>
      </c>
      <c r="H804" t="s">
        <v>578</v>
      </c>
      <c r="I804" t="s">
        <v>570</v>
      </c>
      <c r="J804" t="str">
        <f t="shared" si="36"/>
        <v>October</v>
      </c>
      <c r="K804" t="str">
        <f t="shared" si="37"/>
        <v>Q4</v>
      </c>
      <c r="L804">
        <f t="shared" si="38"/>
        <v>2025</v>
      </c>
    </row>
    <row r="805" spans="1:12" x14ac:dyDescent="0.3">
      <c r="A805" t="s">
        <v>1704</v>
      </c>
      <c r="B805" t="s">
        <v>146</v>
      </c>
      <c r="C805" t="s">
        <v>147</v>
      </c>
      <c r="D805">
        <v>1</v>
      </c>
      <c r="E805" s="1">
        <v>45831</v>
      </c>
      <c r="F805" t="s">
        <v>663</v>
      </c>
      <c r="G805">
        <v>4</v>
      </c>
      <c r="H805" t="s">
        <v>581</v>
      </c>
      <c r="I805" t="s">
        <v>570</v>
      </c>
      <c r="J805" t="str">
        <f t="shared" si="36"/>
        <v>June</v>
      </c>
      <c r="K805" t="str">
        <f t="shared" si="37"/>
        <v>Q2</v>
      </c>
      <c r="L805">
        <f t="shared" si="38"/>
        <v>2025</v>
      </c>
    </row>
    <row r="806" spans="1:12" x14ac:dyDescent="0.3">
      <c r="A806" t="s">
        <v>1705</v>
      </c>
      <c r="B806" t="s">
        <v>1706</v>
      </c>
      <c r="C806" t="s">
        <v>108</v>
      </c>
      <c r="D806">
        <v>1</v>
      </c>
      <c r="E806" s="1">
        <v>45762</v>
      </c>
      <c r="F806" t="s">
        <v>572</v>
      </c>
      <c r="G806">
        <v>3</v>
      </c>
      <c r="H806" t="s">
        <v>578</v>
      </c>
      <c r="I806" t="s">
        <v>597</v>
      </c>
      <c r="J806" t="str">
        <f t="shared" si="36"/>
        <v>April</v>
      </c>
      <c r="K806" t="str">
        <f t="shared" si="37"/>
        <v>Q2</v>
      </c>
      <c r="L806">
        <f t="shared" si="38"/>
        <v>2025</v>
      </c>
    </row>
    <row r="807" spans="1:12" x14ac:dyDescent="0.3">
      <c r="A807" t="s">
        <v>1707</v>
      </c>
      <c r="B807" t="s">
        <v>1706</v>
      </c>
      <c r="C807" t="s">
        <v>108</v>
      </c>
      <c r="D807">
        <v>2</v>
      </c>
      <c r="E807" s="1">
        <v>45770</v>
      </c>
      <c r="F807" t="s">
        <v>572</v>
      </c>
      <c r="G807">
        <v>1</v>
      </c>
      <c r="H807" t="s">
        <v>569</v>
      </c>
      <c r="I807" t="s">
        <v>570</v>
      </c>
      <c r="J807" t="str">
        <f t="shared" si="36"/>
        <v>April</v>
      </c>
      <c r="K807" t="str">
        <f t="shared" si="37"/>
        <v>Q2</v>
      </c>
      <c r="L807">
        <f t="shared" si="38"/>
        <v>2025</v>
      </c>
    </row>
    <row r="808" spans="1:12" x14ac:dyDescent="0.3">
      <c r="A808" t="s">
        <v>1708</v>
      </c>
      <c r="B808" t="s">
        <v>1706</v>
      </c>
      <c r="C808" t="s">
        <v>108</v>
      </c>
      <c r="D808">
        <v>3</v>
      </c>
      <c r="E808" s="1">
        <v>45780</v>
      </c>
      <c r="F808" t="s">
        <v>575</v>
      </c>
      <c r="G808">
        <v>1</v>
      </c>
      <c r="H808" t="s">
        <v>569</v>
      </c>
      <c r="I808" t="s">
        <v>570</v>
      </c>
      <c r="J808" t="str">
        <f t="shared" si="36"/>
        <v>May</v>
      </c>
      <c r="K808" t="str">
        <f t="shared" si="37"/>
        <v>Q2</v>
      </c>
      <c r="L808">
        <f t="shared" si="38"/>
        <v>2025</v>
      </c>
    </row>
    <row r="809" spans="1:12" x14ac:dyDescent="0.3">
      <c r="A809" t="s">
        <v>1709</v>
      </c>
      <c r="B809" t="s">
        <v>248</v>
      </c>
      <c r="C809" t="s">
        <v>208</v>
      </c>
      <c r="D809">
        <v>1</v>
      </c>
      <c r="E809" s="1">
        <v>45804</v>
      </c>
      <c r="F809" t="s">
        <v>590</v>
      </c>
      <c r="G809">
        <v>4</v>
      </c>
      <c r="H809" t="s">
        <v>581</v>
      </c>
      <c r="I809" t="s">
        <v>570</v>
      </c>
      <c r="J809" t="str">
        <f t="shared" si="36"/>
        <v>May</v>
      </c>
      <c r="K809" t="str">
        <f t="shared" si="37"/>
        <v>Q2</v>
      </c>
      <c r="L809">
        <f t="shared" si="38"/>
        <v>2025</v>
      </c>
    </row>
    <row r="810" spans="1:12" x14ac:dyDescent="0.3">
      <c r="A810" t="s">
        <v>1710</v>
      </c>
      <c r="B810" t="s">
        <v>1711</v>
      </c>
      <c r="C810" t="s">
        <v>156</v>
      </c>
      <c r="D810">
        <v>1</v>
      </c>
      <c r="E810" s="1">
        <v>45730</v>
      </c>
      <c r="F810" t="s">
        <v>592</v>
      </c>
      <c r="G810">
        <v>1</v>
      </c>
      <c r="H810" t="s">
        <v>569</v>
      </c>
      <c r="I810" t="s">
        <v>570</v>
      </c>
      <c r="J810" t="str">
        <f t="shared" si="36"/>
        <v>March</v>
      </c>
      <c r="K810" t="str">
        <f t="shared" si="37"/>
        <v>Q1</v>
      </c>
      <c r="L810">
        <f t="shared" si="38"/>
        <v>2025</v>
      </c>
    </row>
    <row r="811" spans="1:12" x14ac:dyDescent="0.3">
      <c r="A811" t="s">
        <v>1712</v>
      </c>
      <c r="B811" t="s">
        <v>1711</v>
      </c>
      <c r="C811" t="s">
        <v>156</v>
      </c>
      <c r="D811">
        <v>2</v>
      </c>
      <c r="E811" s="1">
        <v>45735</v>
      </c>
      <c r="F811" t="s">
        <v>741</v>
      </c>
      <c r="G811">
        <v>1</v>
      </c>
      <c r="H811" t="s">
        <v>569</v>
      </c>
      <c r="I811" t="s">
        <v>570</v>
      </c>
      <c r="J811" t="str">
        <f t="shared" si="36"/>
        <v>March</v>
      </c>
      <c r="K811" t="str">
        <f t="shared" si="37"/>
        <v>Q1</v>
      </c>
      <c r="L811">
        <f t="shared" si="38"/>
        <v>2025</v>
      </c>
    </row>
    <row r="812" spans="1:12" x14ac:dyDescent="0.3">
      <c r="A812" t="s">
        <v>1713</v>
      </c>
      <c r="B812" t="s">
        <v>1711</v>
      </c>
      <c r="C812" t="s">
        <v>156</v>
      </c>
      <c r="D812">
        <v>3</v>
      </c>
      <c r="E812" s="1">
        <v>45747</v>
      </c>
      <c r="F812" t="s">
        <v>580</v>
      </c>
      <c r="G812">
        <v>3</v>
      </c>
      <c r="H812" t="s">
        <v>578</v>
      </c>
      <c r="I812" t="s">
        <v>570</v>
      </c>
      <c r="J812" t="str">
        <f t="shared" si="36"/>
        <v>March</v>
      </c>
      <c r="K812" t="str">
        <f t="shared" si="37"/>
        <v>Q1</v>
      </c>
      <c r="L812">
        <f t="shared" si="38"/>
        <v>2025</v>
      </c>
    </row>
    <row r="813" spans="1:12" x14ac:dyDescent="0.3">
      <c r="A813" t="s">
        <v>1714</v>
      </c>
      <c r="B813" t="s">
        <v>1711</v>
      </c>
      <c r="C813" t="s">
        <v>156</v>
      </c>
      <c r="D813">
        <v>4</v>
      </c>
      <c r="E813" s="1">
        <v>45752</v>
      </c>
      <c r="F813" t="s">
        <v>590</v>
      </c>
      <c r="G813">
        <v>1</v>
      </c>
      <c r="H813" t="s">
        <v>569</v>
      </c>
      <c r="I813" t="s">
        <v>608</v>
      </c>
      <c r="J813" t="str">
        <f t="shared" si="36"/>
        <v>April</v>
      </c>
      <c r="K813" t="str">
        <f t="shared" si="37"/>
        <v>Q2</v>
      </c>
      <c r="L813">
        <f t="shared" si="38"/>
        <v>2025</v>
      </c>
    </row>
    <row r="814" spans="1:12" x14ac:dyDescent="0.3">
      <c r="A814" t="s">
        <v>1715</v>
      </c>
      <c r="B814" t="s">
        <v>1716</v>
      </c>
      <c r="C814" t="s">
        <v>195</v>
      </c>
      <c r="D814">
        <v>1</v>
      </c>
      <c r="E814" s="1">
        <v>45855</v>
      </c>
      <c r="F814" t="s">
        <v>592</v>
      </c>
      <c r="G814">
        <v>2</v>
      </c>
      <c r="H814" t="s">
        <v>569</v>
      </c>
      <c r="I814" t="s">
        <v>570</v>
      </c>
      <c r="J814" t="str">
        <f t="shared" si="36"/>
        <v>July</v>
      </c>
      <c r="K814" t="str">
        <f t="shared" si="37"/>
        <v>Q3</v>
      </c>
      <c r="L814">
        <f t="shared" si="38"/>
        <v>2025</v>
      </c>
    </row>
    <row r="815" spans="1:12" x14ac:dyDescent="0.3">
      <c r="A815" t="s">
        <v>1717</v>
      </c>
      <c r="B815" t="s">
        <v>1716</v>
      </c>
      <c r="C815" t="s">
        <v>195</v>
      </c>
      <c r="D815">
        <v>2</v>
      </c>
      <c r="E815" s="1">
        <v>45863</v>
      </c>
      <c r="F815" t="s">
        <v>632</v>
      </c>
      <c r="G815">
        <v>2</v>
      </c>
      <c r="H815" t="s">
        <v>569</v>
      </c>
      <c r="I815" t="s">
        <v>570</v>
      </c>
      <c r="J815" t="str">
        <f t="shared" si="36"/>
        <v>July</v>
      </c>
      <c r="K815" t="str">
        <f t="shared" si="37"/>
        <v>Q3</v>
      </c>
      <c r="L815">
        <f t="shared" si="38"/>
        <v>2025</v>
      </c>
    </row>
    <row r="816" spans="1:12" x14ac:dyDescent="0.3">
      <c r="A816" t="s">
        <v>1718</v>
      </c>
      <c r="B816" t="s">
        <v>1716</v>
      </c>
      <c r="C816" t="s">
        <v>195</v>
      </c>
      <c r="D816">
        <v>3</v>
      </c>
      <c r="E816" s="1">
        <v>45872</v>
      </c>
      <c r="F816" t="s">
        <v>584</v>
      </c>
      <c r="G816">
        <v>3</v>
      </c>
      <c r="H816" t="s">
        <v>578</v>
      </c>
      <c r="I816" t="s">
        <v>570</v>
      </c>
      <c r="J816" t="str">
        <f t="shared" si="36"/>
        <v>August</v>
      </c>
      <c r="K816" t="str">
        <f t="shared" si="37"/>
        <v>Q3</v>
      </c>
      <c r="L816">
        <f t="shared" si="38"/>
        <v>2025</v>
      </c>
    </row>
    <row r="817" spans="1:12" x14ac:dyDescent="0.3">
      <c r="A817" t="s">
        <v>1719</v>
      </c>
      <c r="B817" t="s">
        <v>548</v>
      </c>
      <c r="C817" t="s">
        <v>51</v>
      </c>
      <c r="D817">
        <v>1</v>
      </c>
      <c r="E817" s="1">
        <v>45960</v>
      </c>
      <c r="F817" t="s">
        <v>580</v>
      </c>
      <c r="G817">
        <v>4</v>
      </c>
      <c r="H817" t="s">
        <v>581</v>
      </c>
      <c r="I817" t="s">
        <v>570</v>
      </c>
      <c r="J817" t="str">
        <f t="shared" si="36"/>
        <v>October</v>
      </c>
      <c r="K817" t="str">
        <f t="shared" si="37"/>
        <v>Q4</v>
      </c>
      <c r="L817">
        <f t="shared" si="38"/>
        <v>2025</v>
      </c>
    </row>
    <row r="818" spans="1:12" x14ac:dyDescent="0.3">
      <c r="A818" t="s">
        <v>1720</v>
      </c>
      <c r="B818" t="s">
        <v>548</v>
      </c>
      <c r="C818" t="s">
        <v>51</v>
      </c>
      <c r="D818">
        <v>2</v>
      </c>
      <c r="E818" s="1">
        <v>45964</v>
      </c>
      <c r="F818" t="s">
        <v>572</v>
      </c>
      <c r="G818">
        <v>4</v>
      </c>
      <c r="H818" t="s">
        <v>581</v>
      </c>
      <c r="I818" t="s">
        <v>570</v>
      </c>
      <c r="J818" t="str">
        <f t="shared" si="36"/>
        <v>November</v>
      </c>
      <c r="K818" t="str">
        <f t="shared" si="37"/>
        <v>Q4</v>
      </c>
      <c r="L818">
        <f t="shared" si="38"/>
        <v>2025</v>
      </c>
    </row>
    <row r="819" spans="1:12" x14ac:dyDescent="0.3">
      <c r="A819" t="s">
        <v>1721</v>
      </c>
      <c r="B819" t="s">
        <v>1722</v>
      </c>
      <c r="C819" t="s">
        <v>16</v>
      </c>
      <c r="D819">
        <v>1</v>
      </c>
      <c r="E819" s="1">
        <v>45760</v>
      </c>
      <c r="F819" t="s">
        <v>625</v>
      </c>
      <c r="G819">
        <v>2</v>
      </c>
      <c r="H819" t="s">
        <v>569</v>
      </c>
      <c r="I819" t="s">
        <v>570</v>
      </c>
      <c r="J819" t="str">
        <f t="shared" si="36"/>
        <v>April</v>
      </c>
      <c r="K819" t="str">
        <f t="shared" si="37"/>
        <v>Q2</v>
      </c>
      <c r="L819">
        <f t="shared" si="38"/>
        <v>2025</v>
      </c>
    </row>
    <row r="820" spans="1:12" x14ac:dyDescent="0.3">
      <c r="A820" t="s">
        <v>1723</v>
      </c>
      <c r="B820" t="s">
        <v>1724</v>
      </c>
      <c r="C820" t="s">
        <v>32</v>
      </c>
      <c r="D820">
        <v>1</v>
      </c>
      <c r="E820" s="1">
        <v>45763</v>
      </c>
      <c r="F820" t="s">
        <v>638</v>
      </c>
      <c r="G820">
        <v>2</v>
      </c>
      <c r="H820" t="s">
        <v>569</v>
      </c>
      <c r="I820" t="s">
        <v>570</v>
      </c>
      <c r="J820" t="str">
        <f t="shared" si="36"/>
        <v>April</v>
      </c>
      <c r="K820" t="str">
        <f t="shared" si="37"/>
        <v>Q2</v>
      </c>
      <c r="L820">
        <f t="shared" si="38"/>
        <v>2025</v>
      </c>
    </row>
    <row r="821" spans="1:12" x14ac:dyDescent="0.3">
      <c r="A821" t="s">
        <v>1725</v>
      </c>
      <c r="B821" t="s">
        <v>1724</v>
      </c>
      <c r="C821" t="s">
        <v>32</v>
      </c>
      <c r="D821">
        <v>2</v>
      </c>
      <c r="E821" s="1">
        <v>45774</v>
      </c>
      <c r="F821" t="s">
        <v>577</v>
      </c>
      <c r="G821">
        <v>3</v>
      </c>
      <c r="H821" t="s">
        <v>578</v>
      </c>
      <c r="I821" t="s">
        <v>570</v>
      </c>
      <c r="J821" t="str">
        <f t="shared" si="36"/>
        <v>April</v>
      </c>
      <c r="K821" t="str">
        <f t="shared" si="37"/>
        <v>Q2</v>
      </c>
      <c r="L821">
        <f t="shared" si="38"/>
        <v>2025</v>
      </c>
    </row>
    <row r="822" spans="1:12" x14ac:dyDescent="0.3">
      <c r="A822" t="s">
        <v>1726</v>
      </c>
      <c r="B822" t="s">
        <v>1724</v>
      </c>
      <c r="C822" t="s">
        <v>32</v>
      </c>
      <c r="D822">
        <v>3</v>
      </c>
      <c r="E822" s="1">
        <v>45781</v>
      </c>
      <c r="F822" t="s">
        <v>596</v>
      </c>
      <c r="G822">
        <v>2</v>
      </c>
      <c r="H822" t="s">
        <v>569</v>
      </c>
      <c r="I822" t="s">
        <v>570</v>
      </c>
      <c r="J822" t="str">
        <f t="shared" si="36"/>
        <v>May</v>
      </c>
      <c r="K822" t="str">
        <f t="shared" si="37"/>
        <v>Q2</v>
      </c>
      <c r="L822">
        <f t="shared" si="38"/>
        <v>2025</v>
      </c>
    </row>
    <row r="823" spans="1:12" x14ac:dyDescent="0.3">
      <c r="A823" t="s">
        <v>1727</v>
      </c>
      <c r="B823" t="s">
        <v>1724</v>
      </c>
      <c r="C823" t="s">
        <v>32</v>
      </c>
      <c r="D823">
        <v>4</v>
      </c>
      <c r="E823" s="1">
        <v>45787</v>
      </c>
      <c r="F823" t="s">
        <v>596</v>
      </c>
      <c r="G823">
        <v>3</v>
      </c>
      <c r="H823" t="s">
        <v>578</v>
      </c>
      <c r="I823" t="s">
        <v>570</v>
      </c>
      <c r="J823" t="str">
        <f t="shared" si="36"/>
        <v>May</v>
      </c>
      <c r="K823" t="str">
        <f t="shared" si="37"/>
        <v>Q2</v>
      </c>
      <c r="L823">
        <f t="shared" si="38"/>
        <v>2025</v>
      </c>
    </row>
    <row r="824" spans="1:12" x14ac:dyDescent="0.3">
      <c r="A824" t="s">
        <v>1728</v>
      </c>
      <c r="B824" t="s">
        <v>1729</v>
      </c>
      <c r="C824" t="s">
        <v>85</v>
      </c>
      <c r="D824">
        <v>1</v>
      </c>
      <c r="E824" s="1">
        <v>45855</v>
      </c>
      <c r="G824">
        <v>2</v>
      </c>
      <c r="H824" t="s">
        <v>569</v>
      </c>
      <c r="I824" t="s">
        <v>570</v>
      </c>
      <c r="J824" t="str">
        <f t="shared" si="36"/>
        <v>July</v>
      </c>
      <c r="K824" t="str">
        <f t="shared" si="37"/>
        <v>Q3</v>
      </c>
      <c r="L824">
        <f t="shared" si="38"/>
        <v>2025</v>
      </c>
    </row>
    <row r="825" spans="1:12" x14ac:dyDescent="0.3">
      <c r="A825" t="s">
        <v>1730</v>
      </c>
      <c r="B825" t="s">
        <v>1731</v>
      </c>
      <c r="C825" t="s">
        <v>108</v>
      </c>
      <c r="D825">
        <v>1</v>
      </c>
      <c r="E825" s="1">
        <v>45749</v>
      </c>
      <c r="F825" t="s">
        <v>621</v>
      </c>
      <c r="G825">
        <v>1</v>
      </c>
      <c r="H825" t="s">
        <v>569</v>
      </c>
      <c r="I825" t="s">
        <v>570</v>
      </c>
      <c r="J825" t="str">
        <f t="shared" si="36"/>
        <v>April</v>
      </c>
      <c r="K825" t="str">
        <f t="shared" si="37"/>
        <v>Q2</v>
      </c>
      <c r="L825">
        <f t="shared" si="38"/>
        <v>2025</v>
      </c>
    </row>
    <row r="826" spans="1:12" x14ac:dyDescent="0.3">
      <c r="A826" t="s">
        <v>1732</v>
      </c>
      <c r="B826" t="s">
        <v>1733</v>
      </c>
      <c r="C826" t="s">
        <v>183</v>
      </c>
      <c r="D826">
        <v>1</v>
      </c>
      <c r="E826" s="1">
        <v>45851</v>
      </c>
      <c r="F826" t="s">
        <v>584</v>
      </c>
      <c r="G826">
        <v>3</v>
      </c>
      <c r="H826" t="s">
        <v>578</v>
      </c>
      <c r="I826" t="s">
        <v>570</v>
      </c>
      <c r="J826" t="str">
        <f t="shared" si="36"/>
        <v>July</v>
      </c>
      <c r="K826" t="str">
        <f t="shared" si="37"/>
        <v>Q3</v>
      </c>
      <c r="L826">
        <f t="shared" si="38"/>
        <v>2025</v>
      </c>
    </row>
    <row r="827" spans="1:12" x14ac:dyDescent="0.3">
      <c r="A827" t="s">
        <v>1734</v>
      </c>
      <c r="B827" t="s">
        <v>1735</v>
      </c>
      <c r="C827" t="s">
        <v>127</v>
      </c>
      <c r="D827">
        <v>1</v>
      </c>
      <c r="E827" s="1">
        <v>45966</v>
      </c>
      <c r="F827" t="s">
        <v>625</v>
      </c>
      <c r="G827">
        <v>2</v>
      </c>
      <c r="H827" t="s">
        <v>569</v>
      </c>
      <c r="I827" t="s">
        <v>570</v>
      </c>
      <c r="J827" t="str">
        <f t="shared" si="36"/>
        <v>November</v>
      </c>
      <c r="K827" t="str">
        <f t="shared" si="37"/>
        <v>Q4</v>
      </c>
      <c r="L827">
        <f t="shared" si="38"/>
        <v>2025</v>
      </c>
    </row>
    <row r="828" spans="1:12" x14ac:dyDescent="0.3">
      <c r="A828" t="s">
        <v>1736</v>
      </c>
      <c r="B828" t="s">
        <v>453</v>
      </c>
      <c r="C828" t="s">
        <v>51</v>
      </c>
      <c r="D828">
        <v>1</v>
      </c>
      <c r="E828" s="1">
        <v>45954</v>
      </c>
      <c r="G828">
        <v>3</v>
      </c>
      <c r="H828" t="s">
        <v>578</v>
      </c>
      <c r="I828" t="s">
        <v>570</v>
      </c>
      <c r="J828" t="str">
        <f t="shared" si="36"/>
        <v>October</v>
      </c>
      <c r="K828" t="str">
        <f t="shared" si="37"/>
        <v>Q4</v>
      </c>
      <c r="L828">
        <f t="shared" si="38"/>
        <v>2025</v>
      </c>
    </row>
    <row r="829" spans="1:12" x14ac:dyDescent="0.3">
      <c r="A829" t="s">
        <v>1737</v>
      </c>
      <c r="B829" t="s">
        <v>453</v>
      </c>
      <c r="C829" t="s">
        <v>51</v>
      </c>
      <c r="D829">
        <v>2</v>
      </c>
      <c r="E829" s="1">
        <v>45962</v>
      </c>
      <c r="F829" t="s">
        <v>580</v>
      </c>
      <c r="G829">
        <v>4</v>
      </c>
      <c r="H829" t="s">
        <v>581</v>
      </c>
      <c r="I829" t="s">
        <v>570</v>
      </c>
      <c r="J829" t="str">
        <f t="shared" si="36"/>
        <v>November</v>
      </c>
      <c r="K829" t="str">
        <f t="shared" si="37"/>
        <v>Q4</v>
      </c>
      <c r="L829">
        <f t="shared" si="38"/>
        <v>2025</v>
      </c>
    </row>
    <row r="830" spans="1:12" x14ac:dyDescent="0.3">
      <c r="A830" t="s">
        <v>1738</v>
      </c>
      <c r="B830" t="s">
        <v>1739</v>
      </c>
      <c r="C830" t="s">
        <v>65</v>
      </c>
      <c r="D830">
        <v>1</v>
      </c>
      <c r="E830" s="1">
        <v>45937</v>
      </c>
      <c r="F830" t="s">
        <v>572</v>
      </c>
      <c r="G830">
        <v>2</v>
      </c>
      <c r="H830" t="s">
        <v>569</v>
      </c>
      <c r="I830" t="s">
        <v>570</v>
      </c>
      <c r="J830" t="str">
        <f t="shared" si="36"/>
        <v>October</v>
      </c>
      <c r="K830" t="str">
        <f t="shared" si="37"/>
        <v>Q4</v>
      </c>
      <c r="L830">
        <f t="shared" si="38"/>
        <v>2025</v>
      </c>
    </row>
    <row r="831" spans="1:12" x14ac:dyDescent="0.3">
      <c r="A831" t="s">
        <v>1740</v>
      </c>
      <c r="B831" t="s">
        <v>1739</v>
      </c>
      <c r="C831" t="s">
        <v>65</v>
      </c>
      <c r="D831">
        <v>2</v>
      </c>
      <c r="E831" s="1">
        <v>45941</v>
      </c>
      <c r="F831" t="s">
        <v>586</v>
      </c>
      <c r="G831">
        <v>2</v>
      </c>
      <c r="H831" t="s">
        <v>569</v>
      </c>
      <c r="I831" t="s">
        <v>570</v>
      </c>
      <c r="J831" t="str">
        <f t="shared" si="36"/>
        <v>October</v>
      </c>
      <c r="K831" t="str">
        <f t="shared" si="37"/>
        <v>Q4</v>
      </c>
      <c r="L831">
        <f t="shared" si="38"/>
        <v>2025</v>
      </c>
    </row>
    <row r="832" spans="1:12" x14ac:dyDescent="0.3">
      <c r="A832" t="s">
        <v>1741</v>
      </c>
      <c r="B832" t="s">
        <v>1739</v>
      </c>
      <c r="C832" t="s">
        <v>65</v>
      </c>
      <c r="D832">
        <v>3</v>
      </c>
      <c r="E832" s="1">
        <v>45947</v>
      </c>
      <c r="G832">
        <v>1</v>
      </c>
      <c r="H832" t="s">
        <v>569</v>
      </c>
      <c r="I832" t="s">
        <v>570</v>
      </c>
      <c r="J832" t="str">
        <f t="shared" si="36"/>
        <v>October</v>
      </c>
      <c r="K832" t="str">
        <f t="shared" si="37"/>
        <v>Q4</v>
      </c>
      <c r="L832">
        <f t="shared" si="38"/>
        <v>2025</v>
      </c>
    </row>
    <row r="833" spans="1:12" x14ac:dyDescent="0.3">
      <c r="A833" t="s">
        <v>1742</v>
      </c>
      <c r="B833" t="s">
        <v>1743</v>
      </c>
      <c r="C833" t="s">
        <v>78</v>
      </c>
      <c r="D833">
        <v>1</v>
      </c>
      <c r="E833" s="1">
        <v>45916</v>
      </c>
      <c r="F833" t="s">
        <v>580</v>
      </c>
      <c r="G833">
        <v>1</v>
      </c>
      <c r="H833" t="s">
        <v>569</v>
      </c>
      <c r="I833" t="s">
        <v>570</v>
      </c>
      <c r="J833" t="str">
        <f t="shared" si="36"/>
        <v>September</v>
      </c>
      <c r="K833" t="str">
        <f t="shared" si="37"/>
        <v>Q3</v>
      </c>
      <c r="L833">
        <f t="shared" si="38"/>
        <v>2025</v>
      </c>
    </row>
    <row r="834" spans="1:12" x14ac:dyDescent="0.3">
      <c r="A834" t="s">
        <v>1744</v>
      </c>
      <c r="B834" t="s">
        <v>487</v>
      </c>
      <c r="C834" t="s">
        <v>73</v>
      </c>
      <c r="D834">
        <v>1</v>
      </c>
      <c r="E834" s="1">
        <v>45810</v>
      </c>
      <c r="F834" t="s">
        <v>600</v>
      </c>
      <c r="G834">
        <v>3</v>
      </c>
      <c r="H834" t="s">
        <v>578</v>
      </c>
      <c r="I834" t="s">
        <v>570</v>
      </c>
      <c r="J834" t="str">
        <f t="shared" ref="J834:J897" si="39">TEXT(E834,"mmmm")</f>
        <v>June</v>
      </c>
      <c r="K834" t="str">
        <f t="shared" ref="K834:K897" si="40">"Q"&amp;ROUNDUP(MONTH(E834)/3,0)</f>
        <v>Q2</v>
      </c>
      <c r="L834">
        <f t="shared" ref="L834:L897" si="41">YEAR(E834)</f>
        <v>2025</v>
      </c>
    </row>
    <row r="835" spans="1:12" x14ac:dyDescent="0.3">
      <c r="A835" t="s">
        <v>1745</v>
      </c>
      <c r="B835" t="s">
        <v>487</v>
      </c>
      <c r="C835" t="s">
        <v>73</v>
      </c>
      <c r="D835">
        <v>2</v>
      </c>
      <c r="E835" s="1">
        <v>45819</v>
      </c>
      <c r="F835" t="s">
        <v>743</v>
      </c>
      <c r="G835">
        <v>4</v>
      </c>
      <c r="H835" t="s">
        <v>581</v>
      </c>
      <c r="I835" t="s">
        <v>570</v>
      </c>
      <c r="J835" t="str">
        <f t="shared" si="39"/>
        <v>June</v>
      </c>
      <c r="K835" t="str">
        <f t="shared" si="40"/>
        <v>Q2</v>
      </c>
      <c r="L835">
        <f t="shared" si="41"/>
        <v>2025</v>
      </c>
    </row>
    <row r="836" spans="1:12" x14ac:dyDescent="0.3">
      <c r="A836" t="s">
        <v>1746</v>
      </c>
      <c r="B836" t="s">
        <v>428</v>
      </c>
      <c r="C836" t="s">
        <v>429</v>
      </c>
      <c r="D836">
        <v>1</v>
      </c>
      <c r="E836" s="1">
        <v>45763</v>
      </c>
      <c r="F836" t="s">
        <v>592</v>
      </c>
      <c r="G836">
        <v>4</v>
      </c>
      <c r="H836" t="s">
        <v>581</v>
      </c>
      <c r="I836" t="s">
        <v>570</v>
      </c>
      <c r="J836" t="str">
        <f t="shared" si="39"/>
        <v>April</v>
      </c>
      <c r="K836" t="str">
        <f t="shared" si="40"/>
        <v>Q2</v>
      </c>
      <c r="L836">
        <f t="shared" si="41"/>
        <v>2025</v>
      </c>
    </row>
    <row r="837" spans="1:12" x14ac:dyDescent="0.3">
      <c r="A837" t="s">
        <v>1747</v>
      </c>
      <c r="B837" t="s">
        <v>428</v>
      </c>
      <c r="C837" t="s">
        <v>429</v>
      </c>
      <c r="D837">
        <v>2</v>
      </c>
      <c r="E837" s="1">
        <v>45773</v>
      </c>
      <c r="F837" t="s">
        <v>592</v>
      </c>
      <c r="G837">
        <v>4</v>
      </c>
      <c r="H837" t="s">
        <v>581</v>
      </c>
      <c r="I837" t="s">
        <v>570</v>
      </c>
      <c r="J837" t="str">
        <f t="shared" si="39"/>
        <v>April</v>
      </c>
      <c r="K837" t="str">
        <f t="shared" si="40"/>
        <v>Q2</v>
      </c>
      <c r="L837">
        <f t="shared" si="41"/>
        <v>2025</v>
      </c>
    </row>
    <row r="838" spans="1:12" x14ac:dyDescent="0.3">
      <c r="A838" t="s">
        <v>1748</v>
      </c>
      <c r="B838" t="s">
        <v>428</v>
      </c>
      <c r="C838" t="s">
        <v>429</v>
      </c>
      <c r="D838">
        <v>3</v>
      </c>
      <c r="E838" s="1">
        <v>45782</v>
      </c>
      <c r="F838" t="s">
        <v>766</v>
      </c>
      <c r="G838">
        <v>4</v>
      </c>
      <c r="H838" t="s">
        <v>581</v>
      </c>
      <c r="I838" t="s">
        <v>570</v>
      </c>
      <c r="J838" t="str">
        <f t="shared" si="39"/>
        <v>May</v>
      </c>
      <c r="K838" t="str">
        <f t="shared" si="40"/>
        <v>Q2</v>
      </c>
      <c r="L838">
        <f t="shared" si="41"/>
        <v>2025</v>
      </c>
    </row>
    <row r="839" spans="1:12" x14ac:dyDescent="0.3">
      <c r="A839" t="s">
        <v>1749</v>
      </c>
      <c r="B839" t="s">
        <v>1750</v>
      </c>
      <c r="C839" t="s">
        <v>37</v>
      </c>
      <c r="D839">
        <v>1</v>
      </c>
      <c r="E839" s="1">
        <v>45712</v>
      </c>
      <c r="F839" t="s">
        <v>586</v>
      </c>
      <c r="G839">
        <v>1</v>
      </c>
      <c r="H839" t="s">
        <v>569</v>
      </c>
      <c r="I839" t="s">
        <v>570</v>
      </c>
      <c r="J839" t="str">
        <f t="shared" si="39"/>
        <v>February</v>
      </c>
      <c r="K839" t="str">
        <f t="shared" si="40"/>
        <v>Q1</v>
      </c>
      <c r="L839">
        <f t="shared" si="41"/>
        <v>2025</v>
      </c>
    </row>
    <row r="840" spans="1:12" x14ac:dyDescent="0.3">
      <c r="A840" t="s">
        <v>1751</v>
      </c>
      <c r="B840" t="s">
        <v>1750</v>
      </c>
      <c r="C840" t="s">
        <v>37</v>
      </c>
      <c r="D840">
        <v>2</v>
      </c>
      <c r="E840" s="1">
        <v>45718</v>
      </c>
      <c r="F840" t="s">
        <v>580</v>
      </c>
      <c r="G840">
        <v>2</v>
      </c>
      <c r="H840" t="s">
        <v>569</v>
      </c>
      <c r="I840" t="s">
        <v>570</v>
      </c>
      <c r="J840" t="str">
        <f t="shared" si="39"/>
        <v>March</v>
      </c>
      <c r="K840" t="str">
        <f t="shared" si="40"/>
        <v>Q1</v>
      </c>
      <c r="L840">
        <f t="shared" si="41"/>
        <v>2025</v>
      </c>
    </row>
    <row r="841" spans="1:12" x14ac:dyDescent="0.3">
      <c r="A841" t="s">
        <v>1752</v>
      </c>
      <c r="B841" t="s">
        <v>114</v>
      </c>
      <c r="C841" t="s">
        <v>22</v>
      </c>
      <c r="D841">
        <v>1</v>
      </c>
      <c r="E841" s="1">
        <v>45838</v>
      </c>
      <c r="F841" t="s">
        <v>577</v>
      </c>
      <c r="G841">
        <v>4</v>
      </c>
      <c r="H841" t="s">
        <v>581</v>
      </c>
      <c r="I841" t="s">
        <v>570</v>
      </c>
      <c r="J841" t="str">
        <f t="shared" si="39"/>
        <v>June</v>
      </c>
      <c r="K841" t="str">
        <f t="shared" si="40"/>
        <v>Q2</v>
      </c>
      <c r="L841">
        <f t="shared" si="41"/>
        <v>2025</v>
      </c>
    </row>
    <row r="842" spans="1:12" x14ac:dyDescent="0.3">
      <c r="A842" t="s">
        <v>1753</v>
      </c>
      <c r="B842" t="s">
        <v>114</v>
      </c>
      <c r="C842" t="s">
        <v>22</v>
      </c>
      <c r="D842">
        <v>2</v>
      </c>
      <c r="E842" s="1">
        <v>45847</v>
      </c>
      <c r="F842" t="s">
        <v>605</v>
      </c>
      <c r="G842">
        <v>4</v>
      </c>
      <c r="H842" t="s">
        <v>581</v>
      </c>
      <c r="I842" t="s">
        <v>570</v>
      </c>
      <c r="J842" t="str">
        <f t="shared" si="39"/>
        <v>July</v>
      </c>
      <c r="K842" t="str">
        <f t="shared" si="40"/>
        <v>Q3</v>
      </c>
      <c r="L842">
        <f t="shared" si="41"/>
        <v>2025</v>
      </c>
    </row>
    <row r="843" spans="1:12" x14ac:dyDescent="0.3">
      <c r="A843" t="s">
        <v>1754</v>
      </c>
      <c r="B843" t="s">
        <v>182</v>
      </c>
      <c r="C843" t="s">
        <v>183</v>
      </c>
      <c r="D843">
        <v>1</v>
      </c>
      <c r="E843" s="1">
        <v>45850</v>
      </c>
      <c r="F843" t="s">
        <v>584</v>
      </c>
      <c r="G843">
        <v>4</v>
      </c>
      <c r="H843" t="s">
        <v>581</v>
      </c>
      <c r="I843" t="s">
        <v>570</v>
      </c>
      <c r="J843" t="str">
        <f t="shared" si="39"/>
        <v>July</v>
      </c>
      <c r="K843" t="str">
        <f t="shared" si="40"/>
        <v>Q3</v>
      </c>
      <c r="L843">
        <f t="shared" si="41"/>
        <v>2025</v>
      </c>
    </row>
    <row r="844" spans="1:12" x14ac:dyDescent="0.3">
      <c r="A844" t="s">
        <v>1755</v>
      </c>
      <c r="B844" t="s">
        <v>1756</v>
      </c>
      <c r="C844" t="s">
        <v>41</v>
      </c>
      <c r="D844">
        <v>1</v>
      </c>
      <c r="E844" s="1">
        <v>45820</v>
      </c>
      <c r="F844" t="s">
        <v>572</v>
      </c>
      <c r="G844">
        <v>1</v>
      </c>
      <c r="H844" t="s">
        <v>569</v>
      </c>
      <c r="I844" t="s">
        <v>570</v>
      </c>
      <c r="J844" t="str">
        <f t="shared" si="39"/>
        <v>June</v>
      </c>
      <c r="K844" t="str">
        <f t="shared" si="40"/>
        <v>Q2</v>
      </c>
      <c r="L844">
        <f t="shared" si="41"/>
        <v>2025</v>
      </c>
    </row>
    <row r="845" spans="1:12" x14ac:dyDescent="0.3">
      <c r="A845" t="s">
        <v>1757</v>
      </c>
      <c r="B845" t="s">
        <v>1756</v>
      </c>
      <c r="C845" t="s">
        <v>41</v>
      </c>
      <c r="D845">
        <v>2</v>
      </c>
      <c r="E845" s="1">
        <v>45829</v>
      </c>
      <c r="F845" t="s">
        <v>612</v>
      </c>
      <c r="G845">
        <v>1</v>
      </c>
      <c r="H845" t="s">
        <v>569</v>
      </c>
      <c r="I845" t="s">
        <v>570</v>
      </c>
      <c r="J845" t="str">
        <f t="shared" si="39"/>
        <v>June</v>
      </c>
      <c r="K845" t="str">
        <f t="shared" si="40"/>
        <v>Q2</v>
      </c>
      <c r="L845">
        <f t="shared" si="41"/>
        <v>2025</v>
      </c>
    </row>
    <row r="846" spans="1:12" x14ac:dyDescent="0.3">
      <c r="A846" t="s">
        <v>1758</v>
      </c>
      <c r="B846" t="s">
        <v>1759</v>
      </c>
      <c r="C846" t="s">
        <v>27</v>
      </c>
      <c r="D846">
        <v>1</v>
      </c>
      <c r="E846" s="1">
        <v>45891</v>
      </c>
      <c r="F846" t="s">
        <v>592</v>
      </c>
      <c r="G846">
        <v>3</v>
      </c>
      <c r="H846" t="s">
        <v>578</v>
      </c>
      <c r="I846" t="s">
        <v>570</v>
      </c>
      <c r="J846" t="str">
        <f t="shared" si="39"/>
        <v>August</v>
      </c>
      <c r="K846" t="str">
        <f t="shared" si="40"/>
        <v>Q3</v>
      </c>
      <c r="L846">
        <f t="shared" si="41"/>
        <v>2025</v>
      </c>
    </row>
    <row r="847" spans="1:12" x14ac:dyDescent="0.3">
      <c r="A847" t="s">
        <v>1760</v>
      </c>
      <c r="B847" t="s">
        <v>1759</v>
      </c>
      <c r="C847" t="s">
        <v>27</v>
      </c>
      <c r="D847">
        <v>2</v>
      </c>
      <c r="E847" s="1">
        <v>45903</v>
      </c>
      <c r="F847" t="s">
        <v>584</v>
      </c>
      <c r="G847">
        <v>2</v>
      </c>
      <c r="H847" t="s">
        <v>569</v>
      </c>
      <c r="I847" t="s">
        <v>570</v>
      </c>
      <c r="J847" t="str">
        <f t="shared" si="39"/>
        <v>September</v>
      </c>
      <c r="K847" t="str">
        <f t="shared" si="40"/>
        <v>Q3</v>
      </c>
      <c r="L847">
        <f t="shared" si="41"/>
        <v>2025</v>
      </c>
    </row>
    <row r="848" spans="1:12" x14ac:dyDescent="0.3">
      <c r="A848" t="s">
        <v>1761</v>
      </c>
      <c r="B848" t="s">
        <v>1759</v>
      </c>
      <c r="C848" t="s">
        <v>27</v>
      </c>
      <c r="D848">
        <v>3</v>
      </c>
      <c r="E848" s="1">
        <v>45910</v>
      </c>
      <c r="F848" t="s">
        <v>766</v>
      </c>
      <c r="G848">
        <v>3</v>
      </c>
      <c r="H848" t="s">
        <v>578</v>
      </c>
      <c r="I848" t="s">
        <v>570</v>
      </c>
      <c r="J848" t="str">
        <f t="shared" si="39"/>
        <v>September</v>
      </c>
      <c r="K848" t="str">
        <f t="shared" si="40"/>
        <v>Q3</v>
      </c>
      <c r="L848">
        <f t="shared" si="41"/>
        <v>2025</v>
      </c>
    </row>
    <row r="849" spans="1:12" x14ac:dyDescent="0.3">
      <c r="A849" t="s">
        <v>1762</v>
      </c>
      <c r="B849" t="s">
        <v>1759</v>
      </c>
      <c r="C849" t="s">
        <v>27</v>
      </c>
      <c r="D849">
        <v>4</v>
      </c>
      <c r="E849" s="1">
        <v>45919</v>
      </c>
      <c r="F849" t="s">
        <v>632</v>
      </c>
      <c r="G849">
        <v>1</v>
      </c>
      <c r="H849" t="s">
        <v>569</v>
      </c>
      <c r="I849" t="s">
        <v>570</v>
      </c>
      <c r="J849" t="str">
        <f t="shared" si="39"/>
        <v>September</v>
      </c>
      <c r="K849" t="str">
        <f t="shared" si="40"/>
        <v>Q3</v>
      </c>
      <c r="L849">
        <f t="shared" si="41"/>
        <v>2025</v>
      </c>
    </row>
    <row r="850" spans="1:12" x14ac:dyDescent="0.3">
      <c r="A850" t="s">
        <v>1763</v>
      </c>
      <c r="B850" t="s">
        <v>554</v>
      </c>
      <c r="C850" t="s">
        <v>147</v>
      </c>
      <c r="D850">
        <v>1</v>
      </c>
      <c r="E850" s="1">
        <v>45822</v>
      </c>
      <c r="F850" t="s">
        <v>580</v>
      </c>
      <c r="G850">
        <v>3</v>
      </c>
      <c r="H850" t="s">
        <v>578</v>
      </c>
      <c r="I850" t="s">
        <v>570</v>
      </c>
      <c r="J850" t="str">
        <f t="shared" si="39"/>
        <v>June</v>
      </c>
      <c r="K850" t="str">
        <f t="shared" si="40"/>
        <v>Q2</v>
      </c>
      <c r="L850">
        <f t="shared" si="41"/>
        <v>2025</v>
      </c>
    </row>
    <row r="851" spans="1:12" x14ac:dyDescent="0.3">
      <c r="A851" t="s">
        <v>1764</v>
      </c>
      <c r="B851" t="s">
        <v>554</v>
      </c>
      <c r="C851" t="s">
        <v>147</v>
      </c>
      <c r="D851">
        <v>2</v>
      </c>
      <c r="E851" s="1">
        <v>45829</v>
      </c>
      <c r="F851" t="s">
        <v>580</v>
      </c>
      <c r="G851">
        <v>3</v>
      </c>
      <c r="H851" t="s">
        <v>578</v>
      </c>
      <c r="I851" t="s">
        <v>570</v>
      </c>
      <c r="J851" t="str">
        <f t="shared" si="39"/>
        <v>June</v>
      </c>
      <c r="K851" t="str">
        <f t="shared" si="40"/>
        <v>Q2</v>
      </c>
      <c r="L851">
        <f t="shared" si="41"/>
        <v>2025</v>
      </c>
    </row>
    <row r="852" spans="1:12" x14ac:dyDescent="0.3">
      <c r="A852" t="s">
        <v>1765</v>
      </c>
      <c r="B852" t="s">
        <v>554</v>
      </c>
      <c r="C852" t="s">
        <v>147</v>
      </c>
      <c r="D852">
        <v>3</v>
      </c>
      <c r="E852" s="1">
        <v>45834</v>
      </c>
      <c r="F852" t="s">
        <v>572</v>
      </c>
      <c r="G852">
        <v>4</v>
      </c>
      <c r="H852" t="s">
        <v>581</v>
      </c>
      <c r="I852" t="s">
        <v>570</v>
      </c>
      <c r="J852" t="str">
        <f t="shared" si="39"/>
        <v>June</v>
      </c>
      <c r="K852" t="str">
        <f t="shared" si="40"/>
        <v>Q2</v>
      </c>
      <c r="L852">
        <f t="shared" si="41"/>
        <v>2025</v>
      </c>
    </row>
    <row r="853" spans="1:12" x14ac:dyDescent="0.3">
      <c r="A853" t="s">
        <v>1766</v>
      </c>
      <c r="B853" t="s">
        <v>1767</v>
      </c>
      <c r="C853" t="s">
        <v>51</v>
      </c>
      <c r="D853">
        <v>1</v>
      </c>
      <c r="E853" s="1">
        <v>45956</v>
      </c>
      <c r="G853">
        <v>3</v>
      </c>
      <c r="H853" t="s">
        <v>578</v>
      </c>
      <c r="I853" t="s">
        <v>570</v>
      </c>
      <c r="J853" t="str">
        <f t="shared" si="39"/>
        <v>October</v>
      </c>
      <c r="K853" t="str">
        <f t="shared" si="40"/>
        <v>Q4</v>
      </c>
      <c r="L853">
        <f t="shared" si="41"/>
        <v>2025</v>
      </c>
    </row>
    <row r="854" spans="1:12" x14ac:dyDescent="0.3">
      <c r="A854" t="s">
        <v>1768</v>
      </c>
      <c r="B854" t="s">
        <v>1769</v>
      </c>
      <c r="C854" t="s">
        <v>340</v>
      </c>
      <c r="D854">
        <v>1</v>
      </c>
      <c r="E854" s="1">
        <v>45682</v>
      </c>
      <c r="F854" t="s">
        <v>621</v>
      </c>
      <c r="G854">
        <v>5</v>
      </c>
      <c r="H854" t="s">
        <v>581</v>
      </c>
      <c r="I854" t="s">
        <v>570</v>
      </c>
      <c r="J854" t="str">
        <f t="shared" si="39"/>
        <v>January</v>
      </c>
      <c r="K854" t="str">
        <f t="shared" si="40"/>
        <v>Q1</v>
      </c>
      <c r="L854">
        <f t="shared" si="41"/>
        <v>2025</v>
      </c>
    </row>
    <row r="855" spans="1:12" x14ac:dyDescent="0.3">
      <c r="A855" t="s">
        <v>1770</v>
      </c>
      <c r="B855" t="s">
        <v>1769</v>
      </c>
      <c r="C855" t="s">
        <v>340</v>
      </c>
      <c r="D855">
        <v>2</v>
      </c>
      <c r="E855" s="1">
        <v>45693</v>
      </c>
      <c r="F855" t="s">
        <v>741</v>
      </c>
      <c r="G855">
        <v>3</v>
      </c>
      <c r="H855" t="s">
        <v>578</v>
      </c>
      <c r="I855" t="s">
        <v>570</v>
      </c>
      <c r="J855" t="str">
        <f t="shared" si="39"/>
        <v>February</v>
      </c>
      <c r="K855" t="str">
        <f t="shared" si="40"/>
        <v>Q1</v>
      </c>
      <c r="L855">
        <f t="shared" si="41"/>
        <v>2025</v>
      </c>
    </row>
    <row r="856" spans="1:12" x14ac:dyDescent="0.3">
      <c r="A856" t="s">
        <v>1771</v>
      </c>
      <c r="B856" t="s">
        <v>1772</v>
      </c>
      <c r="C856" t="s">
        <v>183</v>
      </c>
      <c r="D856">
        <v>1</v>
      </c>
      <c r="E856" s="1">
        <v>45863</v>
      </c>
      <c r="F856" t="s">
        <v>670</v>
      </c>
      <c r="G856">
        <v>3</v>
      </c>
      <c r="H856" t="s">
        <v>578</v>
      </c>
      <c r="I856" t="s">
        <v>597</v>
      </c>
      <c r="J856" t="str">
        <f t="shared" si="39"/>
        <v>July</v>
      </c>
      <c r="K856" t="str">
        <f t="shared" si="40"/>
        <v>Q3</v>
      </c>
      <c r="L856">
        <f t="shared" si="41"/>
        <v>2025</v>
      </c>
    </row>
    <row r="857" spans="1:12" x14ac:dyDescent="0.3">
      <c r="A857" t="s">
        <v>1773</v>
      </c>
      <c r="B857" t="s">
        <v>1774</v>
      </c>
      <c r="C857" t="s">
        <v>99</v>
      </c>
      <c r="D857">
        <v>1</v>
      </c>
      <c r="E857" s="1">
        <v>45865</v>
      </c>
      <c r="F857" t="s">
        <v>658</v>
      </c>
      <c r="G857">
        <v>1</v>
      </c>
      <c r="H857" t="s">
        <v>569</v>
      </c>
      <c r="I857" t="s">
        <v>570</v>
      </c>
      <c r="J857" t="str">
        <f t="shared" si="39"/>
        <v>July</v>
      </c>
      <c r="K857" t="str">
        <f t="shared" si="40"/>
        <v>Q3</v>
      </c>
      <c r="L857">
        <f t="shared" si="41"/>
        <v>2025</v>
      </c>
    </row>
    <row r="858" spans="1:12" x14ac:dyDescent="0.3">
      <c r="A858" t="s">
        <v>1775</v>
      </c>
      <c r="B858" t="s">
        <v>1774</v>
      </c>
      <c r="C858" t="s">
        <v>99</v>
      </c>
      <c r="D858">
        <v>2</v>
      </c>
      <c r="E858" s="1">
        <v>45874</v>
      </c>
      <c r="F858" t="s">
        <v>670</v>
      </c>
      <c r="G858">
        <v>1</v>
      </c>
      <c r="H858" t="s">
        <v>569</v>
      </c>
      <c r="I858" t="s">
        <v>570</v>
      </c>
      <c r="J858" t="str">
        <f t="shared" si="39"/>
        <v>August</v>
      </c>
      <c r="K858" t="str">
        <f t="shared" si="40"/>
        <v>Q3</v>
      </c>
      <c r="L858">
        <f t="shared" si="41"/>
        <v>2025</v>
      </c>
    </row>
    <row r="859" spans="1:12" x14ac:dyDescent="0.3">
      <c r="A859" t="s">
        <v>1776</v>
      </c>
      <c r="B859" t="s">
        <v>1777</v>
      </c>
      <c r="C859" t="s">
        <v>298</v>
      </c>
      <c r="D859">
        <v>1</v>
      </c>
      <c r="E859" s="1">
        <v>45897</v>
      </c>
      <c r="F859" t="s">
        <v>656</v>
      </c>
      <c r="G859">
        <v>2</v>
      </c>
      <c r="H859" t="s">
        <v>569</v>
      </c>
      <c r="I859" t="s">
        <v>570</v>
      </c>
      <c r="J859" t="str">
        <f t="shared" si="39"/>
        <v>August</v>
      </c>
      <c r="K859" t="str">
        <f t="shared" si="40"/>
        <v>Q3</v>
      </c>
      <c r="L859">
        <f t="shared" si="41"/>
        <v>2025</v>
      </c>
    </row>
    <row r="860" spans="1:12" x14ac:dyDescent="0.3">
      <c r="A860" t="s">
        <v>1778</v>
      </c>
      <c r="B860" t="s">
        <v>263</v>
      </c>
      <c r="C860" t="s">
        <v>108</v>
      </c>
      <c r="D860">
        <v>1</v>
      </c>
      <c r="E860" s="1">
        <v>45758</v>
      </c>
      <c r="F860" t="s">
        <v>575</v>
      </c>
      <c r="G860">
        <v>4</v>
      </c>
      <c r="H860" t="s">
        <v>581</v>
      </c>
      <c r="I860" t="s">
        <v>570</v>
      </c>
      <c r="J860" t="str">
        <f t="shared" si="39"/>
        <v>April</v>
      </c>
      <c r="K860" t="str">
        <f t="shared" si="40"/>
        <v>Q2</v>
      </c>
      <c r="L860">
        <f t="shared" si="41"/>
        <v>2025</v>
      </c>
    </row>
    <row r="861" spans="1:12" x14ac:dyDescent="0.3">
      <c r="A861" t="s">
        <v>1779</v>
      </c>
      <c r="B861" t="s">
        <v>1780</v>
      </c>
      <c r="C861" t="s">
        <v>68</v>
      </c>
      <c r="D861">
        <v>1</v>
      </c>
      <c r="E861" s="1">
        <v>45740</v>
      </c>
      <c r="F861" t="s">
        <v>586</v>
      </c>
      <c r="G861">
        <v>3</v>
      </c>
      <c r="H861" t="s">
        <v>578</v>
      </c>
      <c r="I861" t="s">
        <v>570</v>
      </c>
      <c r="J861" t="str">
        <f t="shared" si="39"/>
        <v>March</v>
      </c>
      <c r="K861" t="str">
        <f t="shared" si="40"/>
        <v>Q1</v>
      </c>
      <c r="L861">
        <f t="shared" si="41"/>
        <v>2025</v>
      </c>
    </row>
    <row r="862" spans="1:12" x14ac:dyDescent="0.3">
      <c r="A862" t="s">
        <v>1781</v>
      </c>
      <c r="B862" t="s">
        <v>1780</v>
      </c>
      <c r="C862" t="s">
        <v>68</v>
      </c>
      <c r="D862">
        <v>2</v>
      </c>
      <c r="E862" s="1">
        <v>45751</v>
      </c>
      <c r="F862" t="s">
        <v>575</v>
      </c>
      <c r="G862">
        <v>3</v>
      </c>
      <c r="H862" t="s">
        <v>578</v>
      </c>
      <c r="I862" t="s">
        <v>570</v>
      </c>
      <c r="J862" t="str">
        <f t="shared" si="39"/>
        <v>April</v>
      </c>
      <c r="K862" t="str">
        <f t="shared" si="40"/>
        <v>Q2</v>
      </c>
      <c r="L862">
        <f t="shared" si="41"/>
        <v>2025</v>
      </c>
    </row>
    <row r="863" spans="1:12" x14ac:dyDescent="0.3">
      <c r="A863" t="s">
        <v>1782</v>
      </c>
      <c r="B863" t="s">
        <v>227</v>
      </c>
      <c r="C863" t="s">
        <v>16</v>
      </c>
      <c r="D863">
        <v>1</v>
      </c>
      <c r="E863" s="1">
        <v>45763</v>
      </c>
      <c r="F863" t="s">
        <v>575</v>
      </c>
      <c r="G863">
        <v>4</v>
      </c>
      <c r="H863" t="s">
        <v>581</v>
      </c>
      <c r="I863" t="s">
        <v>570</v>
      </c>
      <c r="J863" t="str">
        <f t="shared" si="39"/>
        <v>April</v>
      </c>
      <c r="K863" t="str">
        <f t="shared" si="40"/>
        <v>Q2</v>
      </c>
      <c r="L863">
        <f t="shared" si="41"/>
        <v>2025</v>
      </c>
    </row>
    <row r="864" spans="1:12" x14ac:dyDescent="0.3">
      <c r="A864" t="s">
        <v>1783</v>
      </c>
      <c r="B864" t="s">
        <v>227</v>
      </c>
      <c r="C864" t="s">
        <v>16</v>
      </c>
      <c r="D864">
        <v>2</v>
      </c>
      <c r="E864" s="1">
        <v>45774</v>
      </c>
      <c r="F864" t="s">
        <v>600</v>
      </c>
      <c r="G864">
        <v>4</v>
      </c>
      <c r="H864" t="s">
        <v>581</v>
      </c>
      <c r="I864" t="s">
        <v>570</v>
      </c>
      <c r="J864" t="str">
        <f t="shared" si="39"/>
        <v>April</v>
      </c>
      <c r="K864" t="str">
        <f t="shared" si="40"/>
        <v>Q2</v>
      </c>
      <c r="L864">
        <f t="shared" si="41"/>
        <v>2025</v>
      </c>
    </row>
    <row r="865" spans="1:12" x14ac:dyDescent="0.3">
      <c r="A865" t="s">
        <v>1784</v>
      </c>
      <c r="B865" t="s">
        <v>1785</v>
      </c>
      <c r="C865" t="s">
        <v>201</v>
      </c>
      <c r="D865">
        <v>1</v>
      </c>
      <c r="E865" s="1">
        <v>45971</v>
      </c>
      <c r="F865" t="s">
        <v>625</v>
      </c>
      <c r="G865">
        <v>2</v>
      </c>
      <c r="H865" t="s">
        <v>569</v>
      </c>
      <c r="I865" t="s">
        <v>570</v>
      </c>
      <c r="J865" t="str">
        <f t="shared" si="39"/>
        <v>November</v>
      </c>
      <c r="K865" t="str">
        <f t="shared" si="40"/>
        <v>Q4</v>
      </c>
      <c r="L865">
        <f t="shared" si="41"/>
        <v>2025</v>
      </c>
    </row>
    <row r="866" spans="1:12" x14ac:dyDescent="0.3">
      <c r="A866" t="s">
        <v>1786</v>
      </c>
      <c r="B866" t="s">
        <v>1785</v>
      </c>
      <c r="C866" t="s">
        <v>201</v>
      </c>
      <c r="D866">
        <v>2</v>
      </c>
      <c r="E866" s="1">
        <v>45982</v>
      </c>
      <c r="G866">
        <v>2</v>
      </c>
      <c r="H866" t="s">
        <v>569</v>
      </c>
      <c r="I866" t="s">
        <v>570</v>
      </c>
      <c r="J866" t="str">
        <f t="shared" si="39"/>
        <v>November</v>
      </c>
      <c r="K866" t="str">
        <f t="shared" si="40"/>
        <v>Q4</v>
      </c>
      <c r="L866">
        <f t="shared" si="41"/>
        <v>2025</v>
      </c>
    </row>
    <row r="867" spans="1:12" x14ac:dyDescent="0.3">
      <c r="A867" t="s">
        <v>1787</v>
      </c>
      <c r="B867" t="s">
        <v>1788</v>
      </c>
      <c r="C867" t="s">
        <v>37</v>
      </c>
      <c r="D867">
        <v>1</v>
      </c>
      <c r="E867" s="1">
        <v>45711</v>
      </c>
      <c r="F867" t="s">
        <v>596</v>
      </c>
      <c r="G867">
        <v>1</v>
      </c>
      <c r="H867" t="s">
        <v>569</v>
      </c>
      <c r="I867" t="s">
        <v>608</v>
      </c>
      <c r="J867" t="str">
        <f t="shared" si="39"/>
        <v>February</v>
      </c>
      <c r="K867" t="str">
        <f t="shared" si="40"/>
        <v>Q1</v>
      </c>
      <c r="L867">
        <f t="shared" si="41"/>
        <v>2025</v>
      </c>
    </row>
    <row r="868" spans="1:12" x14ac:dyDescent="0.3">
      <c r="A868" t="s">
        <v>1789</v>
      </c>
      <c r="B868" t="s">
        <v>1788</v>
      </c>
      <c r="C868" t="s">
        <v>37</v>
      </c>
      <c r="D868">
        <v>2</v>
      </c>
      <c r="E868" s="1">
        <v>45717</v>
      </c>
      <c r="F868" t="s">
        <v>586</v>
      </c>
      <c r="G868">
        <v>2</v>
      </c>
      <c r="H868" t="s">
        <v>569</v>
      </c>
      <c r="I868" t="s">
        <v>570</v>
      </c>
      <c r="J868" t="str">
        <f t="shared" si="39"/>
        <v>March</v>
      </c>
      <c r="K868" t="str">
        <f t="shared" si="40"/>
        <v>Q1</v>
      </c>
      <c r="L868">
        <f t="shared" si="41"/>
        <v>2025</v>
      </c>
    </row>
    <row r="869" spans="1:12" x14ac:dyDescent="0.3">
      <c r="A869" t="s">
        <v>1790</v>
      </c>
      <c r="B869" t="s">
        <v>1788</v>
      </c>
      <c r="C869" t="s">
        <v>37</v>
      </c>
      <c r="D869">
        <v>3</v>
      </c>
      <c r="E869" s="1">
        <v>45729</v>
      </c>
      <c r="F869" t="s">
        <v>568</v>
      </c>
      <c r="G869">
        <v>1</v>
      </c>
      <c r="H869" t="s">
        <v>569</v>
      </c>
      <c r="I869" t="s">
        <v>570</v>
      </c>
      <c r="J869" t="str">
        <f t="shared" si="39"/>
        <v>March</v>
      </c>
      <c r="K869" t="str">
        <f t="shared" si="40"/>
        <v>Q1</v>
      </c>
      <c r="L869">
        <f t="shared" si="41"/>
        <v>2025</v>
      </c>
    </row>
    <row r="870" spans="1:12" x14ac:dyDescent="0.3">
      <c r="A870" t="s">
        <v>1791</v>
      </c>
      <c r="B870" t="s">
        <v>1792</v>
      </c>
      <c r="C870" t="s">
        <v>176</v>
      </c>
      <c r="D870">
        <v>1</v>
      </c>
      <c r="E870" s="1">
        <v>45700</v>
      </c>
      <c r="F870" t="s">
        <v>596</v>
      </c>
      <c r="G870">
        <v>4</v>
      </c>
      <c r="H870" t="s">
        <v>581</v>
      </c>
      <c r="I870" t="s">
        <v>570</v>
      </c>
      <c r="J870" t="str">
        <f t="shared" si="39"/>
        <v>February</v>
      </c>
      <c r="K870" t="str">
        <f t="shared" si="40"/>
        <v>Q1</v>
      </c>
      <c r="L870">
        <f t="shared" si="41"/>
        <v>2025</v>
      </c>
    </row>
    <row r="871" spans="1:12" x14ac:dyDescent="0.3">
      <c r="A871" t="s">
        <v>1793</v>
      </c>
      <c r="B871" t="s">
        <v>1792</v>
      </c>
      <c r="C871" t="s">
        <v>176</v>
      </c>
      <c r="D871">
        <v>2</v>
      </c>
      <c r="E871" s="1">
        <v>45708</v>
      </c>
      <c r="F871" t="s">
        <v>575</v>
      </c>
      <c r="G871">
        <v>1</v>
      </c>
      <c r="H871" t="s">
        <v>569</v>
      </c>
      <c r="I871" t="s">
        <v>570</v>
      </c>
      <c r="J871" t="str">
        <f t="shared" si="39"/>
        <v>February</v>
      </c>
      <c r="K871" t="str">
        <f t="shared" si="40"/>
        <v>Q1</v>
      </c>
      <c r="L871">
        <f t="shared" si="41"/>
        <v>2025</v>
      </c>
    </row>
    <row r="872" spans="1:12" x14ac:dyDescent="0.3">
      <c r="A872" t="s">
        <v>1794</v>
      </c>
      <c r="B872" t="s">
        <v>1792</v>
      </c>
      <c r="C872" t="s">
        <v>176</v>
      </c>
      <c r="D872">
        <v>3</v>
      </c>
      <c r="E872" s="1">
        <v>45718</v>
      </c>
      <c r="F872" t="s">
        <v>572</v>
      </c>
      <c r="G872">
        <v>1</v>
      </c>
      <c r="H872" t="s">
        <v>569</v>
      </c>
      <c r="I872" t="s">
        <v>570</v>
      </c>
      <c r="J872" t="str">
        <f t="shared" si="39"/>
        <v>March</v>
      </c>
      <c r="K872" t="str">
        <f t="shared" si="40"/>
        <v>Q1</v>
      </c>
      <c r="L872">
        <f t="shared" si="41"/>
        <v>2025</v>
      </c>
    </row>
    <row r="873" spans="1:12" x14ac:dyDescent="0.3">
      <c r="A873" t="s">
        <v>1795</v>
      </c>
      <c r="B873" t="s">
        <v>1792</v>
      </c>
      <c r="C873" t="s">
        <v>176</v>
      </c>
      <c r="D873">
        <v>4</v>
      </c>
      <c r="E873" s="1">
        <v>45724</v>
      </c>
      <c r="F873" t="s">
        <v>577</v>
      </c>
      <c r="G873">
        <v>1</v>
      </c>
      <c r="H873" t="s">
        <v>569</v>
      </c>
      <c r="I873" t="s">
        <v>570</v>
      </c>
      <c r="J873" t="str">
        <f t="shared" si="39"/>
        <v>March</v>
      </c>
      <c r="K873" t="str">
        <f t="shared" si="40"/>
        <v>Q1</v>
      </c>
      <c r="L873">
        <f t="shared" si="41"/>
        <v>2025</v>
      </c>
    </row>
    <row r="874" spans="1:12" x14ac:dyDescent="0.3">
      <c r="A874" t="s">
        <v>1796</v>
      </c>
      <c r="B874" t="s">
        <v>1797</v>
      </c>
      <c r="C874" t="s">
        <v>99</v>
      </c>
      <c r="D874">
        <v>1</v>
      </c>
      <c r="E874" s="1">
        <v>45851</v>
      </c>
      <c r="F874" t="s">
        <v>649</v>
      </c>
      <c r="G874">
        <v>1</v>
      </c>
      <c r="H874" t="s">
        <v>569</v>
      </c>
      <c r="I874" t="s">
        <v>570</v>
      </c>
      <c r="J874" t="str">
        <f t="shared" si="39"/>
        <v>July</v>
      </c>
      <c r="K874" t="str">
        <f t="shared" si="40"/>
        <v>Q3</v>
      </c>
      <c r="L874">
        <f t="shared" si="41"/>
        <v>2025</v>
      </c>
    </row>
    <row r="875" spans="1:12" x14ac:dyDescent="0.3">
      <c r="A875" t="s">
        <v>1798</v>
      </c>
      <c r="B875" t="s">
        <v>1799</v>
      </c>
      <c r="C875" t="s">
        <v>195</v>
      </c>
      <c r="D875">
        <v>1</v>
      </c>
      <c r="E875" s="1">
        <v>45846</v>
      </c>
      <c r="F875" t="s">
        <v>592</v>
      </c>
      <c r="G875">
        <v>3</v>
      </c>
      <c r="H875" t="s">
        <v>578</v>
      </c>
      <c r="I875" t="s">
        <v>570</v>
      </c>
      <c r="J875" t="str">
        <f t="shared" si="39"/>
        <v>July</v>
      </c>
      <c r="K875" t="str">
        <f t="shared" si="40"/>
        <v>Q3</v>
      </c>
      <c r="L875">
        <f t="shared" si="41"/>
        <v>2025</v>
      </c>
    </row>
    <row r="876" spans="1:12" x14ac:dyDescent="0.3">
      <c r="A876" t="s">
        <v>1800</v>
      </c>
      <c r="B876" t="s">
        <v>1799</v>
      </c>
      <c r="C876" t="s">
        <v>195</v>
      </c>
      <c r="D876">
        <v>2</v>
      </c>
      <c r="E876" s="1">
        <v>45856</v>
      </c>
      <c r="F876" t="s">
        <v>584</v>
      </c>
      <c r="G876">
        <v>1</v>
      </c>
      <c r="H876" t="s">
        <v>569</v>
      </c>
      <c r="I876" t="s">
        <v>570</v>
      </c>
      <c r="J876" t="str">
        <f t="shared" si="39"/>
        <v>July</v>
      </c>
      <c r="K876" t="str">
        <f t="shared" si="40"/>
        <v>Q3</v>
      </c>
      <c r="L876">
        <f t="shared" si="41"/>
        <v>2025</v>
      </c>
    </row>
    <row r="877" spans="1:12" x14ac:dyDescent="0.3">
      <c r="A877" t="s">
        <v>1801</v>
      </c>
      <c r="B877" t="s">
        <v>1799</v>
      </c>
      <c r="C877" t="s">
        <v>195</v>
      </c>
      <c r="D877">
        <v>3</v>
      </c>
      <c r="E877" s="1">
        <v>45860</v>
      </c>
      <c r="F877" t="s">
        <v>575</v>
      </c>
      <c r="G877">
        <v>2</v>
      </c>
      <c r="H877" t="s">
        <v>569</v>
      </c>
      <c r="I877" t="s">
        <v>570</v>
      </c>
      <c r="J877" t="str">
        <f t="shared" si="39"/>
        <v>July</v>
      </c>
      <c r="K877" t="str">
        <f t="shared" si="40"/>
        <v>Q3</v>
      </c>
      <c r="L877">
        <f t="shared" si="41"/>
        <v>2025</v>
      </c>
    </row>
    <row r="878" spans="1:12" x14ac:dyDescent="0.3">
      <c r="A878" t="s">
        <v>1802</v>
      </c>
      <c r="B878" t="s">
        <v>1799</v>
      </c>
      <c r="C878" t="s">
        <v>195</v>
      </c>
      <c r="D878">
        <v>4</v>
      </c>
      <c r="E878" s="1">
        <v>45872</v>
      </c>
      <c r="F878" t="s">
        <v>584</v>
      </c>
      <c r="G878">
        <v>1</v>
      </c>
      <c r="H878" t="s">
        <v>569</v>
      </c>
      <c r="I878" t="s">
        <v>570</v>
      </c>
      <c r="J878" t="str">
        <f t="shared" si="39"/>
        <v>August</v>
      </c>
      <c r="K878" t="str">
        <f t="shared" si="40"/>
        <v>Q3</v>
      </c>
      <c r="L878">
        <f t="shared" si="41"/>
        <v>2025</v>
      </c>
    </row>
    <row r="879" spans="1:12" x14ac:dyDescent="0.3">
      <c r="A879" t="s">
        <v>1803</v>
      </c>
      <c r="B879" t="s">
        <v>1804</v>
      </c>
      <c r="C879" t="s">
        <v>16</v>
      </c>
      <c r="D879">
        <v>1</v>
      </c>
      <c r="E879" s="1">
        <v>45756</v>
      </c>
      <c r="F879" t="s">
        <v>636</v>
      </c>
      <c r="G879">
        <v>3</v>
      </c>
      <c r="H879" t="s">
        <v>578</v>
      </c>
      <c r="I879" t="s">
        <v>570</v>
      </c>
      <c r="J879" t="str">
        <f t="shared" si="39"/>
        <v>April</v>
      </c>
      <c r="K879" t="str">
        <f t="shared" si="40"/>
        <v>Q2</v>
      </c>
      <c r="L879">
        <f t="shared" si="41"/>
        <v>2025</v>
      </c>
    </row>
    <row r="880" spans="1:12" x14ac:dyDescent="0.3">
      <c r="A880" t="s">
        <v>1805</v>
      </c>
      <c r="B880" t="s">
        <v>1804</v>
      </c>
      <c r="C880" t="s">
        <v>16</v>
      </c>
      <c r="D880">
        <v>2</v>
      </c>
      <c r="E880" s="1">
        <v>45764</v>
      </c>
      <c r="F880" t="s">
        <v>596</v>
      </c>
      <c r="G880">
        <v>4</v>
      </c>
      <c r="H880" t="s">
        <v>581</v>
      </c>
      <c r="I880" t="s">
        <v>570</v>
      </c>
      <c r="J880" t="str">
        <f t="shared" si="39"/>
        <v>April</v>
      </c>
      <c r="K880" t="str">
        <f t="shared" si="40"/>
        <v>Q2</v>
      </c>
      <c r="L880">
        <f t="shared" si="41"/>
        <v>2025</v>
      </c>
    </row>
    <row r="881" spans="1:12" x14ac:dyDescent="0.3">
      <c r="A881" t="s">
        <v>1806</v>
      </c>
      <c r="B881" t="s">
        <v>1807</v>
      </c>
      <c r="C881" t="s">
        <v>340</v>
      </c>
      <c r="D881">
        <v>1</v>
      </c>
      <c r="E881" s="1">
        <v>45688</v>
      </c>
      <c r="F881" t="s">
        <v>600</v>
      </c>
      <c r="G881">
        <v>4</v>
      </c>
      <c r="H881" t="s">
        <v>581</v>
      </c>
      <c r="I881" t="s">
        <v>570</v>
      </c>
      <c r="J881" t="str">
        <f t="shared" si="39"/>
        <v>January</v>
      </c>
      <c r="K881" t="str">
        <f t="shared" si="40"/>
        <v>Q1</v>
      </c>
      <c r="L881">
        <f t="shared" si="41"/>
        <v>2025</v>
      </c>
    </row>
    <row r="882" spans="1:12" x14ac:dyDescent="0.3">
      <c r="A882" t="s">
        <v>1808</v>
      </c>
      <c r="B882" t="s">
        <v>1807</v>
      </c>
      <c r="C882" t="s">
        <v>340</v>
      </c>
      <c r="D882">
        <v>2</v>
      </c>
      <c r="E882" s="1">
        <v>45692</v>
      </c>
      <c r="F882" t="s">
        <v>741</v>
      </c>
      <c r="G882">
        <v>4</v>
      </c>
      <c r="H882" t="s">
        <v>581</v>
      </c>
      <c r="I882" t="s">
        <v>570</v>
      </c>
      <c r="J882" t="str">
        <f t="shared" si="39"/>
        <v>February</v>
      </c>
      <c r="K882" t="str">
        <f t="shared" si="40"/>
        <v>Q1</v>
      </c>
      <c r="L882">
        <f t="shared" si="41"/>
        <v>2025</v>
      </c>
    </row>
    <row r="883" spans="1:12" x14ac:dyDescent="0.3">
      <c r="A883" t="s">
        <v>1809</v>
      </c>
      <c r="B883" t="s">
        <v>1810</v>
      </c>
      <c r="C883" t="s">
        <v>176</v>
      </c>
      <c r="D883">
        <v>1</v>
      </c>
      <c r="E883" s="1">
        <v>45709</v>
      </c>
      <c r="F883" t="s">
        <v>575</v>
      </c>
      <c r="G883">
        <v>4</v>
      </c>
      <c r="H883" t="s">
        <v>581</v>
      </c>
      <c r="I883" t="s">
        <v>570</v>
      </c>
      <c r="J883" t="str">
        <f t="shared" si="39"/>
        <v>February</v>
      </c>
      <c r="K883" t="str">
        <f t="shared" si="40"/>
        <v>Q1</v>
      </c>
      <c r="L883">
        <f t="shared" si="41"/>
        <v>2025</v>
      </c>
    </row>
    <row r="884" spans="1:12" x14ac:dyDescent="0.3">
      <c r="A884" t="s">
        <v>1811</v>
      </c>
      <c r="B884" t="s">
        <v>1810</v>
      </c>
      <c r="C884" t="s">
        <v>176</v>
      </c>
      <c r="D884">
        <v>2</v>
      </c>
      <c r="E884" s="1">
        <v>45717</v>
      </c>
      <c r="F884" t="s">
        <v>596</v>
      </c>
      <c r="G884">
        <v>3</v>
      </c>
      <c r="H884" t="s">
        <v>578</v>
      </c>
      <c r="I884" t="s">
        <v>597</v>
      </c>
      <c r="J884" t="str">
        <f t="shared" si="39"/>
        <v>March</v>
      </c>
      <c r="K884" t="str">
        <f t="shared" si="40"/>
        <v>Q1</v>
      </c>
      <c r="L884">
        <f t="shared" si="41"/>
        <v>2025</v>
      </c>
    </row>
    <row r="885" spans="1:12" x14ac:dyDescent="0.3">
      <c r="A885" t="s">
        <v>1812</v>
      </c>
      <c r="B885" t="s">
        <v>1813</v>
      </c>
      <c r="C885" t="s">
        <v>123</v>
      </c>
      <c r="D885">
        <v>1</v>
      </c>
      <c r="E885" s="1">
        <v>45790</v>
      </c>
      <c r="F885" t="s">
        <v>584</v>
      </c>
      <c r="G885">
        <v>3</v>
      </c>
      <c r="H885" t="s">
        <v>578</v>
      </c>
      <c r="I885" t="s">
        <v>570</v>
      </c>
      <c r="J885" t="str">
        <f t="shared" si="39"/>
        <v>May</v>
      </c>
      <c r="K885" t="str">
        <f t="shared" si="40"/>
        <v>Q2</v>
      </c>
      <c r="L885">
        <f t="shared" si="41"/>
        <v>2025</v>
      </c>
    </row>
    <row r="886" spans="1:12" x14ac:dyDescent="0.3">
      <c r="A886" t="s">
        <v>1814</v>
      </c>
      <c r="B886" t="s">
        <v>1813</v>
      </c>
      <c r="C886" t="s">
        <v>123</v>
      </c>
      <c r="D886">
        <v>2</v>
      </c>
      <c r="E886" s="1">
        <v>45800</v>
      </c>
      <c r="F886" t="s">
        <v>625</v>
      </c>
      <c r="G886">
        <v>3</v>
      </c>
      <c r="H886" t="s">
        <v>578</v>
      </c>
      <c r="I886" t="s">
        <v>570</v>
      </c>
      <c r="J886" t="str">
        <f t="shared" si="39"/>
        <v>May</v>
      </c>
      <c r="K886" t="str">
        <f t="shared" si="40"/>
        <v>Q2</v>
      </c>
      <c r="L886">
        <f t="shared" si="41"/>
        <v>2025</v>
      </c>
    </row>
    <row r="887" spans="1:12" x14ac:dyDescent="0.3">
      <c r="A887" t="s">
        <v>1815</v>
      </c>
      <c r="B887" t="s">
        <v>363</v>
      </c>
      <c r="C887" t="s">
        <v>187</v>
      </c>
      <c r="D887">
        <v>1</v>
      </c>
      <c r="E887" s="1">
        <v>45823</v>
      </c>
      <c r="F887" t="s">
        <v>638</v>
      </c>
      <c r="G887">
        <v>3</v>
      </c>
      <c r="H887" t="s">
        <v>578</v>
      </c>
      <c r="I887" t="s">
        <v>570</v>
      </c>
      <c r="J887" t="str">
        <f t="shared" si="39"/>
        <v>June</v>
      </c>
      <c r="K887" t="str">
        <f t="shared" si="40"/>
        <v>Q2</v>
      </c>
      <c r="L887">
        <f t="shared" si="41"/>
        <v>2025</v>
      </c>
    </row>
    <row r="888" spans="1:12" x14ac:dyDescent="0.3">
      <c r="A888" t="s">
        <v>1816</v>
      </c>
      <c r="B888" t="s">
        <v>363</v>
      </c>
      <c r="C888" t="s">
        <v>187</v>
      </c>
      <c r="D888">
        <v>2</v>
      </c>
      <c r="E888" s="1">
        <v>45827</v>
      </c>
      <c r="F888" t="s">
        <v>572</v>
      </c>
      <c r="G888">
        <v>5</v>
      </c>
      <c r="H888" t="s">
        <v>581</v>
      </c>
      <c r="I888" t="s">
        <v>570</v>
      </c>
      <c r="J888" t="str">
        <f t="shared" si="39"/>
        <v>June</v>
      </c>
      <c r="K888" t="str">
        <f t="shared" si="40"/>
        <v>Q2</v>
      </c>
      <c r="L888">
        <f t="shared" si="41"/>
        <v>2025</v>
      </c>
    </row>
    <row r="889" spans="1:12" x14ac:dyDescent="0.3">
      <c r="A889" t="s">
        <v>1817</v>
      </c>
      <c r="B889" t="s">
        <v>363</v>
      </c>
      <c r="C889" t="s">
        <v>187</v>
      </c>
      <c r="D889">
        <v>3</v>
      </c>
      <c r="E889" s="1">
        <v>45837</v>
      </c>
      <c r="F889" t="s">
        <v>638</v>
      </c>
      <c r="G889">
        <v>3</v>
      </c>
      <c r="H889" t="s">
        <v>578</v>
      </c>
      <c r="I889" t="s">
        <v>570</v>
      </c>
      <c r="J889" t="str">
        <f t="shared" si="39"/>
        <v>June</v>
      </c>
      <c r="K889" t="str">
        <f t="shared" si="40"/>
        <v>Q2</v>
      </c>
      <c r="L889">
        <f t="shared" si="41"/>
        <v>2025</v>
      </c>
    </row>
    <row r="890" spans="1:12" x14ac:dyDescent="0.3">
      <c r="A890" t="s">
        <v>1818</v>
      </c>
      <c r="B890" t="s">
        <v>363</v>
      </c>
      <c r="C890" t="s">
        <v>187</v>
      </c>
      <c r="D890">
        <v>4</v>
      </c>
      <c r="E890" s="1">
        <v>45846</v>
      </c>
      <c r="F890" t="s">
        <v>638</v>
      </c>
      <c r="G890">
        <v>4</v>
      </c>
      <c r="H890" t="s">
        <v>581</v>
      </c>
      <c r="I890" t="s">
        <v>570</v>
      </c>
      <c r="J890" t="str">
        <f t="shared" si="39"/>
        <v>July</v>
      </c>
      <c r="K890" t="str">
        <f t="shared" si="40"/>
        <v>Q3</v>
      </c>
      <c r="L890">
        <f t="shared" si="41"/>
        <v>2025</v>
      </c>
    </row>
    <row r="891" spans="1:12" x14ac:dyDescent="0.3">
      <c r="A891" t="s">
        <v>1819</v>
      </c>
      <c r="B891" t="s">
        <v>311</v>
      </c>
      <c r="C891" t="s">
        <v>127</v>
      </c>
      <c r="D891">
        <v>1</v>
      </c>
      <c r="E891" s="1">
        <v>45966</v>
      </c>
      <c r="F891" t="s">
        <v>632</v>
      </c>
      <c r="G891">
        <v>3</v>
      </c>
      <c r="H891" t="s">
        <v>578</v>
      </c>
      <c r="I891" t="s">
        <v>570</v>
      </c>
      <c r="J891" t="str">
        <f t="shared" si="39"/>
        <v>November</v>
      </c>
      <c r="K891" t="str">
        <f t="shared" si="40"/>
        <v>Q4</v>
      </c>
      <c r="L891">
        <f t="shared" si="41"/>
        <v>2025</v>
      </c>
    </row>
    <row r="892" spans="1:12" x14ac:dyDescent="0.3">
      <c r="A892" t="s">
        <v>1820</v>
      </c>
      <c r="B892" t="s">
        <v>311</v>
      </c>
      <c r="C892" t="s">
        <v>127</v>
      </c>
      <c r="D892">
        <v>2</v>
      </c>
      <c r="E892" s="1">
        <v>45977</v>
      </c>
      <c r="F892" t="s">
        <v>592</v>
      </c>
      <c r="G892">
        <v>4</v>
      </c>
      <c r="H892" t="s">
        <v>581</v>
      </c>
      <c r="I892" t="s">
        <v>570</v>
      </c>
      <c r="J892" t="str">
        <f t="shared" si="39"/>
        <v>November</v>
      </c>
      <c r="K892" t="str">
        <f t="shared" si="40"/>
        <v>Q4</v>
      </c>
      <c r="L892">
        <f t="shared" si="41"/>
        <v>2025</v>
      </c>
    </row>
    <row r="893" spans="1:12" x14ac:dyDescent="0.3">
      <c r="A893" t="s">
        <v>1821</v>
      </c>
      <c r="B893" t="s">
        <v>1822</v>
      </c>
      <c r="C893" t="s">
        <v>133</v>
      </c>
      <c r="D893">
        <v>1</v>
      </c>
      <c r="E893" s="1">
        <v>45706</v>
      </c>
      <c r="F893" t="s">
        <v>632</v>
      </c>
      <c r="G893">
        <v>3</v>
      </c>
      <c r="H893" t="s">
        <v>578</v>
      </c>
      <c r="I893" t="s">
        <v>570</v>
      </c>
      <c r="J893" t="str">
        <f t="shared" si="39"/>
        <v>February</v>
      </c>
      <c r="K893" t="str">
        <f t="shared" si="40"/>
        <v>Q1</v>
      </c>
      <c r="L893">
        <f t="shared" si="41"/>
        <v>2025</v>
      </c>
    </row>
    <row r="894" spans="1:12" x14ac:dyDescent="0.3">
      <c r="A894" t="s">
        <v>1823</v>
      </c>
      <c r="B894" t="s">
        <v>1822</v>
      </c>
      <c r="C894" t="s">
        <v>133</v>
      </c>
      <c r="D894">
        <v>2</v>
      </c>
      <c r="E894" s="1">
        <v>45718</v>
      </c>
      <c r="F894" t="s">
        <v>625</v>
      </c>
      <c r="G894">
        <v>3</v>
      </c>
      <c r="H894" t="s">
        <v>578</v>
      </c>
      <c r="I894" t="s">
        <v>570</v>
      </c>
      <c r="J894" t="str">
        <f t="shared" si="39"/>
        <v>March</v>
      </c>
      <c r="K894" t="str">
        <f t="shared" si="40"/>
        <v>Q1</v>
      </c>
      <c r="L894">
        <f t="shared" si="41"/>
        <v>2025</v>
      </c>
    </row>
    <row r="895" spans="1:12" x14ac:dyDescent="0.3">
      <c r="A895" t="s">
        <v>1824</v>
      </c>
      <c r="B895" t="s">
        <v>1822</v>
      </c>
      <c r="C895" t="s">
        <v>133</v>
      </c>
      <c r="D895">
        <v>3</v>
      </c>
      <c r="E895" s="1">
        <v>45726</v>
      </c>
      <c r="F895" t="s">
        <v>584</v>
      </c>
      <c r="G895">
        <v>3</v>
      </c>
      <c r="H895" t="s">
        <v>578</v>
      </c>
      <c r="I895" t="s">
        <v>570</v>
      </c>
      <c r="J895" t="str">
        <f t="shared" si="39"/>
        <v>March</v>
      </c>
      <c r="K895" t="str">
        <f t="shared" si="40"/>
        <v>Q1</v>
      </c>
      <c r="L895">
        <f t="shared" si="41"/>
        <v>2025</v>
      </c>
    </row>
    <row r="896" spans="1:12" x14ac:dyDescent="0.3">
      <c r="A896" t="s">
        <v>1825</v>
      </c>
      <c r="B896" t="s">
        <v>281</v>
      </c>
      <c r="C896" t="s">
        <v>244</v>
      </c>
      <c r="D896">
        <v>1</v>
      </c>
      <c r="E896" s="1">
        <v>45665</v>
      </c>
      <c r="F896" t="s">
        <v>663</v>
      </c>
      <c r="G896">
        <v>4</v>
      </c>
      <c r="H896" t="s">
        <v>581</v>
      </c>
      <c r="I896" t="s">
        <v>570</v>
      </c>
      <c r="J896" t="str">
        <f t="shared" si="39"/>
        <v>January</v>
      </c>
      <c r="K896" t="str">
        <f t="shared" si="40"/>
        <v>Q1</v>
      </c>
      <c r="L896">
        <f t="shared" si="41"/>
        <v>2025</v>
      </c>
    </row>
    <row r="897" spans="1:12" x14ac:dyDescent="0.3">
      <c r="A897" t="s">
        <v>1826</v>
      </c>
      <c r="B897" t="s">
        <v>1827</v>
      </c>
      <c r="C897" t="s">
        <v>140</v>
      </c>
      <c r="D897">
        <v>1</v>
      </c>
      <c r="E897" s="1">
        <v>45934</v>
      </c>
      <c r="F897" t="s">
        <v>663</v>
      </c>
      <c r="G897">
        <v>4</v>
      </c>
      <c r="H897" t="s">
        <v>581</v>
      </c>
      <c r="I897" t="s">
        <v>608</v>
      </c>
      <c r="J897" t="str">
        <f t="shared" si="39"/>
        <v>October</v>
      </c>
      <c r="K897" t="str">
        <f t="shared" si="40"/>
        <v>Q4</v>
      </c>
      <c r="L897">
        <f t="shared" si="41"/>
        <v>2025</v>
      </c>
    </row>
    <row r="898" spans="1:12" x14ac:dyDescent="0.3">
      <c r="A898" t="s">
        <v>1828</v>
      </c>
      <c r="B898" t="s">
        <v>1829</v>
      </c>
      <c r="C898" t="s">
        <v>73</v>
      </c>
      <c r="D898">
        <v>1</v>
      </c>
      <c r="E898" s="1">
        <v>45810</v>
      </c>
      <c r="F898" t="s">
        <v>988</v>
      </c>
      <c r="G898">
        <v>2</v>
      </c>
      <c r="H898" t="s">
        <v>569</v>
      </c>
      <c r="I898" t="s">
        <v>570</v>
      </c>
      <c r="J898" t="str">
        <f t="shared" ref="J898:J961" si="42">TEXT(E898,"mmmm")</f>
        <v>June</v>
      </c>
      <c r="K898" t="str">
        <f t="shared" ref="K898:K961" si="43">"Q"&amp;ROUNDUP(MONTH(E898)/3,0)</f>
        <v>Q2</v>
      </c>
      <c r="L898">
        <f t="shared" ref="L898:L961" si="44">YEAR(E898)</f>
        <v>2025</v>
      </c>
    </row>
    <row r="899" spans="1:12" x14ac:dyDescent="0.3">
      <c r="A899" t="s">
        <v>1830</v>
      </c>
      <c r="B899" t="s">
        <v>1829</v>
      </c>
      <c r="C899" t="s">
        <v>73</v>
      </c>
      <c r="D899">
        <v>2</v>
      </c>
      <c r="E899" s="1">
        <v>45818</v>
      </c>
      <c r="F899" t="s">
        <v>743</v>
      </c>
      <c r="G899">
        <v>2</v>
      </c>
      <c r="H899" t="s">
        <v>569</v>
      </c>
      <c r="I899" t="s">
        <v>570</v>
      </c>
      <c r="J899" t="str">
        <f t="shared" si="42"/>
        <v>June</v>
      </c>
      <c r="K899" t="str">
        <f t="shared" si="43"/>
        <v>Q2</v>
      </c>
      <c r="L899">
        <f t="shared" si="44"/>
        <v>2025</v>
      </c>
    </row>
    <row r="900" spans="1:12" x14ac:dyDescent="0.3">
      <c r="A900" t="s">
        <v>1831</v>
      </c>
      <c r="B900" t="s">
        <v>1829</v>
      </c>
      <c r="C900" t="s">
        <v>73</v>
      </c>
      <c r="D900">
        <v>3</v>
      </c>
      <c r="E900" s="1">
        <v>45825</v>
      </c>
      <c r="F900" t="s">
        <v>577</v>
      </c>
      <c r="G900">
        <v>3</v>
      </c>
      <c r="H900" t="s">
        <v>578</v>
      </c>
      <c r="I900" t="s">
        <v>570</v>
      </c>
      <c r="J900" t="str">
        <f t="shared" si="42"/>
        <v>June</v>
      </c>
      <c r="K900" t="str">
        <f t="shared" si="43"/>
        <v>Q2</v>
      </c>
      <c r="L900">
        <f t="shared" si="44"/>
        <v>2025</v>
      </c>
    </row>
    <row r="901" spans="1:12" x14ac:dyDescent="0.3">
      <c r="A901" t="s">
        <v>1832</v>
      </c>
      <c r="B901" t="s">
        <v>1829</v>
      </c>
      <c r="C901" t="s">
        <v>73</v>
      </c>
      <c r="D901">
        <v>4</v>
      </c>
      <c r="E901" s="1">
        <v>45832</v>
      </c>
      <c r="F901" t="s">
        <v>741</v>
      </c>
      <c r="G901">
        <v>1</v>
      </c>
      <c r="H901" t="s">
        <v>569</v>
      </c>
      <c r="I901" t="s">
        <v>570</v>
      </c>
      <c r="J901" t="str">
        <f t="shared" si="42"/>
        <v>June</v>
      </c>
      <c r="K901" t="str">
        <f t="shared" si="43"/>
        <v>Q2</v>
      </c>
      <c r="L901">
        <f t="shared" si="44"/>
        <v>2025</v>
      </c>
    </row>
    <row r="902" spans="1:12" x14ac:dyDescent="0.3">
      <c r="A902" t="s">
        <v>1833</v>
      </c>
      <c r="B902" t="s">
        <v>1834</v>
      </c>
      <c r="C902" t="s">
        <v>45</v>
      </c>
      <c r="D902">
        <v>1</v>
      </c>
      <c r="E902" s="1">
        <v>45864</v>
      </c>
      <c r="F902" t="s">
        <v>592</v>
      </c>
      <c r="G902">
        <v>2</v>
      </c>
      <c r="H902" t="s">
        <v>569</v>
      </c>
      <c r="I902" t="s">
        <v>570</v>
      </c>
      <c r="J902" t="str">
        <f t="shared" si="42"/>
        <v>July</v>
      </c>
      <c r="K902" t="str">
        <f t="shared" si="43"/>
        <v>Q3</v>
      </c>
      <c r="L902">
        <f t="shared" si="44"/>
        <v>2025</v>
      </c>
    </row>
    <row r="903" spans="1:12" x14ac:dyDescent="0.3">
      <c r="A903" t="s">
        <v>1835</v>
      </c>
      <c r="B903" t="s">
        <v>1834</v>
      </c>
      <c r="C903" t="s">
        <v>45</v>
      </c>
      <c r="D903">
        <v>2</v>
      </c>
      <c r="E903" s="1">
        <v>45868</v>
      </c>
      <c r="F903" t="s">
        <v>592</v>
      </c>
      <c r="G903">
        <v>2</v>
      </c>
      <c r="H903" t="s">
        <v>569</v>
      </c>
      <c r="I903" t="s">
        <v>570</v>
      </c>
      <c r="J903" t="str">
        <f t="shared" si="42"/>
        <v>July</v>
      </c>
      <c r="K903" t="str">
        <f t="shared" si="43"/>
        <v>Q3</v>
      </c>
      <c r="L903">
        <f t="shared" si="44"/>
        <v>2025</v>
      </c>
    </row>
    <row r="904" spans="1:12" x14ac:dyDescent="0.3">
      <c r="A904" t="s">
        <v>1836</v>
      </c>
      <c r="B904" t="s">
        <v>1834</v>
      </c>
      <c r="C904" t="s">
        <v>45</v>
      </c>
      <c r="D904">
        <v>3</v>
      </c>
      <c r="E904" s="1">
        <v>45877</v>
      </c>
      <c r="F904" t="s">
        <v>638</v>
      </c>
      <c r="G904">
        <v>2</v>
      </c>
      <c r="H904" t="s">
        <v>569</v>
      </c>
      <c r="I904" t="s">
        <v>570</v>
      </c>
      <c r="J904" t="str">
        <f t="shared" si="42"/>
        <v>August</v>
      </c>
      <c r="K904" t="str">
        <f t="shared" si="43"/>
        <v>Q3</v>
      </c>
      <c r="L904">
        <f t="shared" si="44"/>
        <v>2025</v>
      </c>
    </row>
    <row r="905" spans="1:12" x14ac:dyDescent="0.3">
      <c r="A905" t="s">
        <v>1837</v>
      </c>
      <c r="B905" t="s">
        <v>1834</v>
      </c>
      <c r="C905" t="s">
        <v>45</v>
      </c>
      <c r="D905">
        <v>4</v>
      </c>
      <c r="E905" s="1">
        <v>45889</v>
      </c>
      <c r="F905" t="s">
        <v>741</v>
      </c>
      <c r="G905">
        <v>3</v>
      </c>
      <c r="H905" t="s">
        <v>578</v>
      </c>
      <c r="I905" t="s">
        <v>597</v>
      </c>
      <c r="J905" t="str">
        <f t="shared" si="42"/>
        <v>August</v>
      </c>
      <c r="K905" t="str">
        <f t="shared" si="43"/>
        <v>Q3</v>
      </c>
      <c r="L905">
        <f t="shared" si="44"/>
        <v>2025</v>
      </c>
    </row>
    <row r="906" spans="1:12" x14ac:dyDescent="0.3">
      <c r="A906" t="s">
        <v>1838</v>
      </c>
      <c r="B906" t="s">
        <v>1839</v>
      </c>
      <c r="C906" t="s">
        <v>251</v>
      </c>
      <c r="D906">
        <v>1</v>
      </c>
      <c r="E906" s="1">
        <v>45818</v>
      </c>
      <c r="F906" t="s">
        <v>766</v>
      </c>
      <c r="G906">
        <v>1</v>
      </c>
      <c r="H906" t="s">
        <v>569</v>
      </c>
      <c r="I906" t="s">
        <v>570</v>
      </c>
      <c r="J906" t="str">
        <f t="shared" si="42"/>
        <v>June</v>
      </c>
      <c r="K906" t="str">
        <f t="shared" si="43"/>
        <v>Q2</v>
      </c>
      <c r="L906">
        <f t="shared" si="44"/>
        <v>2025</v>
      </c>
    </row>
    <row r="907" spans="1:12" x14ac:dyDescent="0.3">
      <c r="A907" t="s">
        <v>1840</v>
      </c>
      <c r="B907" t="s">
        <v>1841</v>
      </c>
      <c r="C907" t="s">
        <v>156</v>
      </c>
      <c r="D907">
        <v>1</v>
      </c>
      <c r="E907" s="1">
        <v>45726</v>
      </c>
      <c r="F907" t="s">
        <v>638</v>
      </c>
      <c r="G907">
        <v>2</v>
      </c>
      <c r="H907" t="s">
        <v>569</v>
      </c>
      <c r="I907" t="s">
        <v>570</v>
      </c>
      <c r="J907" t="str">
        <f t="shared" si="42"/>
        <v>March</v>
      </c>
      <c r="K907" t="str">
        <f t="shared" si="43"/>
        <v>Q1</v>
      </c>
      <c r="L907">
        <f t="shared" si="44"/>
        <v>2025</v>
      </c>
    </row>
    <row r="908" spans="1:12" x14ac:dyDescent="0.3">
      <c r="A908" t="s">
        <v>1842</v>
      </c>
      <c r="B908" t="s">
        <v>1841</v>
      </c>
      <c r="C908" t="s">
        <v>156</v>
      </c>
      <c r="D908">
        <v>2</v>
      </c>
      <c r="E908" s="1">
        <v>45732</v>
      </c>
      <c r="F908" t="s">
        <v>590</v>
      </c>
      <c r="G908">
        <v>2</v>
      </c>
      <c r="H908" t="s">
        <v>569</v>
      </c>
      <c r="I908" t="s">
        <v>570</v>
      </c>
      <c r="J908" t="str">
        <f t="shared" si="42"/>
        <v>March</v>
      </c>
      <c r="K908" t="str">
        <f t="shared" si="43"/>
        <v>Q1</v>
      </c>
      <c r="L908">
        <f t="shared" si="44"/>
        <v>2025</v>
      </c>
    </row>
    <row r="909" spans="1:12" x14ac:dyDescent="0.3">
      <c r="A909" t="s">
        <v>1843</v>
      </c>
      <c r="B909" t="s">
        <v>1841</v>
      </c>
      <c r="C909" t="s">
        <v>156</v>
      </c>
      <c r="D909">
        <v>3</v>
      </c>
      <c r="E909" s="1">
        <v>45738</v>
      </c>
      <c r="F909" t="s">
        <v>766</v>
      </c>
      <c r="G909">
        <v>3</v>
      </c>
      <c r="H909" t="s">
        <v>578</v>
      </c>
      <c r="I909" t="s">
        <v>570</v>
      </c>
      <c r="J909" t="str">
        <f t="shared" si="42"/>
        <v>March</v>
      </c>
      <c r="K909" t="str">
        <f t="shared" si="43"/>
        <v>Q1</v>
      </c>
      <c r="L909">
        <f t="shared" si="44"/>
        <v>2025</v>
      </c>
    </row>
    <row r="910" spans="1:12" x14ac:dyDescent="0.3">
      <c r="A910" t="s">
        <v>1844</v>
      </c>
      <c r="B910" t="s">
        <v>1845</v>
      </c>
      <c r="C910" t="s">
        <v>183</v>
      </c>
      <c r="D910">
        <v>1</v>
      </c>
      <c r="E910" s="1">
        <v>45859</v>
      </c>
      <c r="F910" t="s">
        <v>584</v>
      </c>
      <c r="G910">
        <v>2</v>
      </c>
      <c r="H910" t="s">
        <v>569</v>
      </c>
      <c r="I910" t="s">
        <v>570</v>
      </c>
      <c r="J910" t="str">
        <f t="shared" si="42"/>
        <v>July</v>
      </c>
      <c r="K910" t="str">
        <f t="shared" si="43"/>
        <v>Q3</v>
      </c>
      <c r="L910">
        <f t="shared" si="44"/>
        <v>2025</v>
      </c>
    </row>
    <row r="911" spans="1:12" x14ac:dyDescent="0.3">
      <c r="A911" t="s">
        <v>1846</v>
      </c>
      <c r="B911" t="s">
        <v>1847</v>
      </c>
      <c r="C911" t="s">
        <v>156</v>
      </c>
      <c r="D911">
        <v>1</v>
      </c>
      <c r="E911" s="1">
        <v>45728</v>
      </c>
      <c r="F911" t="s">
        <v>741</v>
      </c>
      <c r="G911">
        <v>2</v>
      </c>
      <c r="H911" t="s">
        <v>569</v>
      </c>
      <c r="I911" t="s">
        <v>570</v>
      </c>
      <c r="J911" t="str">
        <f t="shared" si="42"/>
        <v>March</v>
      </c>
      <c r="K911" t="str">
        <f t="shared" si="43"/>
        <v>Q1</v>
      </c>
      <c r="L911">
        <f t="shared" si="44"/>
        <v>2025</v>
      </c>
    </row>
    <row r="912" spans="1:12" x14ac:dyDescent="0.3">
      <c r="A912" t="s">
        <v>1848</v>
      </c>
      <c r="B912" t="s">
        <v>1847</v>
      </c>
      <c r="C912" t="s">
        <v>156</v>
      </c>
      <c r="D912">
        <v>2</v>
      </c>
      <c r="E912" s="1">
        <v>45737</v>
      </c>
      <c r="F912" t="s">
        <v>766</v>
      </c>
      <c r="G912">
        <v>3</v>
      </c>
      <c r="H912" t="s">
        <v>578</v>
      </c>
      <c r="I912" t="s">
        <v>570</v>
      </c>
      <c r="J912" t="str">
        <f t="shared" si="42"/>
        <v>March</v>
      </c>
      <c r="K912" t="str">
        <f t="shared" si="43"/>
        <v>Q1</v>
      </c>
      <c r="L912">
        <f t="shared" si="44"/>
        <v>2025</v>
      </c>
    </row>
    <row r="913" spans="1:12" x14ac:dyDescent="0.3">
      <c r="A913" t="s">
        <v>1849</v>
      </c>
      <c r="B913" t="s">
        <v>1847</v>
      </c>
      <c r="C913" t="s">
        <v>156</v>
      </c>
      <c r="D913">
        <v>3</v>
      </c>
      <c r="E913" s="1">
        <v>45742</v>
      </c>
      <c r="F913" t="s">
        <v>741</v>
      </c>
      <c r="G913">
        <v>3</v>
      </c>
      <c r="H913" t="s">
        <v>578</v>
      </c>
      <c r="I913" t="s">
        <v>570</v>
      </c>
      <c r="J913" t="str">
        <f t="shared" si="42"/>
        <v>March</v>
      </c>
      <c r="K913" t="str">
        <f t="shared" si="43"/>
        <v>Q1</v>
      </c>
      <c r="L913">
        <f t="shared" si="44"/>
        <v>2025</v>
      </c>
    </row>
    <row r="914" spans="1:12" x14ac:dyDescent="0.3">
      <c r="A914" t="s">
        <v>1850</v>
      </c>
      <c r="B914" t="s">
        <v>1851</v>
      </c>
      <c r="C914" t="s">
        <v>166</v>
      </c>
      <c r="D914">
        <v>1</v>
      </c>
      <c r="E914" s="1">
        <v>45777</v>
      </c>
      <c r="F914" t="s">
        <v>638</v>
      </c>
      <c r="G914">
        <v>2</v>
      </c>
      <c r="H914" t="s">
        <v>569</v>
      </c>
      <c r="I914" t="s">
        <v>570</v>
      </c>
      <c r="J914" t="str">
        <f t="shared" si="42"/>
        <v>April</v>
      </c>
      <c r="K914" t="str">
        <f t="shared" si="43"/>
        <v>Q2</v>
      </c>
      <c r="L914">
        <f t="shared" si="44"/>
        <v>2025</v>
      </c>
    </row>
    <row r="915" spans="1:12" x14ac:dyDescent="0.3">
      <c r="A915" t="s">
        <v>1852</v>
      </c>
      <c r="B915" t="s">
        <v>1851</v>
      </c>
      <c r="C915" t="s">
        <v>166</v>
      </c>
      <c r="D915">
        <v>2</v>
      </c>
      <c r="E915" s="1">
        <v>45789</v>
      </c>
      <c r="F915" t="s">
        <v>621</v>
      </c>
      <c r="G915">
        <v>1</v>
      </c>
      <c r="H915" t="s">
        <v>569</v>
      </c>
      <c r="I915" t="s">
        <v>570</v>
      </c>
      <c r="J915" t="str">
        <f t="shared" si="42"/>
        <v>May</v>
      </c>
      <c r="K915" t="str">
        <f t="shared" si="43"/>
        <v>Q2</v>
      </c>
      <c r="L915">
        <f t="shared" si="44"/>
        <v>2025</v>
      </c>
    </row>
    <row r="916" spans="1:12" x14ac:dyDescent="0.3">
      <c r="A916" t="s">
        <v>1853</v>
      </c>
      <c r="B916" t="s">
        <v>1851</v>
      </c>
      <c r="C916" t="s">
        <v>166</v>
      </c>
      <c r="D916">
        <v>3</v>
      </c>
      <c r="E916" s="1">
        <v>45796</v>
      </c>
      <c r="G916">
        <v>1</v>
      </c>
      <c r="H916" t="s">
        <v>569</v>
      </c>
      <c r="I916" t="s">
        <v>570</v>
      </c>
      <c r="J916" t="str">
        <f t="shared" si="42"/>
        <v>May</v>
      </c>
      <c r="K916" t="str">
        <f t="shared" si="43"/>
        <v>Q2</v>
      </c>
      <c r="L916">
        <f t="shared" si="44"/>
        <v>2025</v>
      </c>
    </row>
    <row r="917" spans="1:12" x14ac:dyDescent="0.3">
      <c r="A917" t="s">
        <v>1854</v>
      </c>
      <c r="B917" t="s">
        <v>1855</v>
      </c>
      <c r="C917" t="s">
        <v>96</v>
      </c>
      <c r="D917">
        <v>1</v>
      </c>
      <c r="E917" s="1">
        <v>45875</v>
      </c>
      <c r="F917" t="s">
        <v>577</v>
      </c>
      <c r="G917">
        <v>3</v>
      </c>
      <c r="H917" t="s">
        <v>578</v>
      </c>
      <c r="I917" t="s">
        <v>570</v>
      </c>
      <c r="J917" t="str">
        <f t="shared" si="42"/>
        <v>August</v>
      </c>
      <c r="K917" t="str">
        <f t="shared" si="43"/>
        <v>Q3</v>
      </c>
      <c r="L917">
        <f t="shared" si="44"/>
        <v>2025</v>
      </c>
    </row>
    <row r="918" spans="1:12" x14ac:dyDescent="0.3">
      <c r="A918" t="s">
        <v>1856</v>
      </c>
      <c r="B918" t="s">
        <v>1855</v>
      </c>
      <c r="C918" t="s">
        <v>96</v>
      </c>
      <c r="D918">
        <v>2</v>
      </c>
      <c r="E918" s="1">
        <v>45883</v>
      </c>
      <c r="F918" t="s">
        <v>603</v>
      </c>
      <c r="G918">
        <v>1</v>
      </c>
      <c r="H918" t="s">
        <v>569</v>
      </c>
      <c r="I918" t="s">
        <v>597</v>
      </c>
      <c r="J918" t="str">
        <f t="shared" si="42"/>
        <v>August</v>
      </c>
      <c r="K918" t="str">
        <f t="shared" si="43"/>
        <v>Q3</v>
      </c>
      <c r="L918">
        <f t="shared" si="44"/>
        <v>2025</v>
      </c>
    </row>
    <row r="919" spans="1:12" x14ac:dyDescent="0.3">
      <c r="A919" t="s">
        <v>1857</v>
      </c>
      <c r="B919" t="s">
        <v>1858</v>
      </c>
      <c r="C919" t="s">
        <v>99</v>
      </c>
      <c r="D919">
        <v>1</v>
      </c>
      <c r="E919" s="1">
        <v>45854</v>
      </c>
      <c r="F919" t="s">
        <v>625</v>
      </c>
      <c r="G919">
        <v>5</v>
      </c>
      <c r="H919" t="s">
        <v>581</v>
      </c>
      <c r="I919" t="s">
        <v>597</v>
      </c>
      <c r="J919" t="str">
        <f t="shared" si="42"/>
        <v>July</v>
      </c>
      <c r="K919" t="str">
        <f t="shared" si="43"/>
        <v>Q3</v>
      </c>
      <c r="L919">
        <f t="shared" si="44"/>
        <v>2025</v>
      </c>
    </row>
    <row r="920" spans="1:12" x14ac:dyDescent="0.3">
      <c r="A920" t="s">
        <v>1859</v>
      </c>
      <c r="B920" t="s">
        <v>1860</v>
      </c>
      <c r="C920" t="s">
        <v>37</v>
      </c>
      <c r="D920">
        <v>1</v>
      </c>
      <c r="E920" s="1">
        <v>45711</v>
      </c>
      <c r="F920" t="s">
        <v>580</v>
      </c>
      <c r="G920">
        <v>4</v>
      </c>
      <c r="H920" t="s">
        <v>581</v>
      </c>
      <c r="I920" t="s">
        <v>570</v>
      </c>
      <c r="J920" t="str">
        <f t="shared" si="42"/>
        <v>February</v>
      </c>
      <c r="K920" t="str">
        <f t="shared" si="43"/>
        <v>Q1</v>
      </c>
      <c r="L920">
        <f t="shared" si="44"/>
        <v>2025</v>
      </c>
    </row>
    <row r="921" spans="1:12" x14ac:dyDescent="0.3">
      <c r="A921" t="s">
        <v>1861</v>
      </c>
      <c r="B921" t="s">
        <v>1862</v>
      </c>
      <c r="C921" t="s">
        <v>99</v>
      </c>
      <c r="D921">
        <v>1</v>
      </c>
      <c r="E921" s="1">
        <v>45865</v>
      </c>
      <c r="F921" t="s">
        <v>649</v>
      </c>
      <c r="G921">
        <v>3</v>
      </c>
      <c r="H921" t="s">
        <v>578</v>
      </c>
      <c r="I921" t="s">
        <v>570</v>
      </c>
      <c r="J921" t="str">
        <f t="shared" si="42"/>
        <v>July</v>
      </c>
      <c r="K921" t="str">
        <f t="shared" si="43"/>
        <v>Q3</v>
      </c>
      <c r="L921">
        <f t="shared" si="44"/>
        <v>2025</v>
      </c>
    </row>
    <row r="922" spans="1:12" x14ac:dyDescent="0.3">
      <c r="A922" t="s">
        <v>1863</v>
      </c>
      <c r="B922" t="s">
        <v>1862</v>
      </c>
      <c r="C922" t="s">
        <v>99</v>
      </c>
      <c r="D922">
        <v>2</v>
      </c>
      <c r="E922" s="1">
        <v>45869</v>
      </c>
      <c r="F922" t="s">
        <v>658</v>
      </c>
      <c r="G922">
        <v>2</v>
      </c>
      <c r="H922" t="s">
        <v>569</v>
      </c>
      <c r="I922" t="s">
        <v>570</v>
      </c>
      <c r="J922" t="str">
        <f t="shared" si="42"/>
        <v>July</v>
      </c>
      <c r="K922" t="str">
        <f t="shared" si="43"/>
        <v>Q3</v>
      </c>
      <c r="L922">
        <f t="shared" si="44"/>
        <v>2025</v>
      </c>
    </row>
    <row r="923" spans="1:12" x14ac:dyDescent="0.3">
      <c r="A923" t="s">
        <v>1864</v>
      </c>
      <c r="B923" t="s">
        <v>1862</v>
      </c>
      <c r="C923" t="s">
        <v>99</v>
      </c>
      <c r="D923">
        <v>3</v>
      </c>
      <c r="E923" s="1">
        <v>45875</v>
      </c>
      <c r="F923" t="s">
        <v>656</v>
      </c>
      <c r="G923">
        <v>3</v>
      </c>
      <c r="H923" t="s">
        <v>578</v>
      </c>
      <c r="I923" t="s">
        <v>570</v>
      </c>
      <c r="J923" t="str">
        <f t="shared" si="42"/>
        <v>August</v>
      </c>
      <c r="K923" t="str">
        <f t="shared" si="43"/>
        <v>Q3</v>
      </c>
      <c r="L923">
        <f t="shared" si="44"/>
        <v>2025</v>
      </c>
    </row>
    <row r="924" spans="1:12" x14ac:dyDescent="0.3">
      <c r="A924" t="s">
        <v>1865</v>
      </c>
      <c r="B924" t="s">
        <v>1862</v>
      </c>
      <c r="C924" t="s">
        <v>99</v>
      </c>
      <c r="D924">
        <v>4</v>
      </c>
      <c r="E924" s="1">
        <v>45885</v>
      </c>
      <c r="F924" t="s">
        <v>670</v>
      </c>
      <c r="G924">
        <v>3</v>
      </c>
      <c r="H924" t="s">
        <v>578</v>
      </c>
      <c r="I924" t="s">
        <v>570</v>
      </c>
      <c r="J924" t="str">
        <f t="shared" si="42"/>
        <v>August</v>
      </c>
      <c r="K924" t="str">
        <f t="shared" si="43"/>
        <v>Q3</v>
      </c>
      <c r="L924">
        <f t="shared" si="44"/>
        <v>2025</v>
      </c>
    </row>
    <row r="925" spans="1:12" x14ac:dyDescent="0.3">
      <c r="A925" t="s">
        <v>1866</v>
      </c>
      <c r="B925" t="s">
        <v>1867</v>
      </c>
      <c r="C925" t="s">
        <v>240</v>
      </c>
      <c r="D925">
        <v>1</v>
      </c>
      <c r="E925" s="1">
        <v>45963</v>
      </c>
      <c r="G925">
        <v>1</v>
      </c>
      <c r="H925" t="s">
        <v>569</v>
      </c>
      <c r="I925" t="s">
        <v>570</v>
      </c>
      <c r="J925" t="str">
        <f t="shared" si="42"/>
        <v>November</v>
      </c>
      <c r="K925" t="str">
        <f t="shared" si="43"/>
        <v>Q4</v>
      </c>
      <c r="L925">
        <f t="shared" si="44"/>
        <v>2025</v>
      </c>
    </row>
    <row r="926" spans="1:12" x14ac:dyDescent="0.3">
      <c r="A926" t="s">
        <v>1868</v>
      </c>
      <c r="B926" t="s">
        <v>1869</v>
      </c>
      <c r="C926" t="s">
        <v>166</v>
      </c>
      <c r="D926">
        <v>1</v>
      </c>
      <c r="E926" s="1">
        <v>45791</v>
      </c>
      <c r="F926" t="s">
        <v>575</v>
      </c>
      <c r="G926">
        <v>3</v>
      </c>
      <c r="H926" t="s">
        <v>578</v>
      </c>
      <c r="I926" t="s">
        <v>570</v>
      </c>
      <c r="J926" t="str">
        <f t="shared" si="42"/>
        <v>May</v>
      </c>
      <c r="K926" t="str">
        <f t="shared" si="43"/>
        <v>Q2</v>
      </c>
      <c r="L926">
        <f t="shared" si="44"/>
        <v>2025</v>
      </c>
    </row>
    <row r="927" spans="1:12" x14ac:dyDescent="0.3">
      <c r="A927" t="s">
        <v>1870</v>
      </c>
      <c r="B927" t="s">
        <v>1869</v>
      </c>
      <c r="C927" t="s">
        <v>166</v>
      </c>
      <c r="D927">
        <v>2</v>
      </c>
      <c r="E927" s="1">
        <v>45797</v>
      </c>
      <c r="F927" t="s">
        <v>575</v>
      </c>
      <c r="G927">
        <v>2</v>
      </c>
      <c r="H927" t="s">
        <v>569</v>
      </c>
      <c r="I927" t="s">
        <v>570</v>
      </c>
      <c r="J927" t="str">
        <f t="shared" si="42"/>
        <v>May</v>
      </c>
      <c r="K927" t="str">
        <f t="shared" si="43"/>
        <v>Q2</v>
      </c>
      <c r="L927">
        <f t="shared" si="44"/>
        <v>2025</v>
      </c>
    </row>
    <row r="928" spans="1:12" x14ac:dyDescent="0.3">
      <c r="A928" t="s">
        <v>1871</v>
      </c>
      <c r="B928" t="s">
        <v>1869</v>
      </c>
      <c r="C928" t="s">
        <v>166</v>
      </c>
      <c r="D928">
        <v>3</v>
      </c>
      <c r="E928" s="1">
        <v>45802</v>
      </c>
      <c r="F928" t="s">
        <v>638</v>
      </c>
      <c r="G928">
        <v>1</v>
      </c>
      <c r="H928" t="s">
        <v>569</v>
      </c>
      <c r="I928" t="s">
        <v>570</v>
      </c>
      <c r="J928" t="str">
        <f t="shared" si="42"/>
        <v>May</v>
      </c>
      <c r="K928" t="str">
        <f t="shared" si="43"/>
        <v>Q2</v>
      </c>
      <c r="L928">
        <f t="shared" si="44"/>
        <v>2025</v>
      </c>
    </row>
    <row r="929" spans="1:12" x14ac:dyDescent="0.3">
      <c r="A929" t="s">
        <v>1872</v>
      </c>
      <c r="B929" t="s">
        <v>1869</v>
      </c>
      <c r="C929" t="s">
        <v>166</v>
      </c>
      <c r="D929">
        <v>4</v>
      </c>
      <c r="E929" s="1">
        <v>45808</v>
      </c>
      <c r="F929" t="s">
        <v>572</v>
      </c>
      <c r="G929">
        <v>1</v>
      </c>
      <c r="H929" t="s">
        <v>569</v>
      </c>
      <c r="I929" t="s">
        <v>570</v>
      </c>
      <c r="J929" t="str">
        <f t="shared" si="42"/>
        <v>May</v>
      </c>
      <c r="K929" t="str">
        <f t="shared" si="43"/>
        <v>Q2</v>
      </c>
      <c r="L929">
        <f t="shared" si="44"/>
        <v>2025</v>
      </c>
    </row>
    <row r="930" spans="1:12" x14ac:dyDescent="0.3">
      <c r="A930" t="s">
        <v>1873</v>
      </c>
      <c r="B930" t="s">
        <v>457</v>
      </c>
      <c r="C930" t="s">
        <v>32</v>
      </c>
      <c r="D930">
        <v>1</v>
      </c>
      <c r="E930" s="1">
        <v>45770</v>
      </c>
      <c r="G930">
        <v>3</v>
      </c>
      <c r="H930" t="s">
        <v>578</v>
      </c>
      <c r="I930" t="s">
        <v>570</v>
      </c>
      <c r="J930" t="str">
        <f t="shared" si="42"/>
        <v>April</v>
      </c>
      <c r="K930" t="str">
        <f t="shared" si="43"/>
        <v>Q2</v>
      </c>
      <c r="L930">
        <f t="shared" si="44"/>
        <v>2025</v>
      </c>
    </row>
    <row r="931" spans="1:12" x14ac:dyDescent="0.3">
      <c r="A931" t="s">
        <v>1874</v>
      </c>
      <c r="B931" t="s">
        <v>457</v>
      </c>
      <c r="C931" t="s">
        <v>32</v>
      </c>
      <c r="D931">
        <v>2</v>
      </c>
      <c r="E931" s="1">
        <v>45779</v>
      </c>
      <c r="F931" t="s">
        <v>596</v>
      </c>
      <c r="G931">
        <v>5</v>
      </c>
      <c r="H931" t="s">
        <v>581</v>
      </c>
      <c r="I931" t="s">
        <v>570</v>
      </c>
      <c r="J931" t="str">
        <f t="shared" si="42"/>
        <v>May</v>
      </c>
      <c r="K931" t="str">
        <f t="shared" si="43"/>
        <v>Q2</v>
      </c>
      <c r="L931">
        <f t="shared" si="44"/>
        <v>2025</v>
      </c>
    </row>
    <row r="932" spans="1:12" x14ac:dyDescent="0.3">
      <c r="A932" t="s">
        <v>1875</v>
      </c>
      <c r="B932" t="s">
        <v>1876</v>
      </c>
      <c r="C932" t="s">
        <v>123</v>
      </c>
      <c r="D932">
        <v>1</v>
      </c>
      <c r="E932" s="1">
        <v>45788</v>
      </c>
      <c r="F932" t="s">
        <v>592</v>
      </c>
      <c r="G932">
        <v>2</v>
      </c>
      <c r="H932" t="s">
        <v>569</v>
      </c>
      <c r="I932" t="s">
        <v>570</v>
      </c>
      <c r="J932" t="str">
        <f t="shared" si="42"/>
        <v>May</v>
      </c>
      <c r="K932" t="str">
        <f t="shared" si="43"/>
        <v>Q2</v>
      </c>
      <c r="L932">
        <f t="shared" si="44"/>
        <v>2025</v>
      </c>
    </row>
    <row r="933" spans="1:12" x14ac:dyDescent="0.3">
      <c r="A933" t="s">
        <v>1877</v>
      </c>
      <c r="B933" t="s">
        <v>1876</v>
      </c>
      <c r="C933" t="s">
        <v>123</v>
      </c>
      <c r="D933">
        <v>2</v>
      </c>
      <c r="E933" s="1">
        <v>45799</v>
      </c>
      <c r="F933" t="s">
        <v>766</v>
      </c>
      <c r="G933">
        <v>3</v>
      </c>
      <c r="H933" t="s">
        <v>578</v>
      </c>
      <c r="I933" t="s">
        <v>570</v>
      </c>
      <c r="J933" t="str">
        <f t="shared" si="42"/>
        <v>May</v>
      </c>
      <c r="K933" t="str">
        <f t="shared" si="43"/>
        <v>Q2</v>
      </c>
      <c r="L933">
        <f t="shared" si="44"/>
        <v>2025</v>
      </c>
    </row>
    <row r="934" spans="1:12" x14ac:dyDescent="0.3">
      <c r="A934" t="s">
        <v>1878</v>
      </c>
      <c r="B934" t="s">
        <v>1879</v>
      </c>
      <c r="C934" t="s">
        <v>88</v>
      </c>
      <c r="D934">
        <v>1</v>
      </c>
      <c r="E934" s="1">
        <v>45747</v>
      </c>
      <c r="F934" t="s">
        <v>572</v>
      </c>
      <c r="G934">
        <v>1</v>
      </c>
      <c r="H934" t="s">
        <v>569</v>
      </c>
      <c r="I934" t="s">
        <v>570</v>
      </c>
      <c r="J934" t="str">
        <f t="shared" si="42"/>
        <v>March</v>
      </c>
      <c r="K934" t="str">
        <f t="shared" si="43"/>
        <v>Q1</v>
      </c>
      <c r="L934">
        <f t="shared" si="44"/>
        <v>2025</v>
      </c>
    </row>
    <row r="935" spans="1:12" x14ac:dyDescent="0.3">
      <c r="A935" t="s">
        <v>1880</v>
      </c>
      <c r="B935" t="s">
        <v>1879</v>
      </c>
      <c r="C935" t="s">
        <v>88</v>
      </c>
      <c r="D935">
        <v>2</v>
      </c>
      <c r="E935" s="1">
        <v>45759</v>
      </c>
      <c r="F935" t="s">
        <v>572</v>
      </c>
      <c r="G935">
        <v>2</v>
      </c>
      <c r="H935" t="s">
        <v>569</v>
      </c>
      <c r="I935" t="s">
        <v>570</v>
      </c>
      <c r="J935" t="str">
        <f t="shared" si="42"/>
        <v>April</v>
      </c>
      <c r="K935" t="str">
        <f t="shared" si="43"/>
        <v>Q2</v>
      </c>
      <c r="L935">
        <f t="shared" si="44"/>
        <v>2025</v>
      </c>
    </row>
    <row r="936" spans="1:12" x14ac:dyDescent="0.3">
      <c r="A936" t="s">
        <v>1881</v>
      </c>
      <c r="B936" t="s">
        <v>1882</v>
      </c>
      <c r="C936" t="s">
        <v>133</v>
      </c>
      <c r="D936">
        <v>1</v>
      </c>
      <c r="E936" s="1">
        <v>45698</v>
      </c>
      <c r="F936" t="s">
        <v>625</v>
      </c>
      <c r="G936">
        <v>1</v>
      </c>
      <c r="H936" t="s">
        <v>569</v>
      </c>
      <c r="I936" t="s">
        <v>570</v>
      </c>
      <c r="J936" t="str">
        <f t="shared" si="42"/>
        <v>February</v>
      </c>
      <c r="K936" t="str">
        <f t="shared" si="43"/>
        <v>Q1</v>
      </c>
      <c r="L936">
        <f t="shared" si="44"/>
        <v>2025</v>
      </c>
    </row>
    <row r="937" spans="1:12" x14ac:dyDescent="0.3">
      <c r="A937" t="s">
        <v>1883</v>
      </c>
      <c r="B937" t="s">
        <v>1882</v>
      </c>
      <c r="C937" t="s">
        <v>133</v>
      </c>
      <c r="D937">
        <v>2</v>
      </c>
      <c r="E937" s="1">
        <v>45703</v>
      </c>
      <c r="F937" t="s">
        <v>592</v>
      </c>
      <c r="G937">
        <v>2</v>
      </c>
      <c r="H937" t="s">
        <v>569</v>
      </c>
      <c r="I937" t="s">
        <v>570</v>
      </c>
      <c r="J937" t="str">
        <f t="shared" si="42"/>
        <v>February</v>
      </c>
      <c r="K937" t="str">
        <f t="shared" si="43"/>
        <v>Q1</v>
      </c>
      <c r="L937">
        <f t="shared" si="44"/>
        <v>2025</v>
      </c>
    </row>
    <row r="938" spans="1:12" x14ac:dyDescent="0.3">
      <c r="A938" t="s">
        <v>1884</v>
      </c>
      <c r="B938" t="s">
        <v>471</v>
      </c>
      <c r="C938" t="s">
        <v>58</v>
      </c>
      <c r="D938">
        <v>1</v>
      </c>
      <c r="E938" s="1">
        <v>45807</v>
      </c>
      <c r="F938" t="s">
        <v>605</v>
      </c>
      <c r="G938">
        <v>3</v>
      </c>
      <c r="H938" t="s">
        <v>578</v>
      </c>
      <c r="I938" t="s">
        <v>597</v>
      </c>
      <c r="J938" t="str">
        <f t="shared" si="42"/>
        <v>May</v>
      </c>
      <c r="K938" t="str">
        <f t="shared" si="43"/>
        <v>Q2</v>
      </c>
      <c r="L938">
        <f t="shared" si="44"/>
        <v>2025</v>
      </c>
    </row>
    <row r="939" spans="1:12" x14ac:dyDescent="0.3">
      <c r="A939" t="s">
        <v>1885</v>
      </c>
      <c r="B939" t="s">
        <v>471</v>
      </c>
      <c r="C939" t="s">
        <v>58</v>
      </c>
      <c r="D939">
        <v>2</v>
      </c>
      <c r="E939" s="1">
        <v>45811</v>
      </c>
      <c r="F939" t="s">
        <v>605</v>
      </c>
      <c r="G939">
        <v>4</v>
      </c>
      <c r="H939" t="s">
        <v>581</v>
      </c>
      <c r="I939" t="s">
        <v>570</v>
      </c>
      <c r="J939" t="str">
        <f t="shared" si="42"/>
        <v>June</v>
      </c>
      <c r="K939" t="str">
        <f t="shared" si="43"/>
        <v>Q2</v>
      </c>
      <c r="L939">
        <f t="shared" si="44"/>
        <v>2025</v>
      </c>
    </row>
    <row r="940" spans="1:12" x14ac:dyDescent="0.3">
      <c r="A940" t="s">
        <v>1886</v>
      </c>
      <c r="B940" t="s">
        <v>471</v>
      </c>
      <c r="C940" t="s">
        <v>58</v>
      </c>
      <c r="D940">
        <v>3</v>
      </c>
      <c r="E940" s="1">
        <v>45815</v>
      </c>
      <c r="F940" t="s">
        <v>572</v>
      </c>
      <c r="G940">
        <v>4</v>
      </c>
      <c r="H940" t="s">
        <v>581</v>
      </c>
      <c r="I940" t="s">
        <v>570</v>
      </c>
      <c r="J940" t="str">
        <f t="shared" si="42"/>
        <v>June</v>
      </c>
      <c r="K940" t="str">
        <f t="shared" si="43"/>
        <v>Q2</v>
      </c>
      <c r="L940">
        <f t="shared" si="44"/>
        <v>2025</v>
      </c>
    </row>
    <row r="941" spans="1:12" x14ac:dyDescent="0.3">
      <c r="A941" t="s">
        <v>1887</v>
      </c>
      <c r="B941" t="s">
        <v>509</v>
      </c>
      <c r="C941" t="s">
        <v>240</v>
      </c>
      <c r="D941">
        <v>1</v>
      </c>
      <c r="E941" s="1">
        <v>45961</v>
      </c>
      <c r="F941" t="s">
        <v>663</v>
      </c>
      <c r="G941">
        <v>5</v>
      </c>
      <c r="H941" t="s">
        <v>581</v>
      </c>
      <c r="I941" t="s">
        <v>570</v>
      </c>
      <c r="J941" t="str">
        <f t="shared" si="42"/>
        <v>October</v>
      </c>
      <c r="K941" t="str">
        <f t="shared" si="43"/>
        <v>Q4</v>
      </c>
      <c r="L941">
        <f t="shared" si="44"/>
        <v>2025</v>
      </c>
    </row>
    <row r="942" spans="1:12" x14ac:dyDescent="0.3">
      <c r="A942" t="s">
        <v>1888</v>
      </c>
      <c r="B942" t="s">
        <v>509</v>
      </c>
      <c r="C942" t="s">
        <v>240</v>
      </c>
      <c r="D942">
        <v>2</v>
      </c>
      <c r="E942" s="1">
        <v>45966</v>
      </c>
      <c r="F942" t="s">
        <v>586</v>
      </c>
      <c r="G942">
        <v>4</v>
      </c>
      <c r="H942" t="s">
        <v>581</v>
      </c>
      <c r="I942" t="s">
        <v>570</v>
      </c>
      <c r="J942" t="str">
        <f t="shared" si="42"/>
        <v>November</v>
      </c>
      <c r="K942" t="str">
        <f t="shared" si="43"/>
        <v>Q4</v>
      </c>
      <c r="L942">
        <f t="shared" si="44"/>
        <v>2025</v>
      </c>
    </row>
    <row r="943" spans="1:12" x14ac:dyDescent="0.3">
      <c r="A943" t="s">
        <v>1889</v>
      </c>
      <c r="B943" t="s">
        <v>1890</v>
      </c>
      <c r="C943" t="s">
        <v>195</v>
      </c>
      <c r="D943">
        <v>1</v>
      </c>
      <c r="E943" s="1">
        <v>45855</v>
      </c>
      <c r="F943" t="s">
        <v>586</v>
      </c>
      <c r="G943">
        <v>1</v>
      </c>
      <c r="H943" t="s">
        <v>569</v>
      </c>
      <c r="I943" t="s">
        <v>570</v>
      </c>
      <c r="J943" t="str">
        <f t="shared" si="42"/>
        <v>July</v>
      </c>
      <c r="K943" t="str">
        <f t="shared" si="43"/>
        <v>Q3</v>
      </c>
      <c r="L943">
        <f t="shared" si="44"/>
        <v>2025</v>
      </c>
    </row>
    <row r="944" spans="1:12" x14ac:dyDescent="0.3">
      <c r="A944" t="s">
        <v>1891</v>
      </c>
      <c r="B944" t="s">
        <v>1890</v>
      </c>
      <c r="C944" t="s">
        <v>195</v>
      </c>
      <c r="D944">
        <v>2</v>
      </c>
      <c r="E944" s="1">
        <v>45867</v>
      </c>
      <c r="F944" t="s">
        <v>612</v>
      </c>
      <c r="G944">
        <v>1</v>
      </c>
      <c r="H944" t="s">
        <v>569</v>
      </c>
      <c r="I944" t="s">
        <v>570</v>
      </c>
      <c r="J944" t="str">
        <f t="shared" si="42"/>
        <v>July</v>
      </c>
      <c r="K944" t="str">
        <f t="shared" si="43"/>
        <v>Q3</v>
      </c>
      <c r="L944">
        <f t="shared" si="44"/>
        <v>2025</v>
      </c>
    </row>
    <row r="945" spans="1:12" x14ac:dyDescent="0.3">
      <c r="A945" t="s">
        <v>1892</v>
      </c>
      <c r="B945" t="s">
        <v>1893</v>
      </c>
      <c r="C945" t="s">
        <v>45</v>
      </c>
      <c r="D945">
        <v>1</v>
      </c>
      <c r="E945" s="1">
        <v>45850</v>
      </c>
      <c r="F945" t="s">
        <v>592</v>
      </c>
      <c r="G945">
        <v>1</v>
      </c>
      <c r="H945" t="s">
        <v>569</v>
      </c>
      <c r="I945" t="s">
        <v>570</v>
      </c>
      <c r="J945" t="str">
        <f t="shared" si="42"/>
        <v>July</v>
      </c>
      <c r="K945" t="str">
        <f t="shared" si="43"/>
        <v>Q3</v>
      </c>
      <c r="L945">
        <f t="shared" si="44"/>
        <v>2025</v>
      </c>
    </row>
    <row r="946" spans="1:12" x14ac:dyDescent="0.3">
      <c r="A946" t="s">
        <v>1894</v>
      </c>
      <c r="B946" t="s">
        <v>1893</v>
      </c>
      <c r="C946" t="s">
        <v>45</v>
      </c>
      <c r="D946">
        <v>2</v>
      </c>
      <c r="E946" s="1">
        <v>45857</v>
      </c>
      <c r="F946" t="s">
        <v>592</v>
      </c>
      <c r="G946">
        <v>2</v>
      </c>
      <c r="H946" t="s">
        <v>569</v>
      </c>
      <c r="I946" t="s">
        <v>597</v>
      </c>
      <c r="J946" t="str">
        <f t="shared" si="42"/>
        <v>July</v>
      </c>
      <c r="K946" t="str">
        <f t="shared" si="43"/>
        <v>Q3</v>
      </c>
      <c r="L946">
        <f t="shared" si="44"/>
        <v>2025</v>
      </c>
    </row>
    <row r="947" spans="1:12" x14ac:dyDescent="0.3">
      <c r="A947" t="s">
        <v>1895</v>
      </c>
      <c r="B947" t="s">
        <v>130</v>
      </c>
      <c r="C947" t="s">
        <v>37</v>
      </c>
      <c r="D947">
        <v>1</v>
      </c>
      <c r="E947" s="1">
        <v>45712</v>
      </c>
      <c r="F947" t="s">
        <v>596</v>
      </c>
      <c r="G947">
        <v>4</v>
      </c>
      <c r="H947" t="s">
        <v>581</v>
      </c>
      <c r="I947" t="s">
        <v>570</v>
      </c>
      <c r="J947" t="str">
        <f t="shared" si="42"/>
        <v>February</v>
      </c>
      <c r="K947" t="str">
        <f t="shared" si="43"/>
        <v>Q1</v>
      </c>
      <c r="L947">
        <f t="shared" si="44"/>
        <v>2025</v>
      </c>
    </row>
    <row r="948" spans="1:12" x14ac:dyDescent="0.3">
      <c r="A948" t="s">
        <v>1896</v>
      </c>
      <c r="B948" t="s">
        <v>1897</v>
      </c>
      <c r="C948" t="s">
        <v>156</v>
      </c>
      <c r="D948">
        <v>1</v>
      </c>
      <c r="E948" s="1">
        <v>45732</v>
      </c>
      <c r="F948" t="s">
        <v>766</v>
      </c>
      <c r="G948">
        <v>1</v>
      </c>
      <c r="H948" t="s">
        <v>569</v>
      </c>
      <c r="I948" t="s">
        <v>570</v>
      </c>
      <c r="J948" t="str">
        <f t="shared" si="42"/>
        <v>March</v>
      </c>
      <c r="K948" t="str">
        <f t="shared" si="43"/>
        <v>Q1</v>
      </c>
      <c r="L948">
        <f t="shared" si="44"/>
        <v>2025</v>
      </c>
    </row>
    <row r="949" spans="1:12" x14ac:dyDescent="0.3">
      <c r="A949" t="s">
        <v>1898</v>
      </c>
      <c r="B949" t="s">
        <v>1897</v>
      </c>
      <c r="C949" t="s">
        <v>156</v>
      </c>
      <c r="D949">
        <v>2</v>
      </c>
      <c r="E949" s="1">
        <v>45743</v>
      </c>
      <c r="F949" t="s">
        <v>766</v>
      </c>
      <c r="G949">
        <v>1</v>
      </c>
      <c r="H949" t="s">
        <v>569</v>
      </c>
      <c r="I949" t="s">
        <v>570</v>
      </c>
      <c r="J949" t="str">
        <f t="shared" si="42"/>
        <v>March</v>
      </c>
      <c r="K949" t="str">
        <f t="shared" si="43"/>
        <v>Q1</v>
      </c>
      <c r="L949">
        <f t="shared" si="44"/>
        <v>2025</v>
      </c>
    </row>
    <row r="950" spans="1:12" x14ac:dyDescent="0.3">
      <c r="A950" t="s">
        <v>1899</v>
      </c>
      <c r="B950" t="s">
        <v>384</v>
      </c>
      <c r="C950" t="s">
        <v>183</v>
      </c>
      <c r="D950">
        <v>1</v>
      </c>
      <c r="E950" s="1">
        <v>45862</v>
      </c>
      <c r="F950" t="s">
        <v>656</v>
      </c>
      <c r="G950">
        <v>4</v>
      </c>
      <c r="H950" t="s">
        <v>581</v>
      </c>
      <c r="I950" t="s">
        <v>570</v>
      </c>
      <c r="J950" t="str">
        <f t="shared" si="42"/>
        <v>July</v>
      </c>
      <c r="K950" t="str">
        <f t="shared" si="43"/>
        <v>Q3</v>
      </c>
      <c r="L950">
        <f t="shared" si="44"/>
        <v>2025</v>
      </c>
    </row>
    <row r="951" spans="1:12" x14ac:dyDescent="0.3">
      <c r="A951" t="s">
        <v>1900</v>
      </c>
      <c r="B951" t="s">
        <v>384</v>
      </c>
      <c r="C951" t="s">
        <v>183</v>
      </c>
      <c r="D951">
        <v>2</v>
      </c>
      <c r="E951" s="1">
        <v>45872</v>
      </c>
      <c r="F951" t="s">
        <v>584</v>
      </c>
      <c r="G951">
        <v>5</v>
      </c>
      <c r="H951" t="s">
        <v>581</v>
      </c>
      <c r="I951" t="s">
        <v>570</v>
      </c>
      <c r="J951" t="str">
        <f t="shared" si="42"/>
        <v>August</v>
      </c>
      <c r="K951" t="str">
        <f t="shared" si="43"/>
        <v>Q3</v>
      </c>
      <c r="L951">
        <f t="shared" si="44"/>
        <v>2025</v>
      </c>
    </row>
    <row r="952" spans="1:12" x14ac:dyDescent="0.3">
      <c r="A952" t="s">
        <v>1901</v>
      </c>
      <c r="B952" t="s">
        <v>384</v>
      </c>
      <c r="C952" t="s">
        <v>183</v>
      </c>
      <c r="D952">
        <v>3</v>
      </c>
      <c r="E952" s="1">
        <v>45877</v>
      </c>
      <c r="F952" t="s">
        <v>656</v>
      </c>
      <c r="G952">
        <v>5</v>
      </c>
      <c r="H952" t="s">
        <v>581</v>
      </c>
      <c r="I952" t="s">
        <v>597</v>
      </c>
      <c r="J952" t="str">
        <f t="shared" si="42"/>
        <v>August</v>
      </c>
      <c r="K952" t="str">
        <f t="shared" si="43"/>
        <v>Q3</v>
      </c>
      <c r="L952">
        <f t="shared" si="44"/>
        <v>2025</v>
      </c>
    </row>
    <row r="953" spans="1:12" x14ac:dyDescent="0.3">
      <c r="A953" t="s">
        <v>1902</v>
      </c>
      <c r="B953" t="s">
        <v>384</v>
      </c>
      <c r="C953" t="s">
        <v>183</v>
      </c>
      <c r="D953">
        <v>4</v>
      </c>
      <c r="E953" s="1">
        <v>45882</v>
      </c>
      <c r="F953" t="s">
        <v>670</v>
      </c>
      <c r="G953">
        <v>4</v>
      </c>
      <c r="H953" t="s">
        <v>581</v>
      </c>
      <c r="I953" t="s">
        <v>570</v>
      </c>
      <c r="J953" t="str">
        <f t="shared" si="42"/>
        <v>August</v>
      </c>
      <c r="K953" t="str">
        <f t="shared" si="43"/>
        <v>Q3</v>
      </c>
      <c r="L953">
        <f t="shared" si="44"/>
        <v>2025</v>
      </c>
    </row>
    <row r="954" spans="1:12" x14ac:dyDescent="0.3">
      <c r="A954" t="s">
        <v>1903</v>
      </c>
      <c r="B954" t="s">
        <v>1904</v>
      </c>
      <c r="C954" t="s">
        <v>292</v>
      </c>
      <c r="D954">
        <v>1</v>
      </c>
      <c r="E954" s="1">
        <v>45718</v>
      </c>
      <c r="F954" t="s">
        <v>572</v>
      </c>
      <c r="G954">
        <v>3</v>
      </c>
      <c r="H954" t="s">
        <v>578</v>
      </c>
      <c r="I954" t="s">
        <v>570</v>
      </c>
      <c r="J954" t="str">
        <f t="shared" si="42"/>
        <v>March</v>
      </c>
      <c r="K954" t="str">
        <f t="shared" si="43"/>
        <v>Q1</v>
      </c>
      <c r="L954">
        <f t="shared" si="44"/>
        <v>2025</v>
      </c>
    </row>
    <row r="955" spans="1:12" x14ac:dyDescent="0.3">
      <c r="A955" t="s">
        <v>1905</v>
      </c>
      <c r="B955" t="s">
        <v>1904</v>
      </c>
      <c r="C955" t="s">
        <v>292</v>
      </c>
      <c r="D955">
        <v>2</v>
      </c>
      <c r="E955" s="1">
        <v>45726</v>
      </c>
      <c r="F955" t="s">
        <v>586</v>
      </c>
      <c r="G955">
        <v>3</v>
      </c>
      <c r="H955" t="s">
        <v>578</v>
      </c>
      <c r="I955" t="s">
        <v>570</v>
      </c>
      <c r="J955" t="str">
        <f t="shared" si="42"/>
        <v>March</v>
      </c>
      <c r="K955" t="str">
        <f t="shared" si="43"/>
        <v>Q1</v>
      </c>
      <c r="L955">
        <f t="shared" si="44"/>
        <v>2025</v>
      </c>
    </row>
    <row r="956" spans="1:12" x14ac:dyDescent="0.3">
      <c r="A956" t="s">
        <v>1906</v>
      </c>
      <c r="B956" t="s">
        <v>1907</v>
      </c>
      <c r="C956" t="s">
        <v>326</v>
      </c>
      <c r="D956">
        <v>1</v>
      </c>
      <c r="E956" s="1">
        <v>45767</v>
      </c>
      <c r="F956" t="s">
        <v>621</v>
      </c>
      <c r="G956">
        <v>1</v>
      </c>
      <c r="H956" t="s">
        <v>569</v>
      </c>
      <c r="I956" t="s">
        <v>570</v>
      </c>
      <c r="J956" t="str">
        <f t="shared" si="42"/>
        <v>April</v>
      </c>
      <c r="K956" t="str">
        <f t="shared" si="43"/>
        <v>Q2</v>
      </c>
      <c r="L956">
        <f t="shared" si="44"/>
        <v>2025</v>
      </c>
    </row>
    <row r="957" spans="1:12" x14ac:dyDescent="0.3">
      <c r="A957" t="s">
        <v>1908</v>
      </c>
      <c r="B957" t="s">
        <v>1909</v>
      </c>
      <c r="C957" t="s">
        <v>37</v>
      </c>
      <c r="D957">
        <v>1</v>
      </c>
      <c r="E957" s="1">
        <v>45709</v>
      </c>
      <c r="F957" t="s">
        <v>580</v>
      </c>
      <c r="G957">
        <v>1</v>
      </c>
      <c r="H957" t="s">
        <v>569</v>
      </c>
      <c r="I957" t="s">
        <v>570</v>
      </c>
      <c r="J957" t="str">
        <f t="shared" si="42"/>
        <v>February</v>
      </c>
      <c r="K957" t="str">
        <f t="shared" si="43"/>
        <v>Q1</v>
      </c>
      <c r="L957">
        <f t="shared" si="44"/>
        <v>2025</v>
      </c>
    </row>
    <row r="958" spans="1:12" x14ac:dyDescent="0.3">
      <c r="A958" t="s">
        <v>1910</v>
      </c>
      <c r="B958" t="s">
        <v>424</v>
      </c>
      <c r="C958" t="s">
        <v>292</v>
      </c>
      <c r="D958">
        <v>1</v>
      </c>
      <c r="E958" s="1">
        <v>45727</v>
      </c>
      <c r="F958" t="s">
        <v>580</v>
      </c>
      <c r="G958">
        <v>4</v>
      </c>
      <c r="H958" t="s">
        <v>581</v>
      </c>
      <c r="I958" t="s">
        <v>570</v>
      </c>
      <c r="J958" t="str">
        <f t="shared" si="42"/>
        <v>March</v>
      </c>
      <c r="K958" t="str">
        <f t="shared" si="43"/>
        <v>Q1</v>
      </c>
      <c r="L958">
        <f t="shared" si="44"/>
        <v>2025</v>
      </c>
    </row>
    <row r="959" spans="1:12" x14ac:dyDescent="0.3">
      <c r="A959" t="s">
        <v>1911</v>
      </c>
      <c r="B959" t="s">
        <v>424</v>
      </c>
      <c r="C959" t="s">
        <v>292</v>
      </c>
      <c r="D959">
        <v>2</v>
      </c>
      <c r="E959" s="1">
        <v>45738</v>
      </c>
      <c r="F959" t="s">
        <v>596</v>
      </c>
      <c r="G959">
        <v>4</v>
      </c>
      <c r="H959" t="s">
        <v>581</v>
      </c>
      <c r="I959" t="s">
        <v>570</v>
      </c>
      <c r="J959" t="str">
        <f t="shared" si="42"/>
        <v>March</v>
      </c>
      <c r="K959" t="str">
        <f t="shared" si="43"/>
        <v>Q1</v>
      </c>
      <c r="L959">
        <f t="shared" si="44"/>
        <v>2025</v>
      </c>
    </row>
    <row r="960" spans="1:12" x14ac:dyDescent="0.3">
      <c r="A960" t="s">
        <v>1912</v>
      </c>
      <c r="B960" t="s">
        <v>1913</v>
      </c>
      <c r="C960" t="s">
        <v>27</v>
      </c>
      <c r="D960">
        <v>1</v>
      </c>
      <c r="E960" s="1">
        <v>45888</v>
      </c>
      <c r="F960" t="s">
        <v>584</v>
      </c>
      <c r="G960">
        <v>2</v>
      </c>
      <c r="H960" t="s">
        <v>569</v>
      </c>
      <c r="I960" t="s">
        <v>570</v>
      </c>
      <c r="J960" t="str">
        <f t="shared" si="42"/>
        <v>August</v>
      </c>
      <c r="K960" t="str">
        <f t="shared" si="43"/>
        <v>Q3</v>
      </c>
      <c r="L960">
        <f t="shared" si="44"/>
        <v>2025</v>
      </c>
    </row>
    <row r="961" spans="1:12" x14ac:dyDescent="0.3">
      <c r="A961" t="s">
        <v>1914</v>
      </c>
      <c r="B961" t="s">
        <v>1913</v>
      </c>
      <c r="C961" t="s">
        <v>27</v>
      </c>
      <c r="D961">
        <v>2</v>
      </c>
      <c r="E961" s="1">
        <v>45898</v>
      </c>
      <c r="F961" t="s">
        <v>766</v>
      </c>
      <c r="G961">
        <v>2</v>
      </c>
      <c r="H961" t="s">
        <v>569</v>
      </c>
      <c r="I961" t="s">
        <v>570</v>
      </c>
      <c r="J961" t="str">
        <f t="shared" si="42"/>
        <v>August</v>
      </c>
      <c r="K961" t="str">
        <f t="shared" si="43"/>
        <v>Q3</v>
      </c>
      <c r="L961">
        <f t="shared" si="44"/>
        <v>2025</v>
      </c>
    </row>
    <row r="962" spans="1:12" x14ac:dyDescent="0.3">
      <c r="A962" t="s">
        <v>1915</v>
      </c>
      <c r="B962" t="s">
        <v>1916</v>
      </c>
      <c r="C962" t="s">
        <v>16</v>
      </c>
      <c r="D962">
        <v>1</v>
      </c>
      <c r="E962" s="1">
        <v>45759</v>
      </c>
      <c r="F962" t="s">
        <v>596</v>
      </c>
      <c r="G962">
        <v>3</v>
      </c>
      <c r="H962" t="s">
        <v>578</v>
      </c>
      <c r="I962" t="s">
        <v>570</v>
      </c>
      <c r="J962" t="str">
        <f t="shared" ref="J962:J1025" si="45">TEXT(E962,"mmmm")</f>
        <v>April</v>
      </c>
      <c r="K962" t="str">
        <f t="shared" ref="K962:K1025" si="46">"Q"&amp;ROUNDUP(MONTH(E962)/3,0)</f>
        <v>Q2</v>
      </c>
      <c r="L962">
        <f t="shared" ref="L962:L1025" si="47">YEAR(E962)</f>
        <v>2025</v>
      </c>
    </row>
    <row r="963" spans="1:12" x14ac:dyDescent="0.3">
      <c r="A963" t="s">
        <v>1917</v>
      </c>
      <c r="B963" t="s">
        <v>1916</v>
      </c>
      <c r="C963" t="s">
        <v>16</v>
      </c>
      <c r="D963">
        <v>2</v>
      </c>
      <c r="E963" s="1">
        <v>45766</v>
      </c>
      <c r="F963" t="s">
        <v>636</v>
      </c>
      <c r="G963">
        <v>3</v>
      </c>
      <c r="H963" t="s">
        <v>578</v>
      </c>
      <c r="I963" t="s">
        <v>570</v>
      </c>
      <c r="J963" t="str">
        <f t="shared" si="45"/>
        <v>April</v>
      </c>
      <c r="K963" t="str">
        <f t="shared" si="46"/>
        <v>Q2</v>
      </c>
      <c r="L963">
        <f t="shared" si="47"/>
        <v>2025</v>
      </c>
    </row>
    <row r="964" spans="1:12" x14ac:dyDescent="0.3">
      <c r="A964" t="s">
        <v>1918</v>
      </c>
      <c r="B964" t="s">
        <v>1919</v>
      </c>
      <c r="C964" t="s">
        <v>37</v>
      </c>
      <c r="D964">
        <v>1</v>
      </c>
      <c r="E964" s="1">
        <v>45715</v>
      </c>
      <c r="F964" t="s">
        <v>580</v>
      </c>
      <c r="G964">
        <v>3</v>
      </c>
      <c r="H964" t="s">
        <v>578</v>
      </c>
      <c r="I964" t="s">
        <v>570</v>
      </c>
      <c r="J964" t="str">
        <f t="shared" si="45"/>
        <v>February</v>
      </c>
      <c r="K964" t="str">
        <f t="shared" si="46"/>
        <v>Q1</v>
      </c>
      <c r="L964">
        <f t="shared" si="47"/>
        <v>2025</v>
      </c>
    </row>
    <row r="965" spans="1:12" x14ac:dyDescent="0.3">
      <c r="A965" t="s">
        <v>1920</v>
      </c>
      <c r="B965" t="s">
        <v>1919</v>
      </c>
      <c r="C965" t="s">
        <v>37</v>
      </c>
      <c r="D965">
        <v>2</v>
      </c>
      <c r="E965" s="1">
        <v>45723</v>
      </c>
      <c r="G965">
        <v>3</v>
      </c>
      <c r="H965" t="s">
        <v>578</v>
      </c>
      <c r="I965" t="s">
        <v>570</v>
      </c>
      <c r="J965" t="str">
        <f t="shared" si="45"/>
        <v>March</v>
      </c>
      <c r="K965" t="str">
        <f t="shared" si="46"/>
        <v>Q1</v>
      </c>
      <c r="L965">
        <f t="shared" si="47"/>
        <v>2025</v>
      </c>
    </row>
    <row r="966" spans="1:12" x14ac:dyDescent="0.3">
      <c r="A966" t="s">
        <v>1921</v>
      </c>
      <c r="B966" t="s">
        <v>1919</v>
      </c>
      <c r="C966" t="s">
        <v>37</v>
      </c>
      <c r="D966">
        <v>3</v>
      </c>
      <c r="E966" s="1">
        <v>45730</v>
      </c>
      <c r="F966" t="s">
        <v>596</v>
      </c>
      <c r="G966">
        <v>5</v>
      </c>
      <c r="H966" t="s">
        <v>581</v>
      </c>
      <c r="I966" t="s">
        <v>570</v>
      </c>
      <c r="J966" t="str">
        <f t="shared" si="45"/>
        <v>March</v>
      </c>
      <c r="K966" t="str">
        <f t="shared" si="46"/>
        <v>Q1</v>
      </c>
      <c r="L966">
        <f t="shared" si="47"/>
        <v>2025</v>
      </c>
    </row>
    <row r="967" spans="1:12" x14ac:dyDescent="0.3">
      <c r="A967" t="s">
        <v>1922</v>
      </c>
      <c r="B967" t="s">
        <v>1919</v>
      </c>
      <c r="C967" t="s">
        <v>37</v>
      </c>
      <c r="D967">
        <v>4</v>
      </c>
      <c r="E967" s="1">
        <v>45742</v>
      </c>
      <c r="F967" t="s">
        <v>568</v>
      </c>
      <c r="G967">
        <v>4</v>
      </c>
      <c r="H967" t="s">
        <v>581</v>
      </c>
      <c r="I967" t="s">
        <v>570</v>
      </c>
      <c r="J967" t="str">
        <f t="shared" si="45"/>
        <v>March</v>
      </c>
      <c r="K967" t="str">
        <f t="shared" si="46"/>
        <v>Q1</v>
      </c>
      <c r="L967">
        <f t="shared" si="47"/>
        <v>2025</v>
      </c>
    </row>
    <row r="968" spans="1:12" x14ac:dyDescent="0.3">
      <c r="A968" t="s">
        <v>1923</v>
      </c>
      <c r="B968" t="s">
        <v>365</v>
      </c>
      <c r="C968" t="s">
        <v>108</v>
      </c>
      <c r="D968">
        <v>1</v>
      </c>
      <c r="E968" s="1">
        <v>45755</v>
      </c>
      <c r="F968" t="s">
        <v>572</v>
      </c>
      <c r="G968">
        <v>2</v>
      </c>
      <c r="H968" t="s">
        <v>569</v>
      </c>
      <c r="I968" t="s">
        <v>570</v>
      </c>
      <c r="J968" t="str">
        <f t="shared" si="45"/>
        <v>April</v>
      </c>
      <c r="K968" t="str">
        <f t="shared" si="46"/>
        <v>Q2</v>
      </c>
      <c r="L968">
        <f t="shared" si="47"/>
        <v>2025</v>
      </c>
    </row>
    <row r="969" spans="1:12" x14ac:dyDescent="0.3">
      <c r="A969" t="s">
        <v>1924</v>
      </c>
      <c r="B969" t="s">
        <v>365</v>
      </c>
      <c r="C969" t="s">
        <v>108</v>
      </c>
      <c r="D969">
        <v>2</v>
      </c>
      <c r="E969" s="1">
        <v>45765</v>
      </c>
      <c r="F969" t="s">
        <v>577</v>
      </c>
      <c r="G969">
        <v>4</v>
      </c>
      <c r="H969" t="s">
        <v>581</v>
      </c>
      <c r="I969" t="s">
        <v>570</v>
      </c>
      <c r="J969" t="str">
        <f t="shared" si="45"/>
        <v>April</v>
      </c>
      <c r="K969" t="str">
        <f t="shared" si="46"/>
        <v>Q2</v>
      </c>
      <c r="L969">
        <f t="shared" si="47"/>
        <v>2025</v>
      </c>
    </row>
    <row r="970" spans="1:12" x14ac:dyDescent="0.3">
      <c r="A970" t="s">
        <v>1925</v>
      </c>
      <c r="B970" t="s">
        <v>1926</v>
      </c>
      <c r="C970" t="s">
        <v>108</v>
      </c>
      <c r="D970">
        <v>1</v>
      </c>
      <c r="E970" s="1">
        <v>45753</v>
      </c>
      <c r="F970" t="s">
        <v>596</v>
      </c>
      <c r="G970">
        <v>1</v>
      </c>
      <c r="H970" t="s">
        <v>569</v>
      </c>
      <c r="I970" t="s">
        <v>570</v>
      </c>
      <c r="J970" t="str">
        <f t="shared" si="45"/>
        <v>April</v>
      </c>
      <c r="K970" t="str">
        <f t="shared" si="46"/>
        <v>Q2</v>
      </c>
      <c r="L970">
        <f t="shared" si="47"/>
        <v>2025</v>
      </c>
    </row>
    <row r="971" spans="1:12" x14ac:dyDescent="0.3">
      <c r="A971" t="s">
        <v>1927</v>
      </c>
      <c r="B971" t="s">
        <v>1928</v>
      </c>
      <c r="C971" t="s">
        <v>240</v>
      </c>
      <c r="D971">
        <v>1</v>
      </c>
      <c r="E971" s="1">
        <v>45956</v>
      </c>
      <c r="F971" t="s">
        <v>596</v>
      </c>
      <c r="G971">
        <v>1</v>
      </c>
      <c r="H971" t="s">
        <v>569</v>
      </c>
      <c r="I971" t="s">
        <v>570</v>
      </c>
      <c r="J971" t="str">
        <f t="shared" si="45"/>
        <v>October</v>
      </c>
      <c r="K971" t="str">
        <f t="shared" si="46"/>
        <v>Q4</v>
      </c>
      <c r="L971">
        <f t="shared" si="47"/>
        <v>2025</v>
      </c>
    </row>
    <row r="972" spans="1:12" x14ac:dyDescent="0.3">
      <c r="A972" t="s">
        <v>1929</v>
      </c>
      <c r="B972" t="s">
        <v>1930</v>
      </c>
      <c r="C972" t="s">
        <v>195</v>
      </c>
      <c r="D972">
        <v>1</v>
      </c>
      <c r="E972" s="1">
        <v>45844</v>
      </c>
      <c r="F972" t="s">
        <v>586</v>
      </c>
      <c r="G972">
        <v>3</v>
      </c>
      <c r="H972" t="s">
        <v>578</v>
      </c>
      <c r="I972" t="s">
        <v>570</v>
      </c>
      <c r="J972" t="str">
        <f t="shared" si="45"/>
        <v>July</v>
      </c>
      <c r="K972" t="str">
        <f t="shared" si="46"/>
        <v>Q3</v>
      </c>
      <c r="L972">
        <f t="shared" si="47"/>
        <v>2025</v>
      </c>
    </row>
    <row r="973" spans="1:12" x14ac:dyDescent="0.3">
      <c r="A973" t="s">
        <v>1931</v>
      </c>
      <c r="B973" t="s">
        <v>1930</v>
      </c>
      <c r="C973" t="s">
        <v>195</v>
      </c>
      <c r="D973">
        <v>2</v>
      </c>
      <c r="E973" s="1">
        <v>45856</v>
      </c>
      <c r="G973">
        <v>5</v>
      </c>
      <c r="H973" t="s">
        <v>581</v>
      </c>
      <c r="I973" t="s">
        <v>570</v>
      </c>
      <c r="J973" t="str">
        <f t="shared" si="45"/>
        <v>July</v>
      </c>
      <c r="K973" t="str">
        <f t="shared" si="46"/>
        <v>Q3</v>
      </c>
      <c r="L973">
        <f t="shared" si="47"/>
        <v>2025</v>
      </c>
    </row>
    <row r="974" spans="1:12" x14ac:dyDescent="0.3">
      <c r="A974" t="s">
        <v>1932</v>
      </c>
      <c r="B974" t="s">
        <v>1930</v>
      </c>
      <c r="C974" t="s">
        <v>195</v>
      </c>
      <c r="D974">
        <v>3</v>
      </c>
      <c r="E974" s="1">
        <v>45864</v>
      </c>
      <c r="F974" t="s">
        <v>632</v>
      </c>
      <c r="G974">
        <v>4</v>
      </c>
      <c r="H974" t="s">
        <v>581</v>
      </c>
      <c r="I974" t="s">
        <v>570</v>
      </c>
      <c r="J974" t="str">
        <f t="shared" si="45"/>
        <v>July</v>
      </c>
      <c r="K974" t="str">
        <f t="shared" si="46"/>
        <v>Q3</v>
      </c>
      <c r="L974">
        <f t="shared" si="47"/>
        <v>2025</v>
      </c>
    </row>
    <row r="975" spans="1:12" x14ac:dyDescent="0.3">
      <c r="A975" t="s">
        <v>1933</v>
      </c>
      <c r="B975" t="s">
        <v>1934</v>
      </c>
      <c r="C975" t="s">
        <v>429</v>
      </c>
      <c r="D975">
        <v>1</v>
      </c>
      <c r="E975" s="1">
        <v>45769</v>
      </c>
      <c r="F975" t="s">
        <v>638</v>
      </c>
      <c r="G975">
        <v>1</v>
      </c>
      <c r="H975" t="s">
        <v>569</v>
      </c>
      <c r="I975" t="s">
        <v>570</v>
      </c>
      <c r="J975" t="str">
        <f t="shared" si="45"/>
        <v>April</v>
      </c>
      <c r="K975" t="str">
        <f t="shared" si="46"/>
        <v>Q2</v>
      </c>
      <c r="L975">
        <f t="shared" si="47"/>
        <v>2025</v>
      </c>
    </row>
    <row r="976" spans="1:12" x14ac:dyDescent="0.3">
      <c r="A976" t="s">
        <v>1935</v>
      </c>
      <c r="B976" t="s">
        <v>1934</v>
      </c>
      <c r="C976" t="s">
        <v>429</v>
      </c>
      <c r="D976">
        <v>2</v>
      </c>
      <c r="E976" s="1">
        <v>45779</v>
      </c>
      <c r="F976" t="s">
        <v>741</v>
      </c>
      <c r="G976">
        <v>1</v>
      </c>
      <c r="H976" t="s">
        <v>569</v>
      </c>
      <c r="I976" t="s">
        <v>570</v>
      </c>
      <c r="J976" t="str">
        <f t="shared" si="45"/>
        <v>May</v>
      </c>
      <c r="K976" t="str">
        <f t="shared" si="46"/>
        <v>Q2</v>
      </c>
      <c r="L976">
        <f t="shared" si="47"/>
        <v>2025</v>
      </c>
    </row>
    <row r="977" spans="1:12" x14ac:dyDescent="0.3">
      <c r="A977" t="s">
        <v>1936</v>
      </c>
      <c r="B977" t="s">
        <v>1934</v>
      </c>
      <c r="C977" t="s">
        <v>429</v>
      </c>
      <c r="D977">
        <v>3</v>
      </c>
      <c r="E977" s="1">
        <v>45783</v>
      </c>
      <c r="F977" t="s">
        <v>766</v>
      </c>
      <c r="G977">
        <v>1</v>
      </c>
      <c r="H977" t="s">
        <v>569</v>
      </c>
      <c r="I977" t="s">
        <v>608</v>
      </c>
      <c r="J977" t="str">
        <f t="shared" si="45"/>
        <v>May</v>
      </c>
      <c r="K977" t="str">
        <f t="shared" si="46"/>
        <v>Q2</v>
      </c>
      <c r="L977">
        <f t="shared" si="47"/>
        <v>2025</v>
      </c>
    </row>
    <row r="978" spans="1:12" x14ac:dyDescent="0.3">
      <c r="A978" t="s">
        <v>1937</v>
      </c>
      <c r="B978" t="s">
        <v>426</v>
      </c>
      <c r="C978" t="s">
        <v>374</v>
      </c>
      <c r="D978">
        <v>1</v>
      </c>
      <c r="E978" s="1">
        <v>45752</v>
      </c>
      <c r="F978" t="s">
        <v>596</v>
      </c>
      <c r="G978">
        <v>5</v>
      </c>
      <c r="H978" t="s">
        <v>581</v>
      </c>
      <c r="I978" t="s">
        <v>570</v>
      </c>
      <c r="J978" t="str">
        <f t="shared" si="45"/>
        <v>April</v>
      </c>
      <c r="K978" t="str">
        <f t="shared" si="46"/>
        <v>Q2</v>
      </c>
      <c r="L978">
        <f t="shared" si="47"/>
        <v>2025</v>
      </c>
    </row>
    <row r="979" spans="1:12" x14ac:dyDescent="0.3">
      <c r="A979" t="s">
        <v>1938</v>
      </c>
      <c r="B979" t="s">
        <v>426</v>
      </c>
      <c r="C979" t="s">
        <v>374</v>
      </c>
      <c r="D979">
        <v>2</v>
      </c>
      <c r="E979" s="1">
        <v>45762</v>
      </c>
      <c r="F979" t="s">
        <v>600</v>
      </c>
      <c r="G979">
        <v>4</v>
      </c>
      <c r="H979" t="s">
        <v>581</v>
      </c>
      <c r="I979" t="s">
        <v>570</v>
      </c>
      <c r="J979" t="str">
        <f t="shared" si="45"/>
        <v>April</v>
      </c>
      <c r="K979" t="str">
        <f t="shared" si="46"/>
        <v>Q2</v>
      </c>
      <c r="L979">
        <f t="shared" si="47"/>
        <v>2025</v>
      </c>
    </row>
    <row r="980" spans="1:12" x14ac:dyDescent="0.3">
      <c r="A980" t="s">
        <v>1939</v>
      </c>
      <c r="B980" t="s">
        <v>1940</v>
      </c>
      <c r="C980" t="s">
        <v>99</v>
      </c>
      <c r="D980">
        <v>1</v>
      </c>
      <c r="E980" s="1">
        <v>45864</v>
      </c>
      <c r="F980" t="s">
        <v>670</v>
      </c>
      <c r="G980">
        <v>3</v>
      </c>
      <c r="H980" t="s">
        <v>578</v>
      </c>
      <c r="I980" t="s">
        <v>570</v>
      </c>
      <c r="J980" t="str">
        <f t="shared" si="45"/>
        <v>July</v>
      </c>
      <c r="K980" t="str">
        <f t="shared" si="46"/>
        <v>Q3</v>
      </c>
      <c r="L980">
        <f t="shared" si="47"/>
        <v>2025</v>
      </c>
    </row>
    <row r="981" spans="1:12" x14ac:dyDescent="0.3">
      <c r="A981" t="s">
        <v>1941</v>
      </c>
      <c r="B981" t="s">
        <v>1940</v>
      </c>
      <c r="C981" t="s">
        <v>99</v>
      </c>
      <c r="D981">
        <v>2</v>
      </c>
      <c r="E981" s="1">
        <v>45871</v>
      </c>
      <c r="F981" t="s">
        <v>670</v>
      </c>
      <c r="G981">
        <v>3</v>
      </c>
      <c r="H981" t="s">
        <v>578</v>
      </c>
      <c r="I981" t="s">
        <v>570</v>
      </c>
      <c r="J981" t="str">
        <f t="shared" si="45"/>
        <v>August</v>
      </c>
      <c r="K981" t="str">
        <f t="shared" si="46"/>
        <v>Q3</v>
      </c>
      <c r="L981">
        <f t="shared" si="47"/>
        <v>2025</v>
      </c>
    </row>
    <row r="982" spans="1:12" x14ac:dyDescent="0.3">
      <c r="A982" t="s">
        <v>1942</v>
      </c>
      <c r="B982" t="s">
        <v>1940</v>
      </c>
      <c r="C982" t="s">
        <v>99</v>
      </c>
      <c r="D982">
        <v>3</v>
      </c>
      <c r="E982" s="1">
        <v>45879</v>
      </c>
      <c r="F982" t="s">
        <v>649</v>
      </c>
      <c r="G982">
        <v>2</v>
      </c>
      <c r="H982" t="s">
        <v>569</v>
      </c>
      <c r="I982" t="s">
        <v>570</v>
      </c>
      <c r="J982" t="str">
        <f t="shared" si="45"/>
        <v>August</v>
      </c>
      <c r="K982" t="str">
        <f t="shared" si="46"/>
        <v>Q3</v>
      </c>
      <c r="L982">
        <f t="shared" si="47"/>
        <v>2025</v>
      </c>
    </row>
    <row r="983" spans="1:12" x14ac:dyDescent="0.3">
      <c r="A983" t="s">
        <v>1943</v>
      </c>
      <c r="B983" t="s">
        <v>1940</v>
      </c>
      <c r="C983" t="s">
        <v>99</v>
      </c>
      <c r="D983">
        <v>4</v>
      </c>
      <c r="E983" s="1">
        <v>45884</v>
      </c>
      <c r="F983" t="s">
        <v>584</v>
      </c>
      <c r="G983">
        <v>3</v>
      </c>
      <c r="H983" t="s">
        <v>578</v>
      </c>
      <c r="I983" t="s">
        <v>570</v>
      </c>
      <c r="J983" t="str">
        <f t="shared" si="45"/>
        <v>August</v>
      </c>
      <c r="K983" t="str">
        <f t="shared" si="46"/>
        <v>Q3</v>
      </c>
      <c r="L983">
        <f t="shared" si="47"/>
        <v>2025</v>
      </c>
    </row>
    <row r="984" spans="1:12" x14ac:dyDescent="0.3">
      <c r="A984" t="s">
        <v>1944</v>
      </c>
      <c r="B984" t="s">
        <v>1945</v>
      </c>
      <c r="C984" t="s">
        <v>58</v>
      </c>
      <c r="D984">
        <v>1</v>
      </c>
      <c r="E984" s="1">
        <v>45816</v>
      </c>
      <c r="F984" t="s">
        <v>577</v>
      </c>
      <c r="G984">
        <v>4</v>
      </c>
      <c r="H984" t="s">
        <v>581</v>
      </c>
      <c r="I984" t="s">
        <v>570</v>
      </c>
      <c r="J984" t="str">
        <f t="shared" si="45"/>
        <v>June</v>
      </c>
      <c r="K984" t="str">
        <f t="shared" si="46"/>
        <v>Q2</v>
      </c>
      <c r="L984">
        <f t="shared" si="47"/>
        <v>2025</v>
      </c>
    </row>
    <row r="985" spans="1:12" x14ac:dyDescent="0.3">
      <c r="A985" t="s">
        <v>1946</v>
      </c>
      <c r="B985" t="s">
        <v>1945</v>
      </c>
      <c r="C985" t="s">
        <v>58</v>
      </c>
      <c r="D985">
        <v>2</v>
      </c>
      <c r="E985" s="1">
        <v>45826</v>
      </c>
      <c r="F985" t="s">
        <v>612</v>
      </c>
      <c r="G985">
        <v>3</v>
      </c>
      <c r="H985" t="s">
        <v>578</v>
      </c>
      <c r="I985" t="s">
        <v>570</v>
      </c>
      <c r="J985" t="str">
        <f t="shared" si="45"/>
        <v>June</v>
      </c>
      <c r="K985" t="str">
        <f t="shared" si="46"/>
        <v>Q2</v>
      </c>
      <c r="L985">
        <f t="shared" si="47"/>
        <v>2025</v>
      </c>
    </row>
    <row r="986" spans="1:12" x14ac:dyDescent="0.3">
      <c r="A986" t="s">
        <v>1947</v>
      </c>
      <c r="B986" t="s">
        <v>1945</v>
      </c>
      <c r="C986" t="s">
        <v>58</v>
      </c>
      <c r="D986">
        <v>3</v>
      </c>
      <c r="E986" s="1">
        <v>45831</v>
      </c>
      <c r="F986" t="s">
        <v>625</v>
      </c>
      <c r="G986">
        <v>5</v>
      </c>
      <c r="H986" t="s">
        <v>581</v>
      </c>
      <c r="I986" t="s">
        <v>570</v>
      </c>
      <c r="J986" t="str">
        <f t="shared" si="45"/>
        <v>June</v>
      </c>
      <c r="K986" t="str">
        <f t="shared" si="46"/>
        <v>Q2</v>
      </c>
      <c r="L986">
        <f t="shared" si="47"/>
        <v>2025</v>
      </c>
    </row>
    <row r="987" spans="1:12" x14ac:dyDescent="0.3">
      <c r="A987" t="s">
        <v>1948</v>
      </c>
      <c r="B987" t="s">
        <v>1949</v>
      </c>
      <c r="C987" t="s">
        <v>183</v>
      </c>
      <c r="D987">
        <v>1</v>
      </c>
      <c r="E987" s="1">
        <v>45856</v>
      </c>
      <c r="F987" t="s">
        <v>658</v>
      </c>
      <c r="G987">
        <v>3</v>
      </c>
      <c r="H987" t="s">
        <v>578</v>
      </c>
      <c r="I987" t="s">
        <v>570</v>
      </c>
      <c r="J987" t="str">
        <f t="shared" si="45"/>
        <v>July</v>
      </c>
      <c r="K987" t="str">
        <f t="shared" si="46"/>
        <v>Q3</v>
      </c>
      <c r="L987">
        <f t="shared" si="47"/>
        <v>2025</v>
      </c>
    </row>
    <row r="988" spans="1:12" x14ac:dyDescent="0.3">
      <c r="A988" t="s">
        <v>1950</v>
      </c>
      <c r="B988" t="s">
        <v>501</v>
      </c>
      <c r="C988" t="s">
        <v>108</v>
      </c>
      <c r="D988">
        <v>1</v>
      </c>
      <c r="E988" s="1">
        <v>45758</v>
      </c>
      <c r="F988" t="s">
        <v>596</v>
      </c>
      <c r="G988">
        <v>2</v>
      </c>
      <c r="H988" t="s">
        <v>569</v>
      </c>
      <c r="I988" t="s">
        <v>570</v>
      </c>
      <c r="J988" t="str">
        <f t="shared" si="45"/>
        <v>April</v>
      </c>
      <c r="K988" t="str">
        <f t="shared" si="46"/>
        <v>Q2</v>
      </c>
      <c r="L988">
        <f t="shared" si="47"/>
        <v>2025</v>
      </c>
    </row>
    <row r="989" spans="1:12" x14ac:dyDescent="0.3">
      <c r="A989" t="s">
        <v>1951</v>
      </c>
      <c r="B989" t="s">
        <v>501</v>
      </c>
      <c r="C989" t="s">
        <v>108</v>
      </c>
      <c r="D989">
        <v>2</v>
      </c>
      <c r="E989" s="1">
        <v>45765</v>
      </c>
      <c r="F989" t="s">
        <v>621</v>
      </c>
      <c r="G989">
        <v>4</v>
      </c>
      <c r="H989" t="s">
        <v>581</v>
      </c>
      <c r="I989" t="s">
        <v>570</v>
      </c>
      <c r="J989" t="str">
        <f t="shared" si="45"/>
        <v>April</v>
      </c>
      <c r="K989" t="str">
        <f t="shared" si="46"/>
        <v>Q2</v>
      </c>
      <c r="L989">
        <f t="shared" si="47"/>
        <v>2025</v>
      </c>
    </row>
    <row r="990" spans="1:12" x14ac:dyDescent="0.3">
      <c r="A990" t="s">
        <v>1952</v>
      </c>
      <c r="B990" t="s">
        <v>501</v>
      </c>
      <c r="C990" t="s">
        <v>108</v>
      </c>
      <c r="D990">
        <v>3</v>
      </c>
      <c r="E990" s="1">
        <v>45769</v>
      </c>
      <c r="F990" t="s">
        <v>638</v>
      </c>
      <c r="G990">
        <v>4</v>
      </c>
      <c r="H990" t="s">
        <v>581</v>
      </c>
      <c r="I990" t="s">
        <v>570</v>
      </c>
      <c r="J990" t="str">
        <f t="shared" si="45"/>
        <v>April</v>
      </c>
      <c r="K990" t="str">
        <f t="shared" si="46"/>
        <v>Q2</v>
      </c>
      <c r="L990">
        <f t="shared" si="47"/>
        <v>2025</v>
      </c>
    </row>
    <row r="991" spans="1:12" x14ac:dyDescent="0.3">
      <c r="A991" t="s">
        <v>1953</v>
      </c>
      <c r="B991" t="s">
        <v>501</v>
      </c>
      <c r="C991" t="s">
        <v>108</v>
      </c>
      <c r="D991">
        <v>4</v>
      </c>
      <c r="E991" s="1">
        <v>45781</v>
      </c>
      <c r="F991" t="s">
        <v>621</v>
      </c>
      <c r="G991">
        <v>4</v>
      </c>
      <c r="H991" t="s">
        <v>581</v>
      </c>
      <c r="I991" t="s">
        <v>570</v>
      </c>
      <c r="J991" t="str">
        <f t="shared" si="45"/>
        <v>May</v>
      </c>
      <c r="K991" t="str">
        <f t="shared" si="46"/>
        <v>Q2</v>
      </c>
      <c r="L991">
        <f t="shared" si="47"/>
        <v>2025</v>
      </c>
    </row>
    <row r="992" spans="1:12" x14ac:dyDescent="0.3">
      <c r="A992" t="s">
        <v>1954</v>
      </c>
      <c r="B992" t="s">
        <v>225</v>
      </c>
      <c r="C992" t="s">
        <v>37</v>
      </c>
      <c r="D992">
        <v>1</v>
      </c>
      <c r="E992" s="1">
        <v>45723</v>
      </c>
      <c r="F992" t="s">
        <v>663</v>
      </c>
      <c r="G992">
        <v>4</v>
      </c>
      <c r="H992" t="s">
        <v>581</v>
      </c>
      <c r="I992" t="s">
        <v>570</v>
      </c>
      <c r="J992" t="str">
        <f t="shared" si="45"/>
        <v>March</v>
      </c>
      <c r="K992" t="str">
        <f t="shared" si="46"/>
        <v>Q1</v>
      </c>
      <c r="L992">
        <f t="shared" si="47"/>
        <v>2025</v>
      </c>
    </row>
    <row r="993" spans="1:12" x14ac:dyDescent="0.3">
      <c r="A993" t="s">
        <v>1955</v>
      </c>
      <c r="B993" t="s">
        <v>225</v>
      </c>
      <c r="C993" t="s">
        <v>37</v>
      </c>
      <c r="D993">
        <v>2</v>
      </c>
      <c r="E993" s="1">
        <v>45731</v>
      </c>
      <c r="F993" t="s">
        <v>572</v>
      </c>
      <c r="G993">
        <v>5</v>
      </c>
      <c r="H993" t="s">
        <v>581</v>
      </c>
      <c r="I993" t="s">
        <v>570</v>
      </c>
      <c r="J993" t="str">
        <f t="shared" si="45"/>
        <v>March</v>
      </c>
      <c r="K993" t="str">
        <f t="shared" si="46"/>
        <v>Q1</v>
      </c>
      <c r="L993">
        <f t="shared" si="47"/>
        <v>2025</v>
      </c>
    </row>
    <row r="994" spans="1:12" x14ac:dyDescent="0.3">
      <c r="A994" t="s">
        <v>1956</v>
      </c>
      <c r="B994" t="s">
        <v>225</v>
      </c>
      <c r="C994" t="s">
        <v>37</v>
      </c>
      <c r="D994">
        <v>3</v>
      </c>
      <c r="E994" s="1">
        <v>45742</v>
      </c>
      <c r="F994" t="s">
        <v>663</v>
      </c>
      <c r="G994">
        <v>4</v>
      </c>
      <c r="H994" t="s">
        <v>581</v>
      </c>
      <c r="I994" t="s">
        <v>570</v>
      </c>
      <c r="J994" t="str">
        <f t="shared" si="45"/>
        <v>March</v>
      </c>
      <c r="K994" t="str">
        <f t="shared" si="46"/>
        <v>Q1</v>
      </c>
      <c r="L994">
        <f t="shared" si="47"/>
        <v>2025</v>
      </c>
    </row>
    <row r="995" spans="1:12" x14ac:dyDescent="0.3">
      <c r="A995" t="s">
        <v>1957</v>
      </c>
      <c r="B995" t="s">
        <v>225</v>
      </c>
      <c r="C995" t="s">
        <v>37</v>
      </c>
      <c r="D995">
        <v>4</v>
      </c>
      <c r="E995" s="1">
        <v>45752</v>
      </c>
      <c r="F995" t="s">
        <v>663</v>
      </c>
      <c r="G995">
        <v>5</v>
      </c>
      <c r="H995" t="s">
        <v>581</v>
      </c>
      <c r="I995" t="s">
        <v>570</v>
      </c>
      <c r="J995" t="str">
        <f t="shared" si="45"/>
        <v>April</v>
      </c>
      <c r="K995" t="str">
        <f t="shared" si="46"/>
        <v>Q2</v>
      </c>
      <c r="L995">
        <f t="shared" si="47"/>
        <v>2025</v>
      </c>
    </row>
    <row r="996" spans="1:12" x14ac:dyDescent="0.3">
      <c r="A996" t="s">
        <v>1958</v>
      </c>
      <c r="B996" t="s">
        <v>1959</v>
      </c>
      <c r="C996" t="s">
        <v>201</v>
      </c>
      <c r="D996">
        <v>1</v>
      </c>
      <c r="E996" s="1">
        <v>45959</v>
      </c>
      <c r="F996" t="s">
        <v>625</v>
      </c>
      <c r="G996">
        <v>3</v>
      </c>
      <c r="H996" t="s">
        <v>578</v>
      </c>
      <c r="I996" t="s">
        <v>608</v>
      </c>
      <c r="J996" t="str">
        <f t="shared" si="45"/>
        <v>October</v>
      </c>
      <c r="K996" t="str">
        <f t="shared" si="46"/>
        <v>Q4</v>
      </c>
      <c r="L996">
        <f t="shared" si="47"/>
        <v>2025</v>
      </c>
    </row>
    <row r="997" spans="1:12" x14ac:dyDescent="0.3">
      <c r="A997" t="s">
        <v>1960</v>
      </c>
      <c r="B997" t="s">
        <v>1961</v>
      </c>
      <c r="C997" t="s">
        <v>51</v>
      </c>
      <c r="D997">
        <v>1</v>
      </c>
      <c r="E997" s="1">
        <v>45958</v>
      </c>
      <c r="F997" t="s">
        <v>568</v>
      </c>
      <c r="G997">
        <v>2</v>
      </c>
      <c r="H997" t="s">
        <v>569</v>
      </c>
      <c r="I997" t="s">
        <v>570</v>
      </c>
      <c r="J997" t="str">
        <f t="shared" si="45"/>
        <v>October</v>
      </c>
      <c r="K997" t="str">
        <f t="shared" si="46"/>
        <v>Q4</v>
      </c>
      <c r="L997">
        <f t="shared" si="47"/>
        <v>2025</v>
      </c>
    </row>
    <row r="998" spans="1:12" x14ac:dyDescent="0.3">
      <c r="A998" t="s">
        <v>1962</v>
      </c>
      <c r="B998" t="s">
        <v>1961</v>
      </c>
      <c r="C998" t="s">
        <v>51</v>
      </c>
      <c r="D998">
        <v>2</v>
      </c>
      <c r="E998" s="1">
        <v>45963</v>
      </c>
      <c r="F998" t="s">
        <v>568</v>
      </c>
      <c r="G998">
        <v>3</v>
      </c>
      <c r="H998" t="s">
        <v>578</v>
      </c>
      <c r="I998" t="s">
        <v>570</v>
      </c>
      <c r="J998" t="str">
        <f t="shared" si="45"/>
        <v>November</v>
      </c>
      <c r="K998" t="str">
        <f t="shared" si="46"/>
        <v>Q4</v>
      </c>
      <c r="L998">
        <f t="shared" si="47"/>
        <v>2025</v>
      </c>
    </row>
    <row r="999" spans="1:12" x14ac:dyDescent="0.3">
      <c r="A999" t="s">
        <v>1963</v>
      </c>
      <c r="B999" t="s">
        <v>1961</v>
      </c>
      <c r="C999" t="s">
        <v>51</v>
      </c>
      <c r="D999">
        <v>3</v>
      </c>
      <c r="E999" s="1">
        <v>45972</v>
      </c>
      <c r="F999" t="s">
        <v>580</v>
      </c>
      <c r="G999">
        <v>4</v>
      </c>
      <c r="H999" t="s">
        <v>581</v>
      </c>
      <c r="I999" t="s">
        <v>570</v>
      </c>
      <c r="J999" t="str">
        <f t="shared" si="45"/>
        <v>November</v>
      </c>
      <c r="K999" t="str">
        <f t="shared" si="46"/>
        <v>Q4</v>
      </c>
      <c r="L999">
        <f t="shared" si="47"/>
        <v>2025</v>
      </c>
    </row>
    <row r="1000" spans="1:12" x14ac:dyDescent="0.3">
      <c r="A1000" t="s">
        <v>1964</v>
      </c>
      <c r="B1000" t="s">
        <v>1961</v>
      </c>
      <c r="C1000" t="s">
        <v>51</v>
      </c>
      <c r="D1000">
        <v>4</v>
      </c>
      <c r="E1000" s="1">
        <v>45984</v>
      </c>
      <c r="F1000" t="s">
        <v>580</v>
      </c>
      <c r="G1000">
        <v>4</v>
      </c>
      <c r="H1000" t="s">
        <v>581</v>
      </c>
      <c r="I1000" t="s">
        <v>570</v>
      </c>
      <c r="J1000" t="str">
        <f t="shared" si="45"/>
        <v>November</v>
      </c>
      <c r="K1000" t="str">
        <f t="shared" si="46"/>
        <v>Q4</v>
      </c>
      <c r="L1000">
        <f t="shared" si="47"/>
        <v>2025</v>
      </c>
    </row>
    <row r="1001" spans="1:12" x14ac:dyDescent="0.3">
      <c r="A1001" t="s">
        <v>1965</v>
      </c>
      <c r="B1001" t="s">
        <v>1966</v>
      </c>
      <c r="C1001" t="s">
        <v>195</v>
      </c>
      <c r="D1001">
        <v>1</v>
      </c>
      <c r="E1001" s="1">
        <v>45850</v>
      </c>
      <c r="F1001" t="s">
        <v>584</v>
      </c>
      <c r="G1001">
        <v>4</v>
      </c>
      <c r="H1001" t="s">
        <v>581</v>
      </c>
      <c r="I1001" t="s">
        <v>597</v>
      </c>
      <c r="J1001" t="str">
        <f t="shared" si="45"/>
        <v>July</v>
      </c>
      <c r="K1001" t="str">
        <f t="shared" si="46"/>
        <v>Q3</v>
      </c>
      <c r="L1001">
        <f t="shared" si="47"/>
        <v>2025</v>
      </c>
    </row>
    <row r="1002" spans="1:12" x14ac:dyDescent="0.3">
      <c r="A1002" t="s">
        <v>1967</v>
      </c>
      <c r="B1002" t="s">
        <v>1966</v>
      </c>
      <c r="C1002" t="s">
        <v>195</v>
      </c>
      <c r="D1002">
        <v>2</v>
      </c>
      <c r="E1002" s="1">
        <v>45861</v>
      </c>
      <c r="F1002" t="s">
        <v>592</v>
      </c>
      <c r="G1002">
        <v>5</v>
      </c>
      <c r="H1002" t="s">
        <v>581</v>
      </c>
      <c r="I1002" t="s">
        <v>608</v>
      </c>
      <c r="J1002" t="str">
        <f t="shared" si="45"/>
        <v>July</v>
      </c>
      <c r="K1002" t="str">
        <f t="shared" si="46"/>
        <v>Q3</v>
      </c>
      <c r="L1002">
        <f t="shared" si="47"/>
        <v>2025</v>
      </c>
    </row>
    <row r="1003" spans="1:12" x14ac:dyDescent="0.3">
      <c r="A1003" t="s">
        <v>1968</v>
      </c>
      <c r="B1003" t="s">
        <v>1969</v>
      </c>
      <c r="C1003" t="s">
        <v>108</v>
      </c>
      <c r="D1003">
        <v>1</v>
      </c>
      <c r="E1003" s="1">
        <v>45752</v>
      </c>
      <c r="F1003" t="s">
        <v>575</v>
      </c>
      <c r="G1003">
        <v>2</v>
      </c>
      <c r="H1003" t="s">
        <v>569</v>
      </c>
      <c r="I1003" t="s">
        <v>570</v>
      </c>
      <c r="J1003" t="str">
        <f t="shared" si="45"/>
        <v>April</v>
      </c>
      <c r="K1003" t="str">
        <f t="shared" si="46"/>
        <v>Q2</v>
      </c>
      <c r="L1003">
        <f t="shared" si="47"/>
        <v>2025</v>
      </c>
    </row>
    <row r="1004" spans="1:12" x14ac:dyDescent="0.3">
      <c r="A1004" t="s">
        <v>1970</v>
      </c>
      <c r="B1004" t="s">
        <v>1969</v>
      </c>
      <c r="C1004" t="s">
        <v>108</v>
      </c>
      <c r="D1004">
        <v>2</v>
      </c>
      <c r="E1004" s="1">
        <v>45763</v>
      </c>
      <c r="F1004" t="s">
        <v>572</v>
      </c>
      <c r="G1004">
        <v>2</v>
      </c>
      <c r="H1004" t="s">
        <v>569</v>
      </c>
      <c r="I1004" t="s">
        <v>570</v>
      </c>
      <c r="J1004" t="str">
        <f t="shared" si="45"/>
        <v>April</v>
      </c>
      <c r="K1004" t="str">
        <f t="shared" si="46"/>
        <v>Q2</v>
      </c>
      <c r="L1004">
        <f t="shared" si="47"/>
        <v>2025</v>
      </c>
    </row>
    <row r="1005" spans="1:12" x14ac:dyDescent="0.3">
      <c r="A1005" t="s">
        <v>1971</v>
      </c>
      <c r="B1005" t="s">
        <v>1969</v>
      </c>
      <c r="C1005" t="s">
        <v>108</v>
      </c>
      <c r="D1005">
        <v>3</v>
      </c>
      <c r="E1005" s="1">
        <v>45770</v>
      </c>
      <c r="F1005" t="s">
        <v>621</v>
      </c>
      <c r="G1005">
        <v>1</v>
      </c>
      <c r="H1005" t="s">
        <v>569</v>
      </c>
      <c r="I1005" t="s">
        <v>570</v>
      </c>
      <c r="J1005" t="str">
        <f t="shared" si="45"/>
        <v>April</v>
      </c>
      <c r="K1005" t="str">
        <f t="shared" si="46"/>
        <v>Q2</v>
      </c>
      <c r="L1005">
        <f t="shared" si="47"/>
        <v>2025</v>
      </c>
    </row>
    <row r="1006" spans="1:12" x14ac:dyDescent="0.3">
      <c r="A1006" t="s">
        <v>1972</v>
      </c>
      <c r="B1006" t="s">
        <v>1973</v>
      </c>
      <c r="C1006" t="s">
        <v>1187</v>
      </c>
      <c r="D1006">
        <v>1</v>
      </c>
      <c r="E1006" s="1">
        <v>45890</v>
      </c>
      <c r="F1006" t="s">
        <v>577</v>
      </c>
      <c r="G1006">
        <v>3</v>
      </c>
      <c r="H1006" t="s">
        <v>578</v>
      </c>
      <c r="I1006" t="s">
        <v>570</v>
      </c>
      <c r="J1006" t="str">
        <f t="shared" si="45"/>
        <v>August</v>
      </c>
      <c r="K1006" t="str">
        <f t="shared" si="46"/>
        <v>Q3</v>
      </c>
      <c r="L1006">
        <f t="shared" si="47"/>
        <v>2025</v>
      </c>
    </row>
    <row r="1007" spans="1:12" x14ac:dyDescent="0.3">
      <c r="A1007" t="s">
        <v>1974</v>
      </c>
      <c r="B1007" t="s">
        <v>1975</v>
      </c>
      <c r="C1007" t="s">
        <v>429</v>
      </c>
      <c r="D1007">
        <v>1</v>
      </c>
      <c r="E1007" s="1">
        <v>45773</v>
      </c>
      <c r="F1007" t="s">
        <v>580</v>
      </c>
      <c r="G1007">
        <v>1</v>
      </c>
      <c r="H1007" t="s">
        <v>569</v>
      </c>
      <c r="I1007" t="s">
        <v>570</v>
      </c>
      <c r="J1007" t="str">
        <f t="shared" si="45"/>
        <v>April</v>
      </c>
      <c r="K1007" t="str">
        <f t="shared" si="46"/>
        <v>Q2</v>
      </c>
      <c r="L1007">
        <f t="shared" si="47"/>
        <v>2025</v>
      </c>
    </row>
    <row r="1008" spans="1:12" x14ac:dyDescent="0.3">
      <c r="A1008" t="s">
        <v>1976</v>
      </c>
      <c r="B1008" t="s">
        <v>1975</v>
      </c>
      <c r="C1008" t="s">
        <v>429</v>
      </c>
      <c r="D1008">
        <v>2</v>
      </c>
      <c r="E1008" s="1">
        <v>45780</v>
      </c>
      <c r="F1008" t="s">
        <v>580</v>
      </c>
      <c r="G1008">
        <v>2</v>
      </c>
      <c r="H1008" t="s">
        <v>569</v>
      </c>
      <c r="I1008" t="s">
        <v>570</v>
      </c>
      <c r="J1008" t="str">
        <f t="shared" si="45"/>
        <v>May</v>
      </c>
      <c r="K1008" t="str">
        <f t="shared" si="46"/>
        <v>Q2</v>
      </c>
      <c r="L1008">
        <f t="shared" si="47"/>
        <v>2025</v>
      </c>
    </row>
    <row r="1009" spans="1:12" x14ac:dyDescent="0.3">
      <c r="A1009" t="s">
        <v>1977</v>
      </c>
      <c r="B1009" t="s">
        <v>149</v>
      </c>
      <c r="C1009" t="s">
        <v>41</v>
      </c>
      <c r="D1009">
        <v>1</v>
      </c>
      <c r="E1009" s="1">
        <v>45825</v>
      </c>
      <c r="F1009" t="s">
        <v>603</v>
      </c>
      <c r="G1009">
        <v>3</v>
      </c>
      <c r="H1009" t="s">
        <v>578</v>
      </c>
      <c r="I1009" t="s">
        <v>570</v>
      </c>
      <c r="J1009" t="str">
        <f t="shared" si="45"/>
        <v>June</v>
      </c>
      <c r="K1009" t="str">
        <f t="shared" si="46"/>
        <v>Q2</v>
      </c>
      <c r="L1009">
        <f t="shared" si="47"/>
        <v>2025</v>
      </c>
    </row>
    <row r="1010" spans="1:12" x14ac:dyDescent="0.3">
      <c r="A1010" t="s">
        <v>1978</v>
      </c>
      <c r="B1010" t="s">
        <v>149</v>
      </c>
      <c r="C1010" t="s">
        <v>41</v>
      </c>
      <c r="D1010">
        <v>2</v>
      </c>
      <c r="E1010" s="1">
        <v>45836</v>
      </c>
      <c r="F1010" t="s">
        <v>603</v>
      </c>
      <c r="G1010">
        <v>4</v>
      </c>
      <c r="H1010" t="s">
        <v>581</v>
      </c>
      <c r="I1010" t="s">
        <v>570</v>
      </c>
      <c r="J1010" t="str">
        <f t="shared" si="45"/>
        <v>June</v>
      </c>
      <c r="K1010" t="str">
        <f t="shared" si="46"/>
        <v>Q2</v>
      </c>
      <c r="L1010">
        <f t="shared" si="47"/>
        <v>2025</v>
      </c>
    </row>
    <row r="1011" spans="1:12" x14ac:dyDescent="0.3">
      <c r="A1011" t="s">
        <v>1979</v>
      </c>
      <c r="B1011" t="s">
        <v>1980</v>
      </c>
      <c r="C1011" t="s">
        <v>99</v>
      </c>
      <c r="D1011">
        <v>1</v>
      </c>
      <c r="E1011" s="1">
        <v>45852</v>
      </c>
      <c r="F1011" t="s">
        <v>584</v>
      </c>
      <c r="G1011">
        <v>1</v>
      </c>
      <c r="H1011" t="s">
        <v>569</v>
      </c>
      <c r="I1011" t="s">
        <v>570</v>
      </c>
      <c r="J1011" t="str">
        <f t="shared" si="45"/>
        <v>July</v>
      </c>
      <c r="K1011" t="str">
        <f t="shared" si="46"/>
        <v>Q3</v>
      </c>
      <c r="L1011">
        <f t="shared" si="47"/>
        <v>2025</v>
      </c>
    </row>
    <row r="1012" spans="1:12" x14ac:dyDescent="0.3">
      <c r="A1012" t="s">
        <v>1981</v>
      </c>
      <c r="B1012" t="s">
        <v>1980</v>
      </c>
      <c r="C1012" t="s">
        <v>99</v>
      </c>
      <c r="D1012">
        <v>2</v>
      </c>
      <c r="E1012" s="1">
        <v>45860</v>
      </c>
      <c r="F1012" t="s">
        <v>625</v>
      </c>
      <c r="G1012">
        <v>2</v>
      </c>
      <c r="H1012" t="s">
        <v>569</v>
      </c>
      <c r="I1012" t="s">
        <v>570</v>
      </c>
      <c r="J1012" t="str">
        <f t="shared" si="45"/>
        <v>July</v>
      </c>
      <c r="K1012" t="str">
        <f t="shared" si="46"/>
        <v>Q3</v>
      </c>
      <c r="L1012">
        <f t="shared" si="47"/>
        <v>2025</v>
      </c>
    </row>
    <row r="1013" spans="1:12" x14ac:dyDescent="0.3">
      <c r="A1013" t="s">
        <v>1982</v>
      </c>
      <c r="B1013" t="s">
        <v>1980</v>
      </c>
      <c r="C1013" t="s">
        <v>99</v>
      </c>
      <c r="D1013">
        <v>3</v>
      </c>
      <c r="E1013" s="1">
        <v>45871</v>
      </c>
      <c r="F1013" t="s">
        <v>625</v>
      </c>
      <c r="G1013">
        <v>1</v>
      </c>
      <c r="H1013" t="s">
        <v>569</v>
      </c>
      <c r="I1013" t="s">
        <v>570</v>
      </c>
      <c r="J1013" t="str">
        <f t="shared" si="45"/>
        <v>August</v>
      </c>
      <c r="K1013" t="str">
        <f t="shared" si="46"/>
        <v>Q3</v>
      </c>
      <c r="L1013">
        <f t="shared" si="47"/>
        <v>2025</v>
      </c>
    </row>
    <row r="1014" spans="1:12" x14ac:dyDescent="0.3">
      <c r="A1014" t="s">
        <v>1983</v>
      </c>
      <c r="B1014" t="s">
        <v>1980</v>
      </c>
      <c r="C1014" t="s">
        <v>99</v>
      </c>
      <c r="D1014">
        <v>4</v>
      </c>
      <c r="E1014" s="1">
        <v>45877</v>
      </c>
      <c r="F1014" t="s">
        <v>584</v>
      </c>
      <c r="G1014">
        <v>1</v>
      </c>
      <c r="H1014" t="s">
        <v>569</v>
      </c>
      <c r="I1014" t="s">
        <v>570</v>
      </c>
      <c r="J1014" t="str">
        <f t="shared" si="45"/>
        <v>August</v>
      </c>
      <c r="K1014" t="str">
        <f t="shared" si="46"/>
        <v>Q3</v>
      </c>
      <c r="L1014">
        <f t="shared" si="47"/>
        <v>2025</v>
      </c>
    </row>
    <row r="1015" spans="1:12" x14ac:dyDescent="0.3">
      <c r="A1015" t="s">
        <v>1984</v>
      </c>
      <c r="B1015" t="s">
        <v>1985</v>
      </c>
      <c r="C1015" t="s">
        <v>251</v>
      </c>
      <c r="D1015">
        <v>1</v>
      </c>
      <c r="E1015" s="1">
        <v>45821</v>
      </c>
      <c r="F1015" t="s">
        <v>632</v>
      </c>
      <c r="G1015">
        <v>1</v>
      </c>
      <c r="H1015" t="s">
        <v>569</v>
      </c>
      <c r="I1015" t="s">
        <v>570</v>
      </c>
      <c r="J1015" t="str">
        <f t="shared" si="45"/>
        <v>June</v>
      </c>
      <c r="K1015" t="str">
        <f t="shared" si="46"/>
        <v>Q2</v>
      </c>
      <c r="L1015">
        <f t="shared" si="47"/>
        <v>2025</v>
      </c>
    </row>
    <row r="1016" spans="1:12" x14ac:dyDescent="0.3">
      <c r="A1016" t="s">
        <v>1986</v>
      </c>
      <c r="B1016" t="s">
        <v>1987</v>
      </c>
      <c r="C1016" t="s">
        <v>65</v>
      </c>
      <c r="D1016">
        <v>1</v>
      </c>
      <c r="E1016" s="1">
        <v>45939</v>
      </c>
      <c r="F1016" t="s">
        <v>663</v>
      </c>
      <c r="G1016">
        <v>2</v>
      </c>
      <c r="H1016" t="s">
        <v>569</v>
      </c>
      <c r="I1016" t="s">
        <v>570</v>
      </c>
      <c r="J1016" t="str">
        <f t="shared" si="45"/>
        <v>October</v>
      </c>
      <c r="K1016" t="str">
        <f t="shared" si="46"/>
        <v>Q4</v>
      </c>
      <c r="L1016">
        <f t="shared" si="47"/>
        <v>2025</v>
      </c>
    </row>
    <row r="1017" spans="1:12" x14ac:dyDescent="0.3">
      <c r="A1017" t="s">
        <v>1988</v>
      </c>
      <c r="B1017" t="s">
        <v>1987</v>
      </c>
      <c r="C1017" t="s">
        <v>65</v>
      </c>
      <c r="D1017">
        <v>2</v>
      </c>
      <c r="E1017" s="1">
        <v>45943</v>
      </c>
      <c r="F1017" t="s">
        <v>596</v>
      </c>
      <c r="G1017">
        <v>4</v>
      </c>
      <c r="H1017" t="s">
        <v>581</v>
      </c>
      <c r="I1017" t="s">
        <v>570</v>
      </c>
      <c r="J1017" t="str">
        <f t="shared" si="45"/>
        <v>October</v>
      </c>
      <c r="K1017" t="str">
        <f t="shared" si="46"/>
        <v>Q4</v>
      </c>
      <c r="L1017">
        <f t="shared" si="47"/>
        <v>2025</v>
      </c>
    </row>
    <row r="1018" spans="1:12" x14ac:dyDescent="0.3">
      <c r="A1018" t="s">
        <v>1989</v>
      </c>
      <c r="B1018" t="s">
        <v>1987</v>
      </c>
      <c r="C1018" t="s">
        <v>65</v>
      </c>
      <c r="D1018">
        <v>3</v>
      </c>
      <c r="E1018" s="1">
        <v>45951</v>
      </c>
      <c r="F1018" t="s">
        <v>586</v>
      </c>
      <c r="G1018">
        <v>3</v>
      </c>
      <c r="H1018" t="s">
        <v>578</v>
      </c>
      <c r="I1018" t="s">
        <v>570</v>
      </c>
      <c r="J1018" t="str">
        <f t="shared" si="45"/>
        <v>October</v>
      </c>
      <c r="K1018" t="str">
        <f t="shared" si="46"/>
        <v>Q4</v>
      </c>
      <c r="L1018">
        <f t="shared" si="47"/>
        <v>2025</v>
      </c>
    </row>
    <row r="1019" spans="1:12" x14ac:dyDescent="0.3">
      <c r="A1019" t="s">
        <v>1990</v>
      </c>
      <c r="B1019" t="s">
        <v>531</v>
      </c>
      <c r="C1019" t="s">
        <v>65</v>
      </c>
      <c r="D1019">
        <v>1</v>
      </c>
      <c r="E1019" s="1">
        <v>45934</v>
      </c>
      <c r="F1019" t="s">
        <v>580</v>
      </c>
      <c r="G1019">
        <v>4</v>
      </c>
      <c r="H1019" t="s">
        <v>581</v>
      </c>
      <c r="I1019" t="s">
        <v>570</v>
      </c>
      <c r="J1019" t="str">
        <f t="shared" si="45"/>
        <v>October</v>
      </c>
      <c r="K1019" t="str">
        <f t="shared" si="46"/>
        <v>Q4</v>
      </c>
      <c r="L1019">
        <f t="shared" si="47"/>
        <v>2025</v>
      </c>
    </row>
    <row r="1020" spans="1:12" x14ac:dyDescent="0.3">
      <c r="A1020" t="s">
        <v>1991</v>
      </c>
      <c r="B1020" t="s">
        <v>371</v>
      </c>
      <c r="C1020" t="s">
        <v>85</v>
      </c>
      <c r="D1020">
        <v>1</v>
      </c>
      <c r="E1020" s="1">
        <v>45857</v>
      </c>
      <c r="F1020" t="s">
        <v>580</v>
      </c>
      <c r="G1020">
        <v>5</v>
      </c>
      <c r="H1020" t="s">
        <v>581</v>
      </c>
      <c r="I1020" t="s">
        <v>570</v>
      </c>
      <c r="J1020" t="str">
        <f t="shared" si="45"/>
        <v>July</v>
      </c>
      <c r="K1020" t="str">
        <f t="shared" si="46"/>
        <v>Q3</v>
      </c>
      <c r="L1020">
        <f t="shared" si="47"/>
        <v>2025</v>
      </c>
    </row>
    <row r="1021" spans="1:12" x14ac:dyDescent="0.3">
      <c r="A1021" t="s">
        <v>1992</v>
      </c>
      <c r="B1021" t="s">
        <v>371</v>
      </c>
      <c r="C1021" t="s">
        <v>85</v>
      </c>
      <c r="D1021">
        <v>2</v>
      </c>
      <c r="E1021" s="1">
        <v>45866</v>
      </c>
      <c r="F1021" t="s">
        <v>596</v>
      </c>
      <c r="G1021">
        <v>3</v>
      </c>
      <c r="H1021" t="s">
        <v>578</v>
      </c>
      <c r="I1021" t="s">
        <v>570</v>
      </c>
      <c r="J1021" t="str">
        <f t="shared" si="45"/>
        <v>July</v>
      </c>
      <c r="K1021" t="str">
        <f t="shared" si="46"/>
        <v>Q3</v>
      </c>
      <c r="L1021">
        <f t="shared" si="47"/>
        <v>2025</v>
      </c>
    </row>
    <row r="1022" spans="1:12" x14ac:dyDescent="0.3">
      <c r="A1022" t="s">
        <v>1993</v>
      </c>
      <c r="B1022" t="s">
        <v>371</v>
      </c>
      <c r="C1022" t="s">
        <v>85</v>
      </c>
      <c r="D1022">
        <v>3</v>
      </c>
      <c r="E1022" s="1">
        <v>45878</v>
      </c>
      <c r="F1022" t="s">
        <v>568</v>
      </c>
      <c r="G1022">
        <v>4</v>
      </c>
      <c r="H1022" t="s">
        <v>581</v>
      </c>
      <c r="I1022" t="s">
        <v>608</v>
      </c>
      <c r="J1022" t="str">
        <f t="shared" si="45"/>
        <v>August</v>
      </c>
      <c r="K1022" t="str">
        <f t="shared" si="46"/>
        <v>Q3</v>
      </c>
      <c r="L1022">
        <f t="shared" si="47"/>
        <v>2025</v>
      </c>
    </row>
    <row r="1023" spans="1:12" x14ac:dyDescent="0.3">
      <c r="A1023" t="s">
        <v>1994</v>
      </c>
      <c r="B1023" t="s">
        <v>371</v>
      </c>
      <c r="C1023" t="s">
        <v>85</v>
      </c>
      <c r="D1023">
        <v>4</v>
      </c>
      <c r="E1023" s="1">
        <v>45886</v>
      </c>
      <c r="F1023" t="s">
        <v>663</v>
      </c>
      <c r="G1023">
        <v>4</v>
      </c>
      <c r="H1023" t="s">
        <v>581</v>
      </c>
      <c r="I1023" t="s">
        <v>570</v>
      </c>
      <c r="J1023" t="str">
        <f t="shared" si="45"/>
        <v>August</v>
      </c>
      <c r="K1023" t="str">
        <f t="shared" si="46"/>
        <v>Q3</v>
      </c>
      <c r="L1023">
        <f t="shared" si="47"/>
        <v>2025</v>
      </c>
    </row>
    <row r="1024" spans="1:12" x14ac:dyDescent="0.3">
      <c r="A1024" t="s">
        <v>1995</v>
      </c>
      <c r="B1024" t="s">
        <v>1996</v>
      </c>
      <c r="C1024" t="s">
        <v>195</v>
      </c>
      <c r="D1024">
        <v>1</v>
      </c>
      <c r="E1024" s="1">
        <v>45858</v>
      </c>
      <c r="F1024" t="s">
        <v>575</v>
      </c>
      <c r="G1024">
        <v>1</v>
      </c>
      <c r="H1024" t="s">
        <v>569</v>
      </c>
      <c r="I1024" t="s">
        <v>570</v>
      </c>
      <c r="J1024" t="str">
        <f t="shared" si="45"/>
        <v>July</v>
      </c>
      <c r="K1024" t="str">
        <f t="shared" si="46"/>
        <v>Q3</v>
      </c>
      <c r="L1024">
        <f t="shared" si="47"/>
        <v>2025</v>
      </c>
    </row>
    <row r="1025" spans="1:12" x14ac:dyDescent="0.3">
      <c r="A1025" t="s">
        <v>1997</v>
      </c>
      <c r="B1025" t="s">
        <v>1996</v>
      </c>
      <c r="C1025" t="s">
        <v>195</v>
      </c>
      <c r="D1025">
        <v>2</v>
      </c>
      <c r="E1025" s="1">
        <v>45870</v>
      </c>
      <c r="F1025" t="s">
        <v>592</v>
      </c>
      <c r="G1025">
        <v>1</v>
      </c>
      <c r="H1025" t="s">
        <v>569</v>
      </c>
      <c r="I1025" t="s">
        <v>570</v>
      </c>
      <c r="J1025" t="str">
        <f t="shared" si="45"/>
        <v>August</v>
      </c>
      <c r="K1025" t="str">
        <f t="shared" si="46"/>
        <v>Q3</v>
      </c>
      <c r="L1025">
        <f t="shared" si="47"/>
        <v>2025</v>
      </c>
    </row>
    <row r="1026" spans="1:12" x14ac:dyDescent="0.3">
      <c r="A1026" t="s">
        <v>1998</v>
      </c>
      <c r="B1026" t="s">
        <v>447</v>
      </c>
      <c r="C1026" t="s">
        <v>240</v>
      </c>
      <c r="D1026">
        <v>1</v>
      </c>
      <c r="E1026" s="1">
        <v>45951</v>
      </c>
      <c r="F1026" t="s">
        <v>568</v>
      </c>
      <c r="G1026">
        <v>3</v>
      </c>
      <c r="H1026" t="s">
        <v>578</v>
      </c>
      <c r="I1026" t="s">
        <v>597</v>
      </c>
      <c r="J1026" t="str">
        <f t="shared" ref="J1026:J1089" si="48">TEXT(E1026,"mmmm")</f>
        <v>October</v>
      </c>
      <c r="K1026" t="str">
        <f t="shared" ref="K1026:K1089" si="49">"Q"&amp;ROUNDUP(MONTH(E1026)/3,0)</f>
        <v>Q4</v>
      </c>
      <c r="L1026">
        <f t="shared" ref="L1026:L1089" si="50">YEAR(E1026)</f>
        <v>2025</v>
      </c>
    </row>
    <row r="1027" spans="1:12" x14ac:dyDescent="0.3">
      <c r="A1027" t="s">
        <v>1999</v>
      </c>
      <c r="B1027" t="s">
        <v>447</v>
      </c>
      <c r="C1027" t="s">
        <v>240</v>
      </c>
      <c r="D1027">
        <v>2</v>
      </c>
      <c r="E1027" s="1">
        <v>45961</v>
      </c>
      <c r="F1027" t="s">
        <v>663</v>
      </c>
      <c r="G1027">
        <v>4</v>
      </c>
      <c r="H1027" t="s">
        <v>581</v>
      </c>
      <c r="I1027" t="s">
        <v>570</v>
      </c>
      <c r="J1027" t="str">
        <f t="shared" si="48"/>
        <v>October</v>
      </c>
      <c r="K1027" t="str">
        <f t="shared" si="49"/>
        <v>Q4</v>
      </c>
      <c r="L1027">
        <f t="shared" si="50"/>
        <v>2025</v>
      </c>
    </row>
    <row r="1028" spans="1:12" x14ac:dyDescent="0.3">
      <c r="A1028" t="s">
        <v>2000</v>
      </c>
      <c r="B1028" t="s">
        <v>2001</v>
      </c>
      <c r="C1028" t="s">
        <v>187</v>
      </c>
      <c r="D1028">
        <v>1</v>
      </c>
      <c r="E1028" s="1">
        <v>45827</v>
      </c>
      <c r="F1028" t="s">
        <v>596</v>
      </c>
      <c r="G1028">
        <v>4</v>
      </c>
      <c r="H1028" t="s">
        <v>581</v>
      </c>
      <c r="I1028" t="s">
        <v>570</v>
      </c>
      <c r="J1028" t="str">
        <f t="shared" si="48"/>
        <v>June</v>
      </c>
      <c r="K1028" t="str">
        <f t="shared" si="49"/>
        <v>Q2</v>
      </c>
      <c r="L1028">
        <f t="shared" si="50"/>
        <v>2025</v>
      </c>
    </row>
    <row r="1029" spans="1:12" x14ac:dyDescent="0.3">
      <c r="A1029" t="s">
        <v>2002</v>
      </c>
      <c r="B1029" t="s">
        <v>2003</v>
      </c>
      <c r="C1029" t="s">
        <v>92</v>
      </c>
      <c r="D1029">
        <v>1</v>
      </c>
      <c r="E1029" s="1">
        <v>45773</v>
      </c>
      <c r="F1029" t="s">
        <v>603</v>
      </c>
      <c r="G1029">
        <v>4</v>
      </c>
      <c r="H1029" t="s">
        <v>581</v>
      </c>
      <c r="I1029" t="s">
        <v>570</v>
      </c>
      <c r="J1029" t="str">
        <f t="shared" si="48"/>
        <v>April</v>
      </c>
      <c r="K1029" t="str">
        <f t="shared" si="49"/>
        <v>Q2</v>
      </c>
      <c r="L1029">
        <f t="shared" si="50"/>
        <v>2025</v>
      </c>
    </row>
    <row r="1030" spans="1:12" x14ac:dyDescent="0.3">
      <c r="A1030" t="s">
        <v>2004</v>
      </c>
      <c r="B1030" t="s">
        <v>2003</v>
      </c>
      <c r="C1030" t="s">
        <v>92</v>
      </c>
      <c r="D1030">
        <v>2</v>
      </c>
      <c r="E1030" s="1">
        <v>45781</v>
      </c>
      <c r="F1030" t="s">
        <v>625</v>
      </c>
      <c r="G1030">
        <v>4</v>
      </c>
      <c r="H1030" t="s">
        <v>581</v>
      </c>
      <c r="I1030" t="s">
        <v>597</v>
      </c>
      <c r="J1030" t="str">
        <f t="shared" si="48"/>
        <v>May</v>
      </c>
      <c r="K1030" t="str">
        <f t="shared" si="49"/>
        <v>Q2</v>
      </c>
      <c r="L1030">
        <f t="shared" si="50"/>
        <v>2025</v>
      </c>
    </row>
    <row r="1031" spans="1:12" x14ac:dyDescent="0.3">
      <c r="A1031" t="s">
        <v>2005</v>
      </c>
      <c r="B1031" t="s">
        <v>2006</v>
      </c>
      <c r="C1031" t="s">
        <v>195</v>
      </c>
      <c r="D1031">
        <v>1</v>
      </c>
      <c r="E1031" s="1">
        <v>45848</v>
      </c>
      <c r="F1031" t="s">
        <v>575</v>
      </c>
      <c r="G1031">
        <v>2</v>
      </c>
      <c r="H1031" t="s">
        <v>569</v>
      </c>
      <c r="I1031" t="s">
        <v>570</v>
      </c>
      <c r="J1031" t="str">
        <f t="shared" si="48"/>
        <v>July</v>
      </c>
      <c r="K1031" t="str">
        <f t="shared" si="49"/>
        <v>Q3</v>
      </c>
      <c r="L1031">
        <f t="shared" si="50"/>
        <v>2025</v>
      </c>
    </row>
    <row r="1032" spans="1:12" x14ac:dyDescent="0.3">
      <c r="A1032" t="s">
        <v>2007</v>
      </c>
      <c r="B1032" t="s">
        <v>2006</v>
      </c>
      <c r="C1032" t="s">
        <v>195</v>
      </c>
      <c r="D1032">
        <v>2</v>
      </c>
      <c r="E1032" s="1">
        <v>45856</v>
      </c>
      <c r="F1032" t="s">
        <v>612</v>
      </c>
      <c r="G1032">
        <v>3</v>
      </c>
      <c r="H1032" t="s">
        <v>578</v>
      </c>
      <c r="I1032" t="s">
        <v>570</v>
      </c>
      <c r="J1032" t="str">
        <f t="shared" si="48"/>
        <v>July</v>
      </c>
      <c r="K1032" t="str">
        <f t="shared" si="49"/>
        <v>Q3</v>
      </c>
      <c r="L1032">
        <f t="shared" si="50"/>
        <v>2025</v>
      </c>
    </row>
    <row r="1033" spans="1:12" x14ac:dyDescent="0.3">
      <c r="A1033" t="s">
        <v>2008</v>
      </c>
      <c r="B1033" t="s">
        <v>2009</v>
      </c>
      <c r="C1033" t="s">
        <v>166</v>
      </c>
      <c r="D1033">
        <v>1</v>
      </c>
      <c r="E1033" s="1">
        <v>45784</v>
      </c>
      <c r="F1033" t="s">
        <v>638</v>
      </c>
      <c r="G1033">
        <v>2</v>
      </c>
      <c r="H1033" t="s">
        <v>569</v>
      </c>
      <c r="I1033" t="s">
        <v>597</v>
      </c>
      <c r="J1033" t="str">
        <f t="shared" si="48"/>
        <v>May</v>
      </c>
      <c r="K1033" t="str">
        <f t="shared" si="49"/>
        <v>Q2</v>
      </c>
      <c r="L1033">
        <f t="shared" si="50"/>
        <v>2025</v>
      </c>
    </row>
    <row r="1034" spans="1:12" x14ac:dyDescent="0.3">
      <c r="A1034" t="s">
        <v>2010</v>
      </c>
      <c r="B1034" t="s">
        <v>455</v>
      </c>
      <c r="C1034" t="s">
        <v>32</v>
      </c>
      <c r="D1034">
        <v>1</v>
      </c>
      <c r="E1034" s="1">
        <v>45757</v>
      </c>
      <c r="F1034" t="s">
        <v>596</v>
      </c>
      <c r="G1034">
        <v>2</v>
      </c>
      <c r="H1034" t="s">
        <v>569</v>
      </c>
      <c r="I1034" t="s">
        <v>570</v>
      </c>
      <c r="J1034" t="str">
        <f t="shared" si="48"/>
        <v>April</v>
      </c>
      <c r="K1034" t="str">
        <f t="shared" si="49"/>
        <v>Q2</v>
      </c>
      <c r="L1034">
        <f t="shared" si="50"/>
        <v>2025</v>
      </c>
    </row>
    <row r="1035" spans="1:12" x14ac:dyDescent="0.3">
      <c r="A1035" t="s">
        <v>2011</v>
      </c>
      <c r="B1035" t="s">
        <v>455</v>
      </c>
      <c r="C1035" t="s">
        <v>32</v>
      </c>
      <c r="D1035">
        <v>2</v>
      </c>
      <c r="E1035" s="1">
        <v>45769</v>
      </c>
      <c r="F1035" t="s">
        <v>572</v>
      </c>
      <c r="G1035">
        <v>4</v>
      </c>
      <c r="H1035" t="s">
        <v>581</v>
      </c>
      <c r="I1035" t="s">
        <v>570</v>
      </c>
      <c r="J1035" t="str">
        <f t="shared" si="48"/>
        <v>April</v>
      </c>
      <c r="K1035" t="str">
        <f t="shared" si="49"/>
        <v>Q2</v>
      </c>
      <c r="L1035">
        <f t="shared" si="50"/>
        <v>2025</v>
      </c>
    </row>
    <row r="1036" spans="1:12" x14ac:dyDescent="0.3">
      <c r="A1036" t="s">
        <v>2012</v>
      </c>
      <c r="B1036" t="s">
        <v>455</v>
      </c>
      <c r="C1036" t="s">
        <v>32</v>
      </c>
      <c r="D1036">
        <v>3</v>
      </c>
      <c r="E1036" s="1">
        <v>45776</v>
      </c>
      <c r="F1036" t="s">
        <v>575</v>
      </c>
      <c r="G1036">
        <v>4</v>
      </c>
      <c r="H1036" t="s">
        <v>581</v>
      </c>
      <c r="I1036" t="s">
        <v>570</v>
      </c>
      <c r="J1036" t="str">
        <f t="shared" si="48"/>
        <v>April</v>
      </c>
      <c r="K1036" t="str">
        <f t="shared" si="49"/>
        <v>Q2</v>
      </c>
      <c r="L1036">
        <f t="shared" si="50"/>
        <v>2025</v>
      </c>
    </row>
    <row r="1037" spans="1:12" x14ac:dyDescent="0.3">
      <c r="A1037" t="s">
        <v>2013</v>
      </c>
      <c r="B1037" t="s">
        <v>2014</v>
      </c>
      <c r="C1037" t="s">
        <v>88</v>
      </c>
      <c r="D1037">
        <v>1</v>
      </c>
      <c r="E1037" s="1">
        <v>45753</v>
      </c>
      <c r="F1037" t="s">
        <v>621</v>
      </c>
      <c r="G1037">
        <v>5</v>
      </c>
      <c r="H1037" t="s">
        <v>581</v>
      </c>
      <c r="I1037" t="s">
        <v>570</v>
      </c>
      <c r="J1037" t="str">
        <f t="shared" si="48"/>
        <v>April</v>
      </c>
      <c r="K1037" t="str">
        <f t="shared" si="49"/>
        <v>Q2</v>
      </c>
      <c r="L1037">
        <f t="shared" si="50"/>
        <v>2025</v>
      </c>
    </row>
    <row r="1038" spans="1:12" x14ac:dyDescent="0.3">
      <c r="A1038" t="s">
        <v>2015</v>
      </c>
      <c r="B1038" t="s">
        <v>2014</v>
      </c>
      <c r="C1038" t="s">
        <v>88</v>
      </c>
      <c r="D1038">
        <v>2</v>
      </c>
      <c r="E1038" s="1">
        <v>45763</v>
      </c>
      <c r="F1038" t="s">
        <v>596</v>
      </c>
      <c r="G1038">
        <v>3</v>
      </c>
      <c r="H1038" t="s">
        <v>578</v>
      </c>
      <c r="I1038" t="s">
        <v>570</v>
      </c>
      <c r="J1038" t="str">
        <f t="shared" si="48"/>
        <v>April</v>
      </c>
      <c r="K1038" t="str">
        <f t="shared" si="49"/>
        <v>Q2</v>
      </c>
      <c r="L1038">
        <f t="shared" si="50"/>
        <v>2025</v>
      </c>
    </row>
    <row r="1039" spans="1:12" x14ac:dyDescent="0.3">
      <c r="A1039" t="s">
        <v>2016</v>
      </c>
      <c r="B1039" t="s">
        <v>2014</v>
      </c>
      <c r="C1039" t="s">
        <v>88</v>
      </c>
      <c r="D1039">
        <v>3</v>
      </c>
      <c r="E1039" s="1">
        <v>45773</v>
      </c>
      <c r="F1039" t="s">
        <v>621</v>
      </c>
      <c r="G1039">
        <v>4</v>
      </c>
      <c r="H1039" t="s">
        <v>581</v>
      </c>
      <c r="I1039" t="s">
        <v>570</v>
      </c>
      <c r="J1039" t="str">
        <f t="shared" si="48"/>
        <v>April</v>
      </c>
      <c r="K1039" t="str">
        <f t="shared" si="49"/>
        <v>Q2</v>
      </c>
      <c r="L1039">
        <f t="shared" si="50"/>
        <v>2025</v>
      </c>
    </row>
    <row r="1040" spans="1:12" x14ac:dyDescent="0.3">
      <c r="A1040" t="s">
        <v>2017</v>
      </c>
      <c r="B1040" t="s">
        <v>2018</v>
      </c>
      <c r="C1040" t="s">
        <v>240</v>
      </c>
      <c r="D1040">
        <v>1</v>
      </c>
      <c r="E1040" s="1">
        <v>45953</v>
      </c>
      <c r="F1040" t="s">
        <v>663</v>
      </c>
      <c r="G1040">
        <v>2</v>
      </c>
      <c r="H1040" t="s">
        <v>569</v>
      </c>
      <c r="I1040" t="s">
        <v>570</v>
      </c>
      <c r="J1040" t="str">
        <f t="shared" si="48"/>
        <v>October</v>
      </c>
      <c r="K1040" t="str">
        <f t="shared" si="49"/>
        <v>Q4</v>
      </c>
      <c r="L1040">
        <f t="shared" si="50"/>
        <v>2025</v>
      </c>
    </row>
    <row r="1041" spans="1:12" x14ac:dyDescent="0.3">
      <c r="A1041" t="s">
        <v>2019</v>
      </c>
      <c r="B1041" t="s">
        <v>2018</v>
      </c>
      <c r="C1041" t="s">
        <v>240</v>
      </c>
      <c r="D1041">
        <v>2</v>
      </c>
      <c r="E1041" s="1">
        <v>45963</v>
      </c>
      <c r="F1041" t="s">
        <v>586</v>
      </c>
      <c r="G1041">
        <v>2</v>
      </c>
      <c r="H1041" t="s">
        <v>569</v>
      </c>
      <c r="I1041" t="s">
        <v>570</v>
      </c>
      <c r="J1041" t="str">
        <f t="shared" si="48"/>
        <v>November</v>
      </c>
      <c r="K1041" t="str">
        <f t="shared" si="49"/>
        <v>Q4</v>
      </c>
      <c r="L1041">
        <f t="shared" si="50"/>
        <v>2025</v>
      </c>
    </row>
    <row r="1042" spans="1:12" x14ac:dyDescent="0.3">
      <c r="A1042" t="s">
        <v>2020</v>
      </c>
      <c r="B1042" t="s">
        <v>2021</v>
      </c>
      <c r="C1042" t="s">
        <v>147</v>
      </c>
      <c r="D1042">
        <v>1</v>
      </c>
      <c r="E1042" s="1">
        <v>45829</v>
      </c>
      <c r="F1042" t="s">
        <v>586</v>
      </c>
      <c r="G1042">
        <v>3</v>
      </c>
      <c r="H1042" t="s">
        <v>578</v>
      </c>
      <c r="I1042" t="s">
        <v>570</v>
      </c>
      <c r="J1042" t="str">
        <f t="shared" si="48"/>
        <v>June</v>
      </c>
      <c r="K1042" t="str">
        <f t="shared" si="49"/>
        <v>Q2</v>
      </c>
      <c r="L1042">
        <f t="shared" si="50"/>
        <v>2025</v>
      </c>
    </row>
    <row r="1043" spans="1:12" x14ac:dyDescent="0.3">
      <c r="A1043" t="s">
        <v>2022</v>
      </c>
      <c r="B1043" t="s">
        <v>2021</v>
      </c>
      <c r="C1043" t="s">
        <v>147</v>
      </c>
      <c r="D1043">
        <v>2</v>
      </c>
      <c r="E1043" s="1">
        <v>45838</v>
      </c>
      <c r="F1043" t="s">
        <v>572</v>
      </c>
      <c r="G1043">
        <v>3</v>
      </c>
      <c r="H1043" t="s">
        <v>578</v>
      </c>
      <c r="I1043" t="s">
        <v>570</v>
      </c>
      <c r="J1043" t="str">
        <f t="shared" si="48"/>
        <v>June</v>
      </c>
      <c r="K1043" t="str">
        <f t="shared" si="49"/>
        <v>Q2</v>
      </c>
      <c r="L1043">
        <f t="shared" si="50"/>
        <v>2025</v>
      </c>
    </row>
    <row r="1044" spans="1:12" x14ac:dyDescent="0.3">
      <c r="A1044" t="s">
        <v>2023</v>
      </c>
      <c r="B1044" t="s">
        <v>2024</v>
      </c>
      <c r="C1044" t="s">
        <v>45</v>
      </c>
      <c r="D1044">
        <v>1</v>
      </c>
      <c r="E1044" s="1">
        <v>45851</v>
      </c>
      <c r="F1044" t="s">
        <v>766</v>
      </c>
      <c r="G1044">
        <v>2</v>
      </c>
      <c r="H1044" t="s">
        <v>569</v>
      </c>
      <c r="I1044" t="s">
        <v>570</v>
      </c>
      <c r="J1044" t="str">
        <f t="shared" si="48"/>
        <v>July</v>
      </c>
      <c r="K1044" t="str">
        <f t="shared" si="49"/>
        <v>Q3</v>
      </c>
      <c r="L1044">
        <f t="shared" si="50"/>
        <v>2025</v>
      </c>
    </row>
    <row r="1045" spans="1:12" x14ac:dyDescent="0.3">
      <c r="A1045" t="s">
        <v>2025</v>
      </c>
      <c r="B1045" t="s">
        <v>2024</v>
      </c>
      <c r="C1045" t="s">
        <v>45</v>
      </c>
      <c r="D1045">
        <v>2</v>
      </c>
      <c r="E1045" s="1">
        <v>45855</v>
      </c>
      <c r="F1045" t="s">
        <v>766</v>
      </c>
      <c r="G1045">
        <v>1</v>
      </c>
      <c r="H1045" t="s">
        <v>569</v>
      </c>
      <c r="I1045" t="s">
        <v>570</v>
      </c>
      <c r="J1045" t="str">
        <f t="shared" si="48"/>
        <v>July</v>
      </c>
      <c r="K1045" t="str">
        <f t="shared" si="49"/>
        <v>Q3</v>
      </c>
      <c r="L1045">
        <f t="shared" si="50"/>
        <v>2025</v>
      </c>
    </row>
    <row r="1046" spans="1:12" x14ac:dyDescent="0.3">
      <c r="A1046" t="s">
        <v>2026</v>
      </c>
      <c r="B1046" t="s">
        <v>2024</v>
      </c>
      <c r="C1046" t="s">
        <v>45</v>
      </c>
      <c r="D1046">
        <v>3</v>
      </c>
      <c r="E1046" s="1">
        <v>45864</v>
      </c>
      <c r="F1046" t="s">
        <v>580</v>
      </c>
      <c r="G1046">
        <v>1</v>
      </c>
      <c r="H1046" t="s">
        <v>569</v>
      </c>
      <c r="I1046" t="s">
        <v>570</v>
      </c>
      <c r="J1046" t="str">
        <f t="shared" si="48"/>
        <v>July</v>
      </c>
      <c r="K1046" t="str">
        <f t="shared" si="49"/>
        <v>Q3</v>
      </c>
      <c r="L1046">
        <f t="shared" si="50"/>
        <v>2025</v>
      </c>
    </row>
    <row r="1047" spans="1:12" x14ac:dyDescent="0.3">
      <c r="A1047" t="s">
        <v>2027</v>
      </c>
      <c r="B1047" t="s">
        <v>2028</v>
      </c>
      <c r="C1047" t="s">
        <v>240</v>
      </c>
      <c r="D1047">
        <v>1</v>
      </c>
      <c r="E1047" s="1">
        <v>45952</v>
      </c>
      <c r="F1047" t="s">
        <v>663</v>
      </c>
      <c r="G1047">
        <v>1</v>
      </c>
      <c r="H1047" t="s">
        <v>569</v>
      </c>
      <c r="I1047" t="s">
        <v>570</v>
      </c>
      <c r="J1047" t="str">
        <f t="shared" si="48"/>
        <v>October</v>
      </c>
      <c r="K1047" t="str">
        <f t="shared" si="49"/>
        <v>Q4</v>
      </c>
      <c r="L1047">
        <f t="shared" si="50"/>
        <v>2025</v>
      </c>
    </row>
    <row r="1048" spans="1:12" x14ac:dyDescent="0.3">
      <c r="A1048" t="s">
        <v>2029</v>
      </c>
      <c r="B1048" t="s">
        <v>2028</v>
      </c>
      <c r="C1048" t="s">
        <v>240</v>
      </c>
      <c r="D1048">
        <v>2</v>
      </c>
      <c r="E1048" s="1">
        <v>45956</v>
      </c>
      <c r="F1048" t="s">
        <v>586</v>
      </c>
      <c r="G1048">
        <v>3</v>
      </c>
      <c r="H1048" t="s">
        <v>578</v>
      </c>
      <c r="I1048" t="s">
        <v>570</v>
      </c>
      <c r="J1048" t="str">
        <f t="shared" si="48"/>
        <v>October</v>
      </c>
      <c r="K1048" t="str">
        <f t="shared" si="49"/>
        <v>Q4</v>
      </c>
      <c r="L1048">
        <f t="shared" si="50"/>
        <v>2025</v>
      </c>
    </row>
    <row r="1049" spans="1:12" x14ac:dyDescent="0.3">
      <c r="A1049" t="s">
        <v>2030</v>
      </c>
      <c r="B1049" t="s">
        <v>2031</v>
      </c>
      <c r="C1049" t="s">
        <v>68</v>
      </c>
      <c r="D1049">
        <v>1</v>
      </c>
      <c r="E1049" s="1">
        <v>45737</v>
      </c>
      <c r="F1049" t="s">
        <v>584</v>
      </c>
      <c r="G1049">
        <v>3</v>
      </c>
      <c r="H1049" t="s">
        <v>578</v>
      </c>
      <c r="I1049" t="s">
        <v>570</v>
      </c>
      <c r="J1049" t="str">
        <f t="shared" si="48"/>
        <v>March</v>
      </c>
      <c r="K1049" t="str">
        <f t="shared" si="49"/>
        <v>Q1</v>
      </c>
      <c r="L1049">
        <f t="shared" si="50"/>
        <v>2025</v>
      </c>
    </row>
    <row r="1050" spans="1:12" x14ac:dyDescent="0.3">
      <c r="A1050" t="s">
        <v>2032</v>
      </c>
      <c r="B1050" t="s">
        <v>2031</v>
      </c>
      <c r="C1050" t="s">
        <v>68</v>
      </c>
      <c r="D1050">
        <v>2</v>
      </c>
      <c r="E1050" s="1">
        <v>45749</v>
      </c>
      <c r="F1050" t="s">
        <v>612</v>
      </c>
      <c r="G1050">
        <v>2</v>
      </c>
      <c r="H1050" t="s">
        <v>569</v>
      </c>
      <c r="I1050" t="s">
        <v>570</v>
      </c>
      <c r="J1050" t="str">
        <f t="shared" si="48"/>
        <v>April</v>
      </c>
      <c r="K1050" t="str">
        <f t="shared" si="49"/>
        <v>Q2</v>
      </c>
      <c r="L1050">
        <f t="shared" si="50"/>
        <v>2025</v>
      </c>
    </row>
    <row r="1051" spans="1:12" x14ac:dyDescent="0.3">
      <c r="A1051" t="s">
        <v>2033</v>
      </c>
      <c r="B1051" t="s">
        <v>2034</v>
      </c>
      <c r="C1051" t="s">
        <v>133</v>
      </c>
      <c r="D1051">
        <v>1</v>
      </c>
      <c r="E1051" s="1">
        <v>45706</v>
      </c>
      <c r="F1051" t="s">
        <v>629</v>
      </c>
      <c r="G1051">
        <v>1</v>
      </c>
      <c r="H1051" t="s">
        <v>569</v>
      </c>
      <c r="I1051" t="s">
        <v>570</v>
      </c>
      <c r="J1051" t="str">
        <f t="shared" si="48"/>
        <v>February</v>
      </c>
      <c r="K1051" t="str">
        <f t="shared" si="49"/>
        <v>Q1</v>
      </c>
      <c r="L1051">
        <f t="shared" si="50"/>
        <v>2025</v>
      </c>
    </row>
    <row r="1052" spans="1:12" x14ac:dyDescent="0.3">
      <c r="A1052" t="s">
        <v>2035</v>
      </c>
      <c r="B1052" t="s">
        <v>2034</v>
      </c>
      <c r="C1052" t="s">
        <v>133</v>
      </c>
      <c r="D1052">
        <v>2</v>
      </c>
      <c r="E1052" s="1">
        <v>45716</v>
      </c>
      <c r="F1052" t="s">
        <v>766</v>
      </c>
      <c r="G1052">
        <v>2</v>
      </c>
      <c r="H1052" t="s">
        <v>569</v>
      </c>
      <c r="I1052" t="s">
        <v>570</v>
      </c>
      <c r="J1052" t="str">
        <f t="shared" si="48"/>
        <v>February</v>
      </c>
      <c r="K1052" t="str">
        <f t="shared" si="49"/>
        <v>Q1</v>
      </c>
      <c r="L1052">
        <f t="shared" si="50"/>
        <v>2025</v>
      </c>
    </row>
    <row r="1053" spans="1:12" x14ac:dyDescent="0.3">
      <c r="A1053" t="s">
        <v>2036</v>
      </c>
      <c r="B1053" t="s">
        <v>246</v>
      </c>
      <c r="C1053" t="s">
        <v>191</v>
      </c>
      <c r="D1053">
        <v>1</v>
      </c>
      <c r="E1053" s="1">
        <v>45664</v>
      </c>
      <c r="F1053" t="s">
        <v>741</v>
      </c>
      <c r="G1053">
        <v>4</v>
      </c>
      <c r="H1053" t="s">
        <v>581</v>
      </c>
      <c r="I1053" t="s">
        <v>570</v>
      </c>
      <c r="J1053" t="str">
        <f t="shared" si="48"/>
        <v>January</v>
      </c>
      <c r="K1053" t="str">
        <f t="shared" si="49"/>
        <v>Q1</v>
      </c>
      <c r="L1053">
        <f t="shared" si="50"/>
        <v>2025</v>
      </c>
    </row>
    <row r="1054" spans="1:12" x14ac:dyDescent="0.3">
      <c r="A1054" t="s">
        <v>2037</v>
      </c>
      <c r="B1054" t="s">
        <v>246</v>
      </c>
      <c r="C1054" t="s">
        <v>191</v>
      </c>
      <c r="D1054">
        <v>2</v>
      </c>
      <c r="E1054" s="1">
        <v>45670</v>
      </c>
      <c r="F1054" t="s">
        <v>621</v>
      </c>
      <c r="G1054">
        <v>3</v>
      </c>
      <c r="H1054" t="s">
        <v>578</v>
      </c>
      <c r="I1054" t="s">
        <v>570</v>
      </c>
      <c r="J1054" t="str">
        <f t="shared" si="48"/>
        <v>January</v>
      </c>
      <c r="K1054" t="str">
        <f t="shared" si="49"/>
        <v>Q1</v>
      </c>
      <c r="L1054">
        <f t="shared" si="50"/>
        <v>2025</v>
      </c>
    </row>
    <row r="1055" spans="1:12" x14ac:dyDescent="0.3">
      <c r="A1055" t="s">
        <v>2038</v>
      </c>
      <c r="B1055" t="s">
        <v>246</v>
      </c>
      <c r="C1055" t="s">
        <v>191</v>
      </c>
      <c r="D1055">
        <v>3</v>
      </c>
      <c r="E1055" s="1">
        <v>45681</v>
      </c>
      <c r="F1055" t="s">
        <v>600</v>
      </c>
      <c r="G1055">
        <v>3</v>
      </c>
      <c r="H1055" t="s">
        <v>578</v>
      </c>
      <c r="I1055" t="s">
        <v>570</v>
      </c>
      <c r="J1055" t="str">
        <f t="shared" si="48"/>
        <v>January</v>
      </c>
      <c r="K1055" t="str">
        <f t="shared" si="49"/>
        <v>Q1</v>
      </c>
      <c r="L1055">
        <f t="shared" si="50"/>
        <v>2025</v>
      </c>
    </row>
    <row r="1056" spans="1:12" x14ac:dyDescent="0.3">
      <c r="A1056" t="s">
        <v>2039</v>
      </c>
      <c r="B1056" t="s">
        <v>246</v>
      </c>
      <c r="C1056" t="s">
        <v>191</v>
      </c>
      <c r="D1056">
        <v>4</v>
      </c>
      <c r="E1056" s="1">
        <v>45693</v>
      </c>
      <c r="F1056" t="s">
        <v>741</v>
      </c>
      <c r="G1056">
        <v>4</v>
      </c>
      <c r="H1056" t="s">
        <v>581</v>
      </c>
      <c r="I1056" t="s">
        <v>570</v>
      </c>
      <c r="J1056" t="str">
        <f t="shared" si="48"/>
        <v>February</v>
      </c>
      <c r="K1056" t="str">
        <f t="shared" si="49"/>
        <v>Q1</v>
      </c>
      <c r="L1056">
        <f t="shared" si="50"/>
        <v>2025</v>
      </c>
    </row>
    <row r="1057" spans="1:12" x14ac:dyDescent="0.3">
      <c r="A1057" t="s">
        <v>2040</v>
      </c>
      <c r="B1057" t="s">
        <v>2041</v>
      </c>
      <c r="C1057" t="s">
        <v>92</v>
      </c>
      <c r="D1057">
        <v>1</v>
      </c>
      <c r="E1057" s="1">
        <v>45763</v>
      </c>
      <c r="F1057" t="s">
        <v>572</v>
      </c>
      <c r="G1057">
        <v>2</v>
      </c>
      <c r="H1057" t="s">
        <v>569</v>
      </c>
      <c r="I1057" t="s">
        <v>570</v>
      </c>
      <c r="J1057" t="str">
        <f t="shared" si="48"/>
        <v>April</v>
      </c>
      <c r="K1057" t="str">
        <f t="shared" si="49"/>
        <v>Q2</v>
      </c>
      <c r="L1057">
        <f t="shared" si="50"/>
        <v>2025</v>
      </c>
    </row>
    <row r="1058" spans="1:12" x14ac:dyDescent="0.3">
      <c r="A1058" t="s">
        <v>2042</v>
      </c>
      <c r="B1058" t="s">
        <v>2041</v>
      </c>
      <c r="C1058" t="s">
        <v>92</v>
      </c>
      <c r="D1058">
        <v>2</v>
      </c>
      <c r="E1058" s="1">
        <v>45775</v>
      </c>
      <c r="F1058" t="s">
        <v>603</v>
      </c>
      <c r="G1058">
        <v>1</v>
      </c>
      <c r="H1058" t="s">
        <v>569</v>
      </c>
      <c r="I1058" t="s">
        <v>570</v>
      </c>
      <c r="J1058" t="str">
        <f t="shared" si="48"/>
        <v>April</v>
      </c>
      <c r="K1058" t="str">
        <f t="shared" si="49"/>
        <v>Q2</v>
      </c>
      <c r="L1058">
        <f t="shared" si="50"/>
        <v>2025</v>
      </c>
    </row>
    <row r="1059" spans="1:12" x14ac:dyDescent="0.3">
      <c r="A1059" t="s">
        <v>2043</v>
      </c>
      <c r="B1059" t="s">
        <v>2041</v>
      </c>
      <c r="C1059" t="s">
        <v>92</v>
      </c>
      <c r="D1059">
        <v>3</v>
      </c>
      <c r="E1059" s="1">
        <v>45779</v>
      </c>
      <c r="F1059" t="s">
        <v>577</v>
      </c>
      <c r="G1059">
        <v>1</v>
      </c>
      <c r="H1059" t="s">
        <v>569</v>
      </c>
      <c r="I1059" t="s">
        <v>570</v>
      </c>
      <c r="J1059" t="str">
        <f t="shared" si="48"/>
        <v>May</v>
      </c>
      <c r="K1059" t="str">
        <f t="shared" si="49"/>
        <v>Q2</v>
      </c>
      <c r="L1059">
        <f t="shared" si="50"/>
        <v>2025</v>
      </c>
    </row>
    <row r="1060" spans="1:12" x14ac:dyDescent="0.3">
      <c r="A1060" t="s">
        <v>2044</v>
      </c>
      <c r="B1060" t="s">
        <v>2045</v>
      </c>
      <c r="C1060" t="s">
        <v>99</v>
      </c>
      <c r="D1060">
        <v>1</v>
      </c>
      <c r="E1060" s="1">
        <v>45865</v>
      </c>
      <c r="F1060" t="s">
        <v>649</v>
      </c>
      <c r="G1060">
        <v>3</v>
      </c>
      <c r="H1060" t="s">
        <v>578</v>
      </c>
      <c r="I1060" t="s">
        <v>570</v>
      </c>
      <c r="J1060" t="str">
        <f t="shared" si="48"/>
        <v>July</v>
      </c>
      <c r="K1060" t="str">
        <f t="shared" si="49"/>
        <v>Q3</v>
      </c>
      <c r="L1060">
        <f t="shared" si="50"/>
        <v>2025</v>
      </c>
    </row>
    <row r="1061" spans="1:12" x14ac:dyDescent="0.3">
      <c r="A1061" t="s">
        <v>2046</v>
      </c>
      <c r="B1061" t="s">
        <v>2047</v>
      </c>
      <c r="C1061" t="s">
        <v>140</v>
      </c>
      <c r="D1061">
        <v>1</v>
      </c>
      <c r="E1061" s="1">
        <v>45935</v>
      </c>
      <c r="F1061" t="s">
        <v>1223</v>
      </c>
      <c r="G1061">
        <v>2</v>
      </c>
      <c r="H1061" t="s">
        <v>569</v>
      </c>
      <c r="I1061" t="s">
        <v>570</v>
      </c>
      <c r="J1061" t="str">
        <f t="shared" si="48"/>
        <v>October</v>
      </c>
      <c r="K1061" t="str">
        <f t="shared" si="49"/>
        <v>Q4</v>
      </c>
      <c r="L1061">
        <f t="shared" si="50"/>
        <v>2025</v>
      </c>
    </row>
    <row r="1062" spans="1:12" x14ac:dyDescent="0.3">
      <c r="A1062" t="s">
        <v>2048</v>
      </c>
      <c r="B1062" t="s">
        <v>2047</v>
      </c>
      <c r="C1062" t="s">
        <v>140</v>
      </c>
      <c r="D1062">
        <v>2</v>
      </c>
      <c r="E1062" s="1">
        <v>45947</v>
      </c>
      <c r="F1062" t="s">
        <v>584</v>
      </c>
      <c r="G1062">
        <v>1</v>
      </c>
      <c r="H1062" t="s">
        <v>569</v>
      </c>
      <c r="I1062" t="s">
        <v>570</v>
      </c>
      <c r="J1062" t="str">
        <f t="shared" si="48"/>
        <v>October</v>
      </c>
      <c r="K1062" t="str">
        <f t="shared" si="49"/>
        <v>Q4</v>
      </c>
      <c r="L1062">
        <f t="shared" si="50"/>
        <v>2025</v>
      </c>
    </row>
    <row r="1063" spans="1:12" x14ac:dyDescent="0.3">
      <c r="A1063" t="s">
        <v>2049</v>
      </c>
      <c r="B1063" t="s">
        <v>50</v>
      </c>
      <c r="C1063" t="s">
        <v>51</v>
      </c>
      <c r="D1063">
        <v>1</v>
      </c>
      <c r="E1063" s="1">
        <v>45949</v>
      </c>
      <c r="F1063" t="s">
        <v>568</v>
      </c>
      <c r="G1063">
        <v>3</v>
      </c>
      <c r="H1063" t="s">
        <v>578</v>
      </c>
      <c r="I1063" t="s">
        <v>570</v>
      </c>
      <c r="J1063" t="str">
        <f t="shared" si="48"/>
        <v>October</v>
      </c>
      <c r="K1063" t="str">
        <f t="shared" si="49"/>
        <v>Q4</v>
      </c>
      <c r="L1063">
        <f t="shared" si="50"/>
        <v>2025</v>
      </c>
    </row>
    <row r="1064" spans="1:12" x14ac:dyDescent="0.3">
      <c r="A1064" t="s">
        <v>2050</v>
      </c>
      <c r="B1064" t="s">
        <v>50</v>
      </c>
      <c r="C1064" t="s">
        <v>51</v>
      </c>
      <c r="D1064">
        <v>2</v>
      </c>
      <c r="E1064" s="1">
        <v>45955</v>
      </c>
      <c r="F1064" t="s">
        <v>572</v>
      </c>
      <c r="G1064">
        <v>4</v>
      </c>
      <c r="H1064" t="s">
        <v>581</v>
      </c>
      <c r="I1064" t="s">
        <v>570</v>
      </c>
      <c r="J1064" t="str">
        <f t="shared" si="48"/>
        <v>October</v>
      </c>
      <c r="K1064" t="str">
        <f t="shared" si="49"/>
        <v>Q4</v>
      </c>
      <c r="L1064">
        <f t="shared" si="50"/>
        <v>2025</v>
      </c>
    </row>
    <row r="1065" spans="1:12" x14ac:dyDescent="0.3">
      <c r="A1065" t="s">
        <v>2051</v>
      </c>
      <c r="B1065" t="s">
        <v>2052</v>
      </c>
      <c r="C1065" t="s">
        <v>973</v>
      </c>
      <c r="D1065">
        <v>1</v>
      </c>
      <c r="E1065" s="1">
        <v>45923</v>
      </c>
      <c r="F1065" t="s">
        <v>625</v>
      </c>
      <c r="G1065">
        <v>3</v>
      </c>
      <c r="H1065" t="s">
        <v>578</v>
      </c>
      <c r="I1065" t="s">
        <v>570</v>
      </c>
      <c r="J1065" t="str">
        <f t="shared" si="48"/>
        <v>September</v>
      </c>
      <c r="K1065" t="str">
        <f t="shared" si="49"/>
        <v>Q3</v>
      </c>
      <c r="L1065">
        <f t="shared" si="50"/>
        <v>2025</v>
      </c>
    </row>
    <row r="1066" spans="1:12" x14ac:dyDescent="0.3">
      <c r="A1066" t="s">
        <v>2053</v>
      </c>
      <c r="B1066" t="s">
        <v>2052</v>
      </c>
      <c r="C1066" t="s">
        <v>973</v>
      </c>
      <c r="D1066">
        <v>2</v>
      </c>
      <c r="E1066" s="1">
        <v>45932</v>
      </c>
      <c r="F1066" t="s">
        <v>600</v>
      </c>
      <c r="G1066">
        <v>2</v>
      </c>
      <c r="H1066" t="s">
        <v>569</v>
      </c>
      <c r="I1066" t="s">
        <v>597</v>
      </c>
      <c r="J1066" t="str">
        <f t="shared" si="48"/>
        <v>October</v>
      </c>
      <c r="K1066" t="str">
        <f t="shared" si="49"/>
        <v>Q4</v>
      </c>
      <c r="L1066">
        <f t="shared" si="50"/>
        <v>2025</v>
      </c>
    </row>
    <row r="1067" spans="1:12" x14ac:dyDescent="0.3">
      <c r="A1067" t="s">
        <v>2054</v>
      </c>
      <c r="B1067" t="s">
        <v>2052</v>
      </c>
      <c r="C1067" t="s">
        <v>973</v>
      </c>
      <c r="D1067">
        <v>3</v>
      </c>
      <c r="E1067" s="1">
        <v>45943</v>
      </c>
      <c r="F1067" t="s">
        <v>575</v>
      </c>
      <c r="G1067">
        <v>4</v>
      </c>
      <c r="H1067" t="s">
        <v>581</v>
      </c>
      <c r="I1067" t="s">
        <v>570</v>
      </c>
      <c r="J1067" t="str">
        <f t="shared" si="48"/>
        <v>October</v>
      </c>
      <c r="K1067" t="str">
        <f t="shared" si="49"/>
        <v>Q4</v>
      </c>
      <c r="L1067">
        <f t="shared" si="50"/>
        <v>2025</v>
      </c>
    </row>
    <row r="1068" spans="1:12" x14ac:dyDescent="0.3">
      <c r="A1068" t="s">
        <v>2055</v>
      </c>
      <c r="B1068" t="s">
        <v>2056</v>
      </c>
      <c r="C1068" t="s">
        <v>195</v>
      </c>
      <c r="D1068">
        <v>1</v>
      </c>
      <c r="E1068" s="1">
        <v>45853</v>
      </c>
      <c r="F1068" t="s">
        <v>632</v>
      </c>
      <c r="G1068">
        <v>3</v>
      </c>
      <c r="H1068" t="s">
        <v>578</v>
      </c>
      <c r="I1068" t="s">
        <v>570</v>
      </c>
      <c r="J1068" t="str">
        <f t="shared" si="48"/>
        <v>July</v>
      </c>
      <c r="K1068" t="str">
        <f t="shared" si="49"/>
        <v>Q3</v>
      </c>
      <c r="L1068">
        <f t="shared" si="50"/>
        <v>2025</v>
      </c>
    </row>
    <row r="1069" spans="1:12" x14ac:dyDescent="0.3">
      <c r="A1069" t="s">
        <v>2057</v>
      </c>
      <c r="B1069" t="s">
        <v>213</v>
      </c>
      <c r="C1069" t="s">
        <v>78</v>
      </c>
      <c r="D1069">
        <v>1</v>
      </c>
      <c r="E1069" s="1">
        <v>45904</v>
      </c>
      <c r="F1069" t="s">
        <v>572</v>
      </c>
      <c r="G1069">
        <v>3</v>
      </c>
      <c r="H1069" t="s">
        <v>578</v>
      </c>
      <c r="I1069" t="s">
        <v>570</v>
      </c>
      <c r="J1069" t="str">
        <f t="shared" si="48"/>
        <v>September</v>
      </c>
      <c r="K1069" t="str">
        <f t="shared" si="49"/>
        <v>Q3</v>
      </c>
      <c r="L1069">
        <f t="shared" si="50"/>
        <v>2025</v>
      </c>
    </row>
    <row r="1070" spans="1:12" x14ac:dyDescent="0.3">
      <c r="A1070" t="s">
        <v>2058</v>
      </c>
      <c r="B1070" t="s">
        <v>213</v>
      </c>
      <c r="C1070" t="s">
        <v>78</v>
      </c>
      <c r="D1070">
        <v>2</v>
      </c>
      <c r="E1070" s="1">
        <v>45911</v>
      </c>
      <c r="F1070" t="s">
        <v>663</v>
      </c>
      <c r="G1070">
        <v>4</v>
      </c>
      <c r="H1070" t="s">
        <v>581</v>
      </c>
      <c r="I1070" t="s">
        <v>570</v>
      </c>
      <c r="J1070" t="str">
        <f t="shared" si="48"/>
        <v>September</v>
      </c>
      <c r="K1070" t="str">
        <f t="shared" si="49"/>
        <v>Q3</v>
      </c>
      <c r="L1070">
        <f t="shared" si="50"/>
        <v>2025</v>
      </c>
    </row>
    <row r="1071" spans="1:12" x14ac:dyDescent="0.3">
      <c r="A1071" t="s">
        <v>2059</v>
      </c>
      <c r="B1071" t="s">
        <v>213</v>
      </c>
      <c r="C1071" t="s">
        <v>78</v>
      </c>
      <c r="D1071">
        <v>3</v>
      </c>
      <c r="E1071" s="1">
        <v>45916</v>
      </c>
      <c r="F1071" t="s">
        <v>596</v>
      </c>
      <c r="G1071">
        <v>4</v>
      </c>
      <c r="H1071" t="s">
        <v>581</v>
      </c>
      <c r="I1071" t="s">
        <v>570</v>
      </c>
      <c r="J1071" t="str">
        <f t="shared" si="48"/>
        <v>September</v>
      </c>
      <c r="K1071" t="str">
        <f t="shared" si="49"/>
        <v>Q3</v>
      </c>
      <c r="L1071">
        <f t="shared" si="50"/>
        <v>2025</v>
      </c>
    </row>
    <row r="1072" spans="1:12" x14ac:dyDescent="0.3">
      <c r="A1072" t="s">
        <v>2060</v>
      </c>
      <c r="B1072" t="s">
        <v>2061</v>
      </c>
      <c r="C1072" t="s">
        <v>147</v>
      </c>
      <c r="D1072">
        <v>1</v>
      </c>
      <c r="E1072" s="1">
        <v>45831</v>
      </c>
      <c r="F1072" t="s">
        <v>596</v>
      </c>
      <c r="G1072">
        <v>2</v>
      </c>
      <c r="H1072" t="s">
        <v>569</v>
      </c>
      <c r="I1072" t="s">
        <v>570</v>
      </c>
      <c r="J1072" t="str">
        <f t="shared" si="48"/>
        <v>June</v>
      </c>
      <c r="K1072" t="str">
        <f t="shared" si="49"/>
        <v>Q2</v>
      </c>
      <c r="L1072">
        <f t="shared" si="50"/>
        <v>2025</v>
      </c>
    </row>
    <row r="1073" spans="1:12" x14ac:dyDescent="0.3">
      <c r="A1073" t="s">
        <v>2062</v>
      </c>
      <c r="B1073" t="s">
        <v>2061</v>
      </c>
      <c r="C1073" t="s">
        <v>147</v>
      </c>
      <c r="D1073">
        <v>2</v>
      </c>
      <c r="E1073" s="1">
        <v>45835</v>
      </c>
      <c r="F1073" t="s">
        <v>580</v>
      </c>
      <c r="G1073">
        <v>1</v>
      </c>
      <c r="H1073" t="s">
        <v>569</v>
      </c>
      <c r="I1073" t="s">
        <v>570</v>
      </c>
      <c r="J1073" t="str">
        <f t="shared" si="48"/>
        <v>June</v>
      </c>
      <c r="K1073" t="str">
        <f t="shared" si="49"/>
        <v>Q2</v>
      </c>
      <c r="L1073">
        <f t="shared" si="50"/>
        <v>2025</v>
      </c>
    </row>
    <row r="1074" spans="1:12" x14ac:dyDescent="0.3">
      <c r="A1074" t="s">
        <v>2063</v>
      </c>
      <c r="B1074" t="s">
        <v>2064</v>
      </c>
      <c r="C1074" t="s">
        <v>133</v>
      </c>
      <c r="D1074">
        <v>1</v>
      </c>
      <c r="E1074" s="1">
        <v>45703</v>
      </c>
      <c r="F1074" t="s">
        <v>625</v>
      </c>
      <c r="G1074">
        <v>3</v>
      </c>
      <c r="H1074" t="s">
        <v>578</v>
      </c>
      <c r="I1074" t="s">
        <v>570</v>
      </c>
      <c r="J1074" t="str">
        <f t="shared" si="48"/>
        <v>February</v>
      </c>
      <c r="K1074" t="str">
        <f t="shared" si="49"/>
        <v>Q1</v>
      </c>
      <c r="L1074">
        <f t="shared" si="50"/>
        <v>2025</v>
      </c>
    </row>
    <row r="1075" spans="1:12" x14ac:dyDescent="0.3">
      <c r="A1075" t="s">
        <v>2065</v>
      </c>
      <c r="B1075" t="s">
        <v>2064</v>
      </c>
      <c r="C1075" t="s">
        <v>133</v>
      </c>
      <c r="D1075">
        <v>2</v>
      </c>
      <c r="E1075" s="1">
        <v>45711</v>
      </c>
      <c r="F1075" t="s">
        <v>632</v>
      </c>
      <c r="G1075">
        <v>1</v>
      </c>
      <c r="H1075" t="s">
        <v>569</v>
      </c>
      <c r="I1075" t="s">
        <v>597</v>
      </c>
      <c r="J1075" t="str">
        <f t="shared" si="48"/>
        <v>February</v>
      </c>
      <c r="K1075" t="str">
        <f t="shared" si="49"/>
        <v>Q1</v>
      </c>
      <c r="L1075">
        <f t="shared" si="50"/>
        <v>2025</v>
      </c>
    </row>
    <row r="1076" spans="1:12" x14ac:dyDescent="0.3">
      <c r="A1076" t="s">
        <v>2066</v>
      </c>
      <c r="B1076" t="s">
        <v>2067</v>
      </c>
      <c r="C1076" t="s">
        <v>176</v>
      </c>
      <c r="D1076">
        <v>1</v>
      </c>
      <c r="E1076" s="1">
        <v>45711</v>
      </c>
      <c r="F1076" t="s">
        <v>596</v>
      </c>
      <c r="G1076">
        <v>4</v>
      </c>
      <c r="H1076" t="s">
        <v>581</v>
      </c>
      <c r="I1076" t="s">
        <v>570</v>
      </c>
      <c r="J1076" t="str">
        <f t="shared" si="48"/>
        <v>February</v>
      </c>
      <c r="K1076" t="str">
        <f t="shared" si="49"/>
        <v>Q1</v>
      </c>
      <c r="L1076">
        <f t="shared" si="50"/>
        <v>2025</v>
      </c>
    </row>
    <row r="1077" spans="1:12" x14ac:dyDescent="0.3">
      <c r="A1077" t="s">
        <v>2068</v>
      </c>
      <c r="B1077" t="s">
        <v>2067</v>
      </c>
      <c r="C1077" t="s">
        <v>176</v>
      </c>
      <c r="D1077">
        <v>2</v>
      </c>
      <c r="E1077" s="1">
        <v>45720</v>
      </c>
      <c r="F1077" t="s">
        <v>572</v>
      </c>
      <c r="G1077">
        <v>3</v>
      </c>
      <c r="H1077" t="s">
        <v>578</v>
      </c>
      <c r="I1077" t="s">
        <v>570</v>
      </c>
      <c r="J1077" t="str">
        <f t="shared" si="48"/>
        <v>March</v>
      </c>
      <c r="K1077" t="str">
        <f t="shared" si="49"/>
        <v>Q1</v>
      </c>
      <c r="L1077">
        <f t="shared" si="50"/>
        <v>2025</v>
      </c>
    </row>
    <row r="1078" spans="1:12" x14ac:dyDescent="0.3">
      <c r="A1078" t="s">
        <v>2069</v>
      </c>
      <c r="B1078" t="s">
        <v>525</v>
      </c>
      <c r="C1078" t="s">
        <v>260</v>
      </c>
      <c r="D1078">
        <v>1</v>
      </c>
      <c r="E1078" s="1">
        <v>45738</v>
      </c>
      <c r="F1078" t="s">
        <v>625</v>
      </c>
      <c r="G1078">
        <v>4</v>
      </c>
      <c r="H1078" t="s">
        <v>581</v>
      </c>
      <c r="I1078" t="s">
        <v>570</v>
      </c>
      <c r="J1078" t="str">
        <f t="shared" si="48"/>
        <v>March</v>
      </c>
      <c r="K1078" t="str">
        <f t="shared" si="49"/>
        <v>Q1</v>
      </c>
      <c r="L1078">
        <f t="shared" si="50"/>
        <v>2025</v>
      </c>
    </row>
    <row r="1079" spans="1:12" x14ac:dyDescent="0.3">
      <c r="A1079" t="s">
        <v>2070</v>
      </c>
      <c r="B1079" t="s">
        <v>525</v>
      </c>
      <c r="C1079" t="s">
        <v>260</v>
      </c>
      <c r="D1079">
        <v>2</v>
      </c>
      <c r="E1079" s="1">
        <v>45750</v>
      </c>
      <c r="F1079" t="s">
        <v>572</v>
      </c>
      <c r="G1079">
        <v>3</v>
      </c>
      <c r="H1079" t="s">
        <v>578</v>
      </c>
      <c r="I1079" t="s">
        <v>570</v>
      </c>
      <c r="J1079" t="str">
        <f t="shared" si="48"/>
        <v>April</v>
      </c>
      <c r="K1079" t="str">
        <f t="shared" si="49"/>
        <v>Q2</v>
      </c>
      <c r="L1079">
        <f t="shared" si="50"/>
        <v>2025</v>
      </c>
    </row>
    <row r="1080" spans="1:12" x14ac:dyDescent="0.3">
      <c r="A1080" t="s">
        <v>2071</v>
      </c>
      <c r="B1080" t="s">
        <v>525</v>
      </c>
      <c r="C1080" t="s">
        <v>260</v>
      </c>
      <c r="D1080">
        <v>3</v>
      </c>
      <c r="E1080" s="1">
        <v>45756</v>
      </c>
      <c r="F1080" t="s">
        <v>572</v>
      </c>
      <c r="G1080">
        <v>4</v>
      </c>
      <c r="H1080" t="s">
        <v>581</v>
      </c>
      <c r="I1080" t="s">
        <v>570</v>
      </c>
      <c r="J1080" t="str">
        <f t="shared" si="48"/>
        <v>April</v>
      </c>
      <c r="K1080" t="str">
        <f t="shared" si="49"/>
        <v>Q2</v>
      </c>
      <c r="L1080">
        <f t="shared" si="50"/>
        <v>2025</v>
      </c>
    </row>
    <row r="1081" spans="1:12" x14ac:dyDescent="0.3">
      <c r="A1081" t="s">
        <v>2072</v>
      </c>
      <c r="B1081" t="s">
        <v>525</v>
      </c>
      <c r="C1081" t="s">
        <v>260</v>
      </c>
      <c r="D1081">
        <v>4</v>
      </c>
      <c r="E1081" s="1">
        <v>45763</v>
      </c>
      <c r="F1081" t="s">
        <v>605</v>
      </c>
      <c r="G1081">
        <v>4</v>
      </c>
      <c r="H1081" t="s">
        <v>581</v>
      </c>
      <c r="I1081" t="s">
        <v>570</v>
      </c>
      <c r="J1081" t="str">
        <f t="shared" si="48"/>
        <v>April</v>
      </c>
      <c r="K1081" t="str">
        <f t="shared" si="49"/>
        <v>Q2</v>
      </c>
      <c r="L1081">
        <f t="shared" si="50"/>
        <v>2025</v>
      </c>
    </row>
    <row r="1082" spans="1:12" x14ac:dyDescent="0.3">
      <c r="A1082" t="s">
        <v>2073</v>
      </c>
      <c r="B1082" t="s">
        <v>2074</v>
      </c>
      <c r="C1082" t="s">
        <v>127</v>
      </c>
      <c r="D1082">
        <v>1</v>
      </c>
      <c r="E1082" s="1">
        <v>45964</v>
      </c>
      <c r="F1082" t="s">
        <v>629</v>
      </c>
      <c r="G1082">
        <v>3</v>
      </c>
      <c r="H1082" t="s">
        <v>578</v>
      </c>
      <c r="I1082" t="s">
        <v>570</v>
      </c>
      <c r="J1082" t="str">
        <f t="shared" si="48"/>
        <v>November</v>
      </c>
      <c r="K1082" t="str">
        <f t="shared" si="49"/>
        <v>Q4</v>
      </c>
      <c r="L1082">
        <f t="shared" si="50"/>
        <v>2025</v>
      </c>
    </row>
    <row r="1083" spans="1:12" x14ac:dyDescent="0.3">
      <c r="A1083" t="s">
        <v>2075</v>
      </c>
      <c r="B1083" t="s">
        <v>2074</v>
      </c>
      <c r="C1083" t="s">
        <v>127</v>
      </c>
      <c r="D1083">
        <v>2</v>
      </c>
      <c r="E1083" s="1">
        <v>45972</v>
      </c>
      <c r="F1083" t="s">
        <v>592</v>
      </c>
      <c r="G1083">
        <v>3</v>
      </c>
      <c r="H1083" t="s">
        <v>578</v>
      </c>
      <c r="I1083" t="s">
        <v>570</v>
      </c>
      <c r="J1083" t="str">
        <f t="shared" si="48"/>
        <v>November</v>
      </c>
      <c r="K1083" t="str">
        <f t="shared" si="49"/>
        <v>Q4</v>
      </c>
      <c r="L1083">
        <f t="shared" si="50"/>
        <v>2025</v>
      </c>
    </row>
    <row r="1084" spans="1:12" x14ac:dyDescent="0.3">
      <c r="A1084" t="s">
        <v>2076</v>
      </c>
      <c r="B1084" t="s">
        <v>2074</v>
      </c>
      <c r="C1084" t="s">
        <v>127</v>
      </c>
      <c r="D1084">
        <v>3</v>
      </c>
      <c r="E1084" s="1">
        <v>45978</v>
      </c>
      <c r="F1084" t="s">
        <v>629</v>
      </c>
      <c r="G1084">
        <v>3</v>
      </c>
      <c r="H1084" t="s">
        <v>578</v>
      </c>
      <c r="I1084" t="s">
        <v>570</v>
      </c>
      <c r="J1084" t="str">
        <f t="shared" si="48"/>
        <v>November</v>
      </c>
      <c r="K1084" t="str">
        <f t="shared" si="49"/>
        <v>Q4</v>
      </c>
      <c r="L1084">
        <f t="shared" si="50"/>
        <v>2025</v>
      </c>
    </row>
    <row r="1085" spans="1:12" x14ac:dyDescent="0.3">
      <c r="A1085" t="s">
        <v>2077</v>
      </c>
      <c r="B1085" t="s">
        <v>361</v>
      </c>
      <c r="C1085" t="s">
        <v>183</v>
      </c>
      <c r="D1085">
        <v>1</v>
      </c>
      <c r="E1085" s="1">
        <v>45862</v>
      </c>
      <c r="F1085" t="s">
        <v>670</v>
      </c>
      <c r="G1085">
        <v>2</v>
      </c>
      <c r="H1085" t="s">
        <v>569</v>
      </c>
      <c r="I1085" t="s">
        <v>570</v>
      </c>
      <c r="J1085" t="str">
        <f t="shared" si="48"/>
        <v>July</v>
      </c>
      <c r="K1085" t="str">
        <f t="shared" si="49"/>
        <v>Q3</v>
      </c>
      <c r="L1085">
        <f t="shared" si="50"/>
        <v>2025</v>
      </c>
    </row>
    <row r="1086" spans="1:12" x14ac:dyDescent="0.3">
      <c r="A1086" t="s">
        <v>2078</v>
      </c>
      <c r="B1086" t="s">
        <v>361</v>
      </c>
      <c r="C1086" t="s">
        <v>183</v>
      </c>
      <c r="D1086">
        <v>2</v>
      </c>
      <c r="E1086" s="1">
        <v>45869</v>
      </c>
      <c r="F1086" t="s">
        <v>656</v>
      </c>
      <c r="G1086">
        <v>4</v>
      </c>
      <c r="H1086" t="s">
        <v>581</v>
      </c>
      <c r="I1086" t="s">
        <v>570</v>
      </c>
      <c r="J1086" t="str">
        <f t="shared" si="48"/>
        <v>July</v>
      </c>
      <c r="K1086" t="str">
        <f t="shared" si="49"/>
        <v>Q3</v>
      </c>
      <c r="L1086">
        <f t="shared" si="50"/>
        <v>2025</v>
      </c>
    </row>
    <row r="1087" spans="1:12" x14ac:dyDescent="0.3">
      <c r="A1087" t="s">
        <v>2079</v>
      </c>
      <c r="B1087" t="s">
        <v>2080</v>
      </c>
      <c r="C1087" t="s">
        <v>99</v>
      </c>
      <c r="D1087">
        <v>1</v>
      </c>
      <c r="E1087" s="1">
        <v>45851</v>
      </c>
      <c r="F1087" t="s">
        <v>670</v>
      </c>
      <c r="G1087">
        <v>3</v>
      </c>
      <c r="H1087" t="s">
        <v>578</v>
      </c>
      <c r="I1087" t="s">
        <v>570</v>
      </c>
      <c r="J1087" t="str">
        <f t="shared" si="48"/>
        <v>July</v>
      </c>
      <c r="K1087" t="str">
        <f t="shared" si="49"/>
        <v>Q3</v>
      </c>
      <c r="L1087">
        <f t="shared" si="50"/>
        <v>2025</v>
      </c>
    </row>
    <row r="1088" spans="1:12" x14ac:dyDescent="0.3">
      <c r="A1088" t="s">
        <v>2081</v>
      </c>
      <c r="B1088" t="s">
        <v>2080</v>
      </c>
      <c r="C1088" t="s">
        <v>99</v>
      </c>
      <c r="D1088">
        <v>2</v>
      </c>
      <c r="E1088" s="1">
        <v>45858</v>
      </c>
      <c r="F1088" t="s">
        <v>649</v>
      </c>
      <c r="G1088">
        <v>4</v>
      </c>
      <c r="H1088" t="s">
        <v>581</v>
      </c>
      <c r="I1088" t="s">
        <v>570</v>
      </c>
      <c r="J1088" t="str">
        <f t="shared" si="48"/>
        <v>July</v>
      </c>
      <c r="K1088" t="str">
        <f t="shared" si="49"/>
        <v>Q3</v>
      </c>
      <c r="L1088">
        <f t="shared" si="50"/>
        <v>2025</v>
      </c>
    </row>
    <row r="1089" spans="1:12" x14ac:dyDescent="0.3">
      <c r="A1089" t="s">
        <v>2082</v>
      </c>
      <c r="B1089" t="s">
        <v>2083</v>
      </c>
      <c r="C1089" t="s">
        <v>16</v>
      </c>
      <c r="D1089">
        <v>1</v>
      </c>
      <c r="E1089" s="1">
        <v>45766</v>
      </c>
      <c r="F1089" t="s">
        <v>636</v>
      </c>
      <c r="G1089">
        <v>4</v>
      </c>
      <c r="H1089" t="s">
        <v>581</v>
      </c>
      <c r="I1089" t="s">
        <v>570</v>
      </c>
      <c r="J1089" t="str">
        <f t="shared" si="48"/>
        <v>April</v>
      </c>
      <c r="K1089" t="str">
        <f t="shared" si="49"/>
        <v>Q2</v>
      </c>
      <c r="L1089">
        <f t="shared" si="50"/>
        <v>2025</v>
      </c>
    </row>
    <row r="1090" spans="1:12" x14ac:dyDescent="0.3">
      <c r="A1090" t="s">
        <v>2084</v>
      </c>
      <c r="B1090" t="s">
        <v>2085</v>
      </c>
      <c r="C1090" t="s">
        <v>187</v>
      </c>
      <c r="D1090">
        <v>1</v>
      </c>
      <c r="E1090" s="1">
        <v>45826</v>
      </c>
      <c r="F1090" t="s">
        <v>638</v>
      </c>
      <c r="G1090">
        <v>2</v>
      </c>
      <c r="H1090" t="s">
        <v>569</v>
      </c>
      <c r="I1090" t="s">
        <v>570</v>
      </c>
      <c r="J1090" t="str">
        <f t="shared" ref="J1090:J1153" si="51">TEXT(E1090,"mmmm")</f>
        <v>June</v>
      </c>
      <c r="K1090" t="str">
        <f t="shared" ref="K1090:K1153" si="52">"Q"&amp;ROUNDUP(MONTH(E1090)/3,0)</f>
        <v>Q2</v>
      </c>
      <c r="L1090">
        <f t="shared" ref="L1090:L1153" si="53">YEAR(E1090)</f>
        <v>2025</v>
      </c>
    </row>
    <row r="1091" spans="1:12" x14ac:dyDescent="0.3">
      <c r="A1091" t="s">
        <v>2086</v>
      </c>
      <c r="B1091" t="s">
        <v>2085</v>
      </c>
      <c r="C1091" t="s">
        <v>187</v>
      </c>
      <c r="D1091">
        <v>2</v>
      </c>
      <c r="E1091" s="1">
        <v>45830</v>
      </c>
      <c r="F1091" t="s">
        <v>577</v>
      </c>
      <c r="G1091">
        <v>2</v>
      </c>
      <c r="H1091" t="s">
        <v>569</v>
      </c>
      <c r="I1091" t="s">
        <v>570</v>
      </c>
      <c r="J1091" t="str">
        <f t="shared" si="51"/>
        <v>June</v>
      </c>
      <c r="K1091" t="str">
        <f t="shared" si="52"/>
        <v>Q2</v>
      </c>
      <c r="L1091">
        <f t="shared" si="53"/>
        <v>2025</v>
      </c>
    </row>
    <row r="1092" spans="1:12" x14ac:dyDescent="0.3">
      <c r="A1092" t="s">
        <v>2087</v>
      </c>
      <c r="B1092" t="s">
        <v>2085</v>
      </c>
      <c r="C1092" t="s">
        <v>187</v>
      </c>
      <c r="D1092">
        <v>3</v>
      </c>
      <c r="E1092" s="1">
        <v>45842</v>
      </c>
      <c r="F1092" t="s">
        <v>572</v>
      </c>
      <c r="G1092">
        <v>2</v>
      </c>
      <c r="H1092" t="s">
        <v>569</v>
      </c>
      <c r="I1092" t="s">
        <v>570</v>
      </c>
      <c r="J1092" t="str">
        <f t="shared" si="51"/>
        <v>July</v>
      </c>
      <c r="K1092" t="str">
        <f t="shared" si="52"/>
        <v>Q3</v>
      </c>
      <c r="L1092">
        <f t="shared" si="53"/>
        <v>2025</v>
      </c>
    </row>
    <row r="1093" spans="1:12" x14ac:dyDescent="0.3">
      <c r="A1093" t="s">
        <v>2088</v>
      </c>
      <c r="B1093" t="s">
        <v>2089</v>
      </c>
      <c r="C1093" t="s">
        <v>240</v>
      </c>
      <c r="D1093">
        <v>1</v>
      </c>
      <c r="E1093" s="1">
        <v>45952</v>
      </c>
      <c r="F1093" t="s">
        <v>663</v>
      </c>
      <c r="G1093">
        <v>2</v>
      </c>
      <c r="H1093" t="s">
        <v>569</v>
      </c>
      <c r="I1093" t="s">
        <v>570</v>
      </c>
      <c r="J1093" t="str">
        <f t="shared" si="51"/>
        <v>October</v>
      </c>
      <c r="K1093" t="str">
        <f t="shared" si="52"/>
        <v>Q4</v>
      </c>
      <c r="L1093">
        <f t="shared" si="53"/>
        <v>2025</v>
      </c>
    </row>
    <row r="1094" spans="1:12" x14ac:dyDescent="0.3">
      <c r="A1094" t="s">
        <v>2090</v>
      </c>
      <c r="B1094" t="s">
        <v>2089</v>
      </c>
      <c r="C1094" t="s">
        <v>240</v>
      </c>
      <c r="D1094">
        <v>2</v>
      </c>
      <c r="E1094" s="1">
        <v>45963</v>
      </c>
      <c r="F1094" t="s">
        <v>596</v>
      </c>
      <c r="G1094">
        <v>2</v>
      </c>
      <c r="H1094" t="s">
        <v>569</v>
      </c>
      <c r="I1094" t="s">
        <v>570</v>
      </c>
      <c r="J1094" t="str">
        <f t="shared" si="51"/>
        <v>November</v>
      </c>
      <c r="K1094" t="str">
        <f t="shared" si="52"/>
        <v>Q4</v>
      </c>
      <c r="L1094">
        <f t="shared" si="53"/>
        <v>2025</v>
      </c>
    </row>
    <row r="1095" spans="1:12" x14ac:dyDescent="0.3">
      <c r="A1095" t="s">
        <v>2091</v>
      </c>
      <c r="B1095" t="s">
        <v>378</v>
      </c>
      <c r="C1095" t="s">
        <v>176</v>
      </c>
      <c r="D1095">
        <v>1</v>
      </c>
      <c r="E1095" s="1">
        <v>45705</v>
      </c>
      <c r="F1095" t="s">
        <v>577</v>
      </c>
      <c r="G1095">
        <v>4</v>
      </c>
      <c r="H1095" t="s">
        <v>581</v>
      </c>
      <c r="I1095" t="s">
        <v>570</v>
      </c>
      <c r="J1095" t="str">
        <f t="shared" si="51"/>
        <v>February</v>
      </c>
      <c r="K1095" t="str">
        <f t="shared" si="52"/>
        <v>Q1</v>
      </c>
      <c r="L1095">
        <f t="shared" si="53"/>
        <v>2025</v>
      </c>
    </row>
    <row r="1096" spans="1:12" x14ac:dyDescent="0.3">
      <c r="A1096" t="s">
        <v>2092</v>
      </c>
      <c r="B1096" t="s">
        <v>378</v>
      </c>
      <c r="C1096" t="s">
        <v>176</v>
      </c>
      <c r="D1096">
        <v>2</v>
      </c>
      <c r="E1096" s="1">
        <v>45710</v>
      </c>
      <c r="F1096" t="s">
        <v>577</v>
      </c>
      <c r="G1096">
        <v>4</v>
      </c>
      <c r="H1096" t="s">
        <v>581</v>
      </c>
      <c r="I1096" t="s">
        <v>570</v>
      </c>
      <c r="J1096" t="str">
        <f t="shared" si="51"/>
        <v>February</v>
      </c>
      <c r="K1096" t="str">
        <f t="shared" si="52"/>
        <v>Q1</v>
      </c>
      <c r="L1096">
        <f t="shared" si="53"/>
        <v>2025</v>
      </c>
    </row>
    <row r="1097" spans="1:12" x14ac:dyDescent="0.3">
      <c r="A1097" t="s">
        <v>2093</v>
      </c>
      <c r="B1097" t="s">
        <v>2094</v>
      </c>
      <c r="C1097" t="s">
        <v>195</v>
      </c>
      <c r="D1097">
        <v>1</v>
      </c>
      <c r="E1097" s="1">
        <v>45848</v>
      </c>
      <c r="F1097" t="s">
        <v>592</v>
      </c>
      <c r="G1097">
        <v>3</v>
      </c>
      <c r="H1097" t="s">
        <v>578</v>
      </c>
      <c r="I1097" t="s">
        <v>570</v>
      </c>
      <c r="J1097" t="str">
        <f t="shared" si="51"/>
        <v>July</v>
      </c>
      <c r="K1097" t="str">
        <f t="shared" si="52"/>
        <v>Q3</v>
      </c>
      <c r="L1097">
        <f t="shared" si="53"/>
        <v>2025</v>
      </c>
    </row>
    <row r="1098" spans="1:12" x14ac:dyDescent="0.3">
      <c r="A1098" t="s">
        <v>2095</v>
      </c>
      <c r="B1098" t="s">
        <v>2096</v>
      </c>
      <c r="C1098" t="s">
        <v>251</v>
      </c>
      <c r="D1098">
        <v>1</v>
      </c>
      <c r="E1098" s="1">
        <v>45819</v>
      </c>
      <c r="F1098" t="s">
        <v>766</v>
      </c>
      <c r="G1098">
        <v>1</v>
      </c>
      <c r="H1098" t="s">
        <v>569</v>
      </c>
      <c r="I1098" t="s">
        <v>570</v>
      </c>
      <c r="J1098" t="str">
        <f t="shared" si="51"/>
        <v>June</v>
      </c>
      <c r="K1098" t="str">
        <f t="shared" si="52"/>
        <v>Q2</v>
      </c>
      <c r="L1098">
        <f t="shared" si="53"/>
        <v>2025</v>
      </c>
    </row>
    <row r="1099" spans="1:12" x14ac:dyDescent="0.3">
      <c r="A1099" t="s">
        <v>2097</v>
      </c>
      <c r="B1099" t="s">
        <v>2098</v>
      </c>
      <c r="C1099" t="s">
        <v>41</v>
      </c>
      <c r="D1099">
        <v>1</v>
      </c>
      <c r="E1099" s="1">
        <v>45825</v>
      </c>
      <c r="F1099" t="s">
        <v>605</v>
      </c>
      <c r="G1099">
        <v>3</v>
      </c>
      <c r="H1099" t="s">
        <v>578</v>
      </c>
      <c r="I1099" t="s">
        <v>597</v>
      </c>
      <c r="J1099" t="str">
        <f t="shared" si="51"/>
        <v>June</v>
      </c>
      <c r="K1099" t="str">
        <f t="shared" si="52"/>
        <v>Q2</v>
      </c>
      <c r="L1099">
        <f t="shared" si="53"/>
        <v>2025</v>
      </c>
    </row>
    <row r="1100" spans="1:12" x14ac:dyDescent="0.3">
      <c r="A1100" t="s">
        <v>2099</v>
      </c>
      <c r="B1100" t="s">
        <v>2098</v>
      </c>
      <c r="C1100" t="s">
        <v>41</v>
      </c>
      <c r="D1100">
        <v>2</v>
      </c>
      <c r="E1100" s="1">
        <v>45835</v>
      </c>
      <c r="F1100" t="s">
        <v>577</v>
      </c>
      <c r="G1100">
        <v>2</v>
      </c>
      <c r="H1100" t="s">
        <v>569</v>
      </c>
      <c r="I1100" t="s">
        <v>597</v>
      </c>
      <c r="J1100" t="str">
        <f t="shared" si="51"/>
        <v>June</v>
      </c>
      <c r="K1100" t="str">
        <f t="shared" si="52"/>
        <v>Q2</v>
      </c>
      <c r="L1100">
        <f t="shared" si="53"/>
        <v>2025</v>
      </c>
    </row>
    <row r="1101" spans="1:12" x14ac:dyDescent="0.3">
      <c r="A1101" t="s">
        <v>2100</v>
      </c>
      <c r="B1101" t="s">
        <v>2098</v>
      </c>
      <c r="C1101" t="s">
        <v>41</v>
      </c>
      <c r="D1101">
        <v>3</v>
      </c>
      <c r="E1101" s="1">
        <v>45841</v>
      </c>
      <c r="F1101" t="s">
        <v>605</v>
      </c>
      <c r="G1101">
        <v>3</v>
      </c>
      <c r="H1101" t="s">
        <v>578</v>
      </c>
      <c r="I1101" t="s">
        <v>570</v>
      </c>
      <c r="J1101" t="str">
        <f t="shared" si="51"/>
        <v>July</v>
      </c>
      <c r="K1101" t="str">
        <f t="shared" si="52"/>
        <v>Q3</v>
      </c>
      <c r="L1101">
        <f t="shared" si="53"/>
        <v>2025</v>
      </c>
    </row>
    <row r="1102" spans="1:12" x14ac:dyDescent="0.3">
      <c r="A1102" t="s">
        <v>2101</v>
      </c>
      <c r="B1102" t="s">
        <v>2102</v>
      </c>
      <c r="C1102" t="s">
        <v>195</v>
      </c>
      <c r="D1102">
        <v>1</v>
      </c>
      <c r="E1102" s="1">
        <v>45849</v>
      </c>
      <c r="F1102" t="s">
        <v>575</v>
      </c>
      <c r="G1102">
        <v>4</v>
      </c>
      <c r="H1102" t="s">
        <v>581</v>
      </c>
      <c r="I1102" t="s">
        <v>608</v>
      </c>
      <c r="J1102" t="str">
        <f t="shared" si="51"/>
        <v>July</v>
      </c>
      <c r="K1102" t="str">
        <f t="shared" si="52"/>
        <v>Q3</v>
      </c>
      <c r="L1102">
        <f t="shared" si="53"/>
        <v>2025</v>
      </c>
    </row>
    <row r="1103" spans="1:12" x14ac:dyDescent="0.3">
      <c r="A1103" t="s">
        <v>2103</v>
      </c>
      <c r="B1103" t="s">
        <v>2104</v>
      </c>
      <c r="C1103" t="s">
        <v>133</v>
      </c>
      <c r="D1103">
        <v>1</v>
      </c>
      <c r="E1103" s="1">
        <v>45698</v>
      </c>
      <c r="F1103" t="s">
        <v>629</v>
      </c>
      <c r="G1103">
        <v>3</v>
      </c>
      <c r="H1103" t="s">
        <v>578</v>
      </c>
      <c r="I1103" t="s">
        <v>570</v>
      </c>
      <c r="J1103" t="str">
        <f t="shared" si="51"/>
        <v>February</v>
      </c>
      <c r="K1103" t="str">
        <f t="shared" si="52"/>
        <v>Q1</v>
      </c>
      <c r="L1103">
        <f t="shared" si="53"/>
        <v>2025</v>
      </c>
    </row>
    <row r="1104" spans="1:12" x14ac:dyDescent="0.3">
      <c r="A1104" t="s">
        <v>2105</v>
      </c>
      <c r="B1104" t="s">
        <v>2104</v>
      </c>
      <c r="C1104" t="s">
        <v>133</v>
      </c>
      <c r="D1104">
        <v>2</v>
      </c>
      <c r="E1104" s="1">
        <v>45710</v>
      </c>
      <c r="F1104" t="s">
        <v>592</v>
      </c>
      <c r="G1104">
        <v>2</v>
      </c>
      <c r="H1104" t="s">
        <v>569</v>
      </c>
      <c r="I1104" t="s">
        <v>570</v>
      </c>
      <c r="J1104" t="str">
        <f t="shared" si="51"/>
        <v>February</v>
      </c>
      <c r="K1104" t="str">
        <f t="shared" si="52"/>
        <v>Q1</v>
      </c>
      <c r="L1104">
        <f t="shared" si="53"/>
        <v>2025</v>
      </c>
    </row>
    <row r="1105" spans="1:12" x14ac:dyDescent="0.3">
      <c r="A1105" t="s">
        <v>2106</v>
      </c>
      <c r="B1105" t="s">
        <v>2107</v>
      </c>
      <c r="C1105" t="s">
        <v>37</v>
      </c>
      <c r="D1105">
        <v>1</v>
      </c>
      <c r="E1105" s="1">
        <v>45711</v>
      </c>
      <c r="F1105" t="s">
        <v>572</v>
      </c>
      <c r="G1105">
        <v>4</v>
      </c>
      <c r="H1105" t="s">
        <v>581</v>
      </c>
      <c r="I1105" t="s">
        <v>570</v>
      </c>
      <c r="J1105" t="str">
        <f t="shared" si="51"/>
        <v>February</v>
      </c>
      <c r="K1105" t="str">
        <f t="shared" si="52"/>
        <v>Q1</v>
      </c>
      <c r="L1105">
        <f t="shared" si="53"/>
        <v>2025</v>
      </c>
    </row>
    <row r="1106" spans="1:12" x14ac:dyDescent="0.3">
      <c r="A1106" t="s">
        <v>2108</v>
      </c>
      <c r="B1106" t="s">
        <v>2109</v>
      </c>
      <c r="C1106" t="s">
        <v>22</v>
      </c>
      <c r="D1106">
        <v>1</v>
      </c>
      <c r="E1106" s="1">
        <v>45847</v>
      </c>
      <c r="F1106" t="s">
        <v>612</v>
      </c>
      <c r="G1106">
        <v>1</v>
      </c>
      <c r="H1106" t="s">
        <v>569</v>
      </c>
      <c r="I1106" t="s">
        <v>570</v>
      </c>
      <c r="J1106" t="str">
        <f t="shared" si="51"/>
        <v>July</v>
      </c>
      <c r="K1106" t="str">
        <f t="shared" si="52"/>
        <v>Q3</v>
      </c>
      <c r="L1106">
        <f t="shared" si="53"/>
        <v>2025</v>
      </c>
    </row>
    <row r="1107" spans="1:12" x14ac:dyDescent="0.3">
      <c r="A1107" t="s">
        <v>2110</v>
      </c>
      <c r="B1107" t="s">
        <v>2109</v>
      </c>
      <c r="C1107" t="s">
        <v>22</v>
      </c>
      <c r="D1107">
        <v>2</v>
      </c>
      <c r="E1107" s="1">
        <v>45858</v>
      </c>
      <c r="F1107" t="s">
        <v>612</v>
      </c>
      <c r="G1107">
        <v>3</v>
      </c>
      <c r="H1107" t="s">
        <v>578</v>
      </c>
      <c r="I1107" t="s">
        <v>570</v>
      </c>
      <c r="J1107" t="str">
        <f t="shared" si="51"/>
        <v>July</v>
      </c>
      <c r="K1107" t="str">
        <f t="shared" si="52"/>
        <v>Q3</v>
      </c>
      <c r="L1107">
        <f t="shared" si="53"/>
        <v>2025</v>
      </c>
    </row>
    <row r="1108" spans="1:12" x14ac:dyDescent="0.3">
      <c r="A1108" t="s">
        <v>2111</v>
      </c>
      <c r="B1108" t="s">
        <v>2112</v>
      </c>
      <c r="C1108" t="s">
        <v>51</v>
      </c>
      <c r="D1108">
        <v>1</v>
      </c>
      <c r="E1108" s="1">
        <v>45960</v>
      </c>
      <c r="F1108" t="s">
        <v>596</v>
      </c>
      <c r="G1108">
        <v>3</v>
      </c>
      <c r="H1108" t="s">
        <v>578</v>
      </c>
      <c r="I1108" t="s">
        <v>570</v>
      </c>
      <c r="J1108" t="str">
        <f t="shared" si="51"/>
        <v>October</v>
      </c>
      <c r="K1108" t="str">
        <f t="shared" si="52"/>
        <v>Q4</v>
      </c>
      <c r="L1108">
        <f t="shared" si="53"/>
        <v>2025</v>
      </c>
    </row>
    <row r="1109" spans="1:12" x14ac:dyDescent="0.3">
      <c r="A1109" t="s">
        <v>2113</v>
      </c>
      <c r="B1109" t="s">
        <v>2112</v>
      </c>
      <c r="C1109" t="s">
        <v>51</v>
      </c>
      <c r="D1109">
        <v>2</v>
      </c>
      <c r="E1109" s="1">
        <v>45972</v>
      </c>
      <c r="F1109" t="s">
        <v>580</v>
      </c>
      <c r="G1109">
        <v>2</v>
      </c>
      <c r="H1109" t="s">
        <v>569</v>
      </c>
      <c r="I1109" t="s">
        <v>570</v>
      </c>
      <c r="J1109" t="str">
        <f t="shared" si="51"/>
        <v>November</v>
      </c>
      <c r="K1109" t="str">
        <f t="shared" si="52"/>
        <v>Q4</v>
      </c>
      <c r="L1109">
        <f t="shared" si="53"/>
        <v>2025</v>
      </c>
    </row>
    <row r="1110" spans="1:12" x14ac:dyDescent="0.3">
      <c r="A1110" t="s">
        <v>2114</v>
      </c>
      <c r="B1110" t="s">
        <v>2112</v>
      </c>
      <c r="C1110" t="s">
        <v>51</v>
      </c>
      <c r="D1110">
        <v>3</v>
      </c>
      <c r="E1110" s="1">
        <v>45981</v>
      </c>
      <c r="F1110" t="s">
        <v>596</v>
      </c>
      <c r="G1110">
        <v>1</v>
      </c>
      <c r="H1110" t="s">
        <v>569</v>
      </c>
      <c r="I1110" t="s">
        <v>597</v>
      </c>
      <c r="J1110" t="str">
        <f t="shared" si="51"/>
        <v>November</v>
      </c>
      <c r="K1110" t="str">
        <f t="shared" si="52"/>
        <v>Q4</v>
      </c>
      <c r="L1110">
        <f t="shared" si="53"/>
        <v>2025</v>
      </c>
    </row>
    <row r="1111" spans="1:12" x14ac:dyDescent="0.3">
      <c r="A1111" t="s">
        <v>2115</v>
      </c>
      <c r="B1111" t="s">
        <v>2116</v>
      </c>
      <c r="C1111" t="s">
        <v>244</v>
      </c>
      <c r="D1111">
        <v>1</v>
      </c>
      <c r="E1111" s="1">
        <v>45667</v>
      </c>
      <c r="F1111" t="s">
        <v>580</v>
      </c>
      <c r="G1111">
        <v>3</v>
      </c>
      <c r="H1111" t="s">
        <v>578</v>
      </c>
      <c r="I1111" t="s">
        <v>608</v>
      </c>
      <c r="J1111" t="str">
        <f t="shared" si="51"/>
        <v>January</v>
      </c>
      <c r="K1111" t="str">
        <f t="shared" si="52"/>
        <v>Q1</v>
      </c>
      <c r="L1111">
        <f t="shared" si="53"/>
        <v>2025</v>
      </c>
    </row>
    <row r="1112" spans="1:12" x14ac:dyDescent="0.3">
      <c r="A1112" t="s">
        <v>2117</v>
      </c>
      <c r="B1112" t="s">
        <v>2116</v>
      </c>
      <c r="C1112" t="s">
        <v>244</v>
      </c>
      <c r="D1112">
        <v>2</v>
      </c>
      <c r="E1112" s="1">
        <v>45676</v>
      </c>
      <c r="F1112" t="s">
        <v>596</v>
      </c>
      <c r="G1112">
        <v>1</v>
      </c>
      <c r="H1112" t="s">
        <v>569</v>
      </c>
      <c r="I1112" t="s">
        <v>570</v>
      </c>
      <c r="J1112" t="str">
        <f t="shared" si="51"/>
        <v>January</v>
      </c>
      <c r="K1112" t="str">
        <f t="shared" si="52"/>
        <v>Q1</v>
      </c>
      <c r="L1112">
        <f t="shared" si="53"/>
        <v>2025</v>
      </c>
    </row>
    <row r="1113" spans="1:12" x14ac:dyDescent="0.3">
      <c r="A1113" t="s">
        <v>2118</v>
      </c>
      <c r="B1113" t="s">
        <v>2116</v>
      </c>
      <c r="C1113" t="s">
        <v>244</v>
      </c>
      <c r="D1113">
        <v>3</v>
      </c>
      <c r="E1113" s="1">
        <v>45682</v>
      </c>
      <c r="F1113" t="s">
        <v>568</v>
      </c>
      <c r="G1113">
        <v>1</v>
      </c>
      <c r="H1113" t="s">
        <v>569</v>
      </c>
      <c r="I1113" t="s">
        <v>570</v>
      </c>
      <c r="J1113" t="str">
        <f t="shared" si="51"/>
        <v>January</v>
      </c>
      <c r="K1113" t="str">
        <f t="shared" si="52"/>
        <v>Q1</v>
      </c>
      <c r="L1113">
        <f t="shared" si="53"/>
        <v>2025</v>
      </c>
    </row>
    <row r="1114" spans="1:12" x14ac:dyDescent="0.3">
      <c r="A1114" t="s">
        <v>2119</v>
      </c>
      <c r="B1114" t="s">
        <v>2120</v>
      </c>
      <c r="C1114" t="s">
        <v>429</v>
      </c>
      <c r="D1114">
        <v>1</v>
      </c>
      <c r="E1114" s="1">
        <v>45773</v>
      </c>
      <c r="F1114" t="s">
        <v>592</v>
      </c>
      <c r="G1114">
        <v>4</v>
      </c>
      <c r="H1114" t="s">
        <v>581</v>
      </c>
      <c r="I1114" t="s">
        <v>608</v>
      </c>
      <c r="J1114" t="str">
        <f t="shared" si="51"/>
        <v>April</v>
      </c>
      <c r="K1114" t="str">
        <f t="shared" si="52"/>
        <v>Q2</v>
      </c>
      <c r="L1114">
        <f t="shared" si="53"/>
        <v>2025</v>
      </c>
    </row>
    <row r="1115" spans="1:12" x14ac:dyDescent="0.3">
      <c r="A1115" t="s">
        <v>2121</v>
      </c>
      <c r="B1115" t="s">
        <v>2120</v>
      </c>
      <c r="C1115" t="s">
        <v>429</v>
      </c>
      <c r="D1115">
        <v>2</v>
      </c>
      <c r="E1115" s="1">
        <v>45784</v>
      </c>
      <c r="G1115">
        <v>4</v>
      </c>
      <c r="H1115" t="s">
        <v>581</v>
      </c>
      <c r="I1115" t="s">
        <v>570</v>
      </c>
      <c r="J1115" t="str">
        <f t="shared" si="51"/>
        <v>May</v>
      </c>
      <c r="K1115" t="str">
        <f t="shared" si="52"/>
        <v>Q2</v>
      </c>
      <c r="L1115">
        <f t="shared" si="53"/>
        <v>2025</v>
      </c>
    </row>
    <row r="1116" spans="1:12" x14ac:dyDescent="0.3">
      <c r="A1116" t="s">
        <v>2122</v>
      </c>
      <c r="B1116" t="s">
        <v>2123</v>
      </c>
      <c r="C1116" t="s">
        <v>58</v>
      </c>
      <c r="D1116">
        <v>1</v>
      </c>
      <c r="E1116" s="1">
        <v>45806</v>
      </c>
      <c r="F1116" t="s">
        <v>577</v>
      </c>
      <c r="G1116">
        <v>4</v>
      </c>
      <c r="H1116" t="s">
        <v>581</v>
      </c>
      <c r="I1116" t="s">
        <v>570</v>
      </c>
      <c r="J1116" t="str">
        <f t="shared" si="51"/>
        <v>May</v>
      </c>
      <c r="K1116" t="str">
        <f t="shared" si="52"/>
        <v>Q2</v>
      </c>
      <c r="L1116">
        <f t="shared" si="53"/>
        <v>2025</v>
      </c>
    </row>
    <row r="1117" spans="1:12" x14ac:dyDescent="0.3">
      <c r="A1117" t="s">
        <v>2124</v>
      </c>
      <c r="B1117" t="s">
        <v>2123</v>
      </c>
      <c r="C1117" t="s">
        <v>58</v>
      </c>
      <c r="D1117">
        <v>2</v>
      </c>
      <c r="E1117" s="1">
        <v>45815</v>
      </c>
      <c r="F1117" t="s">
        <v>625</v>
      </c>
      <c r="G1117">
        <v>4</v>
      </c>
      <c r="H1117" t="s">
        <v>581</v>
      </c>
      <c r="I1117" t="s">
        <v>597</v>
      </c>
      <c r="J1117" t="str">
        <f t="shared" si="51"/>
        <v>June</v>
      </c>
      <c r="K1117" t="str">
        <f t="shared" si="52"/>
        <v>Q2</v>
      </c>
      <c r="L1117">
        <f t="shared" si="53"/>
        <v>2025</v>
      </c>
    </row>
    <row r="1118" spans="1:12" x14ac:dyDescent="0.3">
      <c r="A1118" t="s">
        <v>2125</v>
      </c>
      <c r="B1118" t="s">
        <v>2123</v>
      </c>
      <c r="C1118" t="s">
        <v>58</v>
      </c>
      <c r="D1118">
        <v>3</v>
      </c>
      <c r="E1118" s="1">
        <v>45827</v>
      </c>
      <c r="F1118" t="s">
        <v>605</v>
      </c>
      <c r="G1118">
        <v>4</v>
      </c>
      <c r="H1118" t="s">
        <v>581</v>
      </c>
      <c r="I1118" t="s">
        <v>597</v>
      </c>
      <c r="J1118" t="str">
        <f t="shared" si="51"/>
        <v>June</v>
      </c>
      <c r="K1118" t="str">
        <f t="shared" si="52"/>
        <v>Q2</v>
      </c>
      <c r="L1118">
        <f t="shared" si="53"/>
        <v>2025</v>
      </c>
    </row>
    <row r="1119" spans="1:12" x14ac:dyDescent="0.3">
      <c r="A1119" t="s">
        <v>2126</v>
      </c>
      <c r="B1119" t="s">
        <v>67</v>
      </c>
      <c r="C1119" t="s">
        <v>68</v>
      </c>
      <c r="D1119">
        <v>1</v>
      </c>
      <c r="E1119" s="1">
        <v>45736</v>
      </c>
      <c r="F1119" t="s">
        <v>632</v>
      </c>
      <c r="G1119">
        <v>4</v>
      </c>
      <c r="H1119" t="s">
        <v>581</v>
      </c>
      <c r="I1119" t="s">
        <v>570</v>
      </c>
      <c r="J1119" t="str">
        <f t="shared" si="51"/>
        <v>March</v>
      </c>
      <c r="K1119" t="str">
        <f t="shared" si="52"/>
        <v>Q1</v>
      </c>
      <c r="L1119">
        <f t="shared" si="53"/>
        <v>2025</v>
      </c>
    </row>
    <row r="1120" spans="1:12" x14ac:dyDescent="0.3">
      <c r="A1120" t="s">
        <v>2127</v>
      </c>
      <c r="B1120" t="s">
        <v>67</v>
      </c>
      <c r="C1120" t="s">
        <v>68</v>
      </c>
      <c r="D1120">
        <v>2</v>
      </c>
      <c r="E1120" s="1">
        <v>45744</v>
      </c>
      <c r="F1120" t="s">
        <v>632</v>
      </c>
      <c r="G1120">
        <v>5</v>
      </c>
      <c r="H1120" t="s">
        <v>581</v>
      </c>
      <c r="I1120" t="s">
        <v>570</v>
      </c>
      <c r="J1120" t="str">
        <f t="shared" si="51"/>
        <v>March</v>
      </c>
      <c r="K1120" t="str">
        <f t="shared" si="52"/>
        <v>Q1</v>
      </c>
      <c r="L1120">
        <f t="shared" si="53"/>
        <v>2025</v>
      </c>
    </row>
    <row r="1121" spans="1:12" x14ac:dyDescent="0.3">
      <c r="A1121" t="s">
        <v>2128</v>
      </c>
      <c r="B1121" t="s">
        <v>217</v>
      </c>
      <c r="C1121" t="s">
        <v>176</v>
      </c>
      <c r="D1121">
        <v>1</v>
      </c>
      <c r="E1121" s="1">
        <v>45711</v>
      </c>
      <c r="F1121" t="s">
        <v>638</v>
      </c>
      <c r="G1121">
        <v>4</v>
      </c>
      <c r="H1121" t="s">
        <v>581</v>
      </c>
      <c r="I1121" t="s">
        <v>597</v>
      </c>
      <c r="J1121" t="str">
        <f t="shared" si="51"/>
        <v>February</v>
      </c>
      <c r="K1121" t="str">
        <f t="shared" si="52"/>
        <v>Q1</v>
      </c>
      <c r="L1121">
        <f t="shared" si="53"/>
        <v>2025</v>
      </c>
    </row>
    <row r="1122" spans="1:12" x14ac:dyDescent="0.3">
      <c r="A1122" t="s">
        <v>2129</v>
      </c>
      <c r="B1122" t="s">
        <v>217</v>
      </c>
      <c r="C1122" t="s">
        <v>176</v>
      </c>
      <c r="D1122">
        <v>2</v>
      </c>
      <c r="E1122" s="1">
        <v>45720</v>
      </c>
      <c r="F1122" t="s">
        <v>572</v>
      </c>
      <c r="G1122">
        <v>4</v>
      </c>
      <c r="H1122" t="s">
        <v>581</v>
      </c>
      <c r="I1122" t="s">
        <v>570</v>
      </c>
      <c r="J1122" t="str">
        <f t="shared" si="51"/>
        <v>March</v>
      </c>
      <c r="K1122" t="str">
        <f t="shared" si="52"/>
        <v>Q1</v>
      </c>
      <c r="L1122">
        <f t="shared" si="53"/>
        <v>2025</v>
      </c>
    </row>
    <row r="1123" spans="1:12" x14ac:dyDescent="0.3">
      <c r="A1123" t="s">
        <v>2130</v>
      </c>
      <c r="B1123" t="s">
        <v>2131</v>
      </c>
      <c r="C1123" t="s">
        <v>65</v>
      </c>
      <c r="D1123">
        <v>1</v>
      </c>
      <c r="E1123" s="1">
        <v>45926</v>
      </c>
      <c r="F1123" t="s">
        <v>663</v>
      </c>
      <c r="G1123">
        <v>1</v>
      </c>
      <c r="H1123" t="s">
        <v>569</v>
      </c>
      <c r="I1123" t="s">
        <v>570</v>
      </c>
      <c r="J1123" t="str">
        <f t="shared" si="51"/>
        <v>September</v>
      </c>
      <c r="K1123" t="str">
        <f t="shared" si="52"/>
        <v>Q3</v>
      </c>
      <c r="L1123">
        <f t="shared" si="53"/>
        <v>2025</v>
      </c>
    </row>
    <row r="1124" spans="1:12" x14ac:dyDescent="0.3">
      <c r="A1124" t="s">
        <v>2132</v>
      </c>
      <c r="B1124" t="s">
        <v>2131</v>
      </c>
      <c r="C1124" t="s">
        <v>65</v>
      </c>
      <c r="D1124">
        <v>2</v>
      </c>
      <c r="E1124" s="1">
        <v>45936</v>
      </c>
      <c r="F1124" t="s">
        <v>572</v>
      </c>
      <c r="G1124">
        <v>2</v>
      </c>
      <c r="H1124" t="s">
        <v>569</v>
      </c>
      <c r="I1124" t="s">
        <v>570</v>
      </c>
      <c r="J1124" t="str">
        <f t="shared" si="51"/>
        <v>October</v>
      </c>
      <c r="K1124" t="str">
        <f t="shared" si="52"/>
        <v>Q4</v>
      </c>
      <c r="L1124">
        <f t="shared" si="53"/>
        <v>2025</v>
      </c>
    </row>
    <row r="1125" spans="1:12" x14ac:dyDescent="0.3">
      <c r="A1125" t="s">
        <v>2133</v>
      </c>
      <c r="B1125" t="s">
        <v>517</v>
      </c>
      <c r="C1125" t="s">
        <v>326</v>
      </c>
      <c r="D1125">
        <v>1</v>
      </c>
      <c r="E1125" s="1">
        <v>45755</v>
      </c>
      <c r="F1125" t="s">
        <v>638</v>
      </c>
      <c r="G1125">
        <v>4</v>
      </c>
      <c r="H1125" t="s">
        <v>581</v>
      </c>
      <c r="I1125" t="s">
        <v>570</v>
      </c>
      <c r="J1125" t="str">
        <f t="shared" si="51"/>
        <v>April</v>
      </c>
      <c r="K1125" t="str">
        <f t="shared" si="52"/>
        <v>Q2</v>
      </c>
      <c r="L1125">
        <f t="shared" si="53"/>
        <v>2025</v>
      </c>
    </row>
    <row r="1126" spans="1:12" x14ac:dyDescent="0.3">
      <c r="A1126" t="s">
        <v>2134</v>
      </c>
      <c r="B1126" t="s">
        <v>517</v>
      </c>
      <c r="C1126" t="s">
        <v>326</v>
      </c>
      <c r="D1126">
        <v>2</v>
      </c>
      <c r="E1126" s="1">
        <v>45765</v>
      </c>
      <c r="F1126" t="s">
        <v>575</v>
      </c>
      <c r="G1126">
        <v>3</v>
      </c>
      <c r="H1126" t="s">
        <v>578</v>
      </c>
      <c r="I1126" t="s">
        <v>570</v>
      </c>
      <c r="J1126" t="str">
        <f t="shared" si="51"/>
        <v>April</v>
      </c>
      <c r="K1126" t="str">
        <f t="shared" si="52"/>
        <v>Q2</v>
      </c>
      <c r="L1126">
        <f t="shared" si="53"/>
        <v>2025</v>
      </c>
    </row>
    <row r="1127" spans="1:12" x14ac:dyDescent="0.3">
      <c r="A1127" t="s">
        <v>2135</v>
      </c>
      <c r="B1127" t="s">
        <v>517</v>
      </c>
      <c r="C1127" t="s">
        <v>326</v>
      </c>
      <c r="D1127">
        <v>3</v>
      </c>
      <c r="E1127" s="1">
        <v>45769</v>
      </c>
      <c r="F1127" t="s">
        <v>575</v>
      </c>
      <c r="G1127">
        <v>3</v>
      </c>
      <c r="H1127" t="s">
        <v>578</v>
      </c>
      <c r="I1127" t="s">
        <v>570</v>
      </c>
      <c r="J1127" t="str">
        <f t="shared" si="51"/>
        <v>April</v>
      </c>
      <c r="K1127" t="str">
        <f t="shared" si="52"/>
        <v>Q2</v>
      </c>
      <c r="L1127">
        <f t="shared" si="53"/>
        <v>2025</v>
      </c>
    </row>
    <row r="1128" spans="1:12" x14ac:dyDescent="0.3">
      <c r="A1128" t="s">
        <v>2136</v>
      </c>
      <c r="B1128" t="s">
        <v>517</v>
      </c>
      <c r="C1128" t="s">
        <v>326</v>
      </c>
      <c r="D1128">
        <v>4</v>
      </c>
      <c r="E1128" s="1">
        <v>45773</v>
      </c>
      <c r="F1128" t="s">
        <v>596</v>
      </c>
      <c r="G1128">
        <v>4</v>
      </c>
      <c r="H1128" t="s">
        <v>581</v>
      </c>
      <c r="I1128" t="s">
        <v>570</v>
      </c>
      <c r="J1128" t="str">
        <f t="shared" si="51"/>
        <v>April</v>
      </c>
      <c r="K1128" t="str">
        <f t="shared" si="52"/>
        <v>Q2</v>
      </c>
      <c r="L1128">
        <f t="shared" si="53"/>
        <v>2025</v>
      </c>
    </row>
    <row r="1129" spans="1:12" x14ac:dyDescent="0.3">
      <c r="A1129" t="s">
        <v>2137</v>
      </c>
      <c r="B1129" t="s">
        <v>2138</v>
      </c>
      <c r="C1129" t="s">
        <v>240</v>
      </c>
      <c r="D1129">
        <v>1</v>
      </c>
      <c r="E1129" s="1">
        <v>45950</v>
      </c>
      <c r="F1129" t="s">
        <v>586</v>
      </c>
      <c r="G1129">
        <v>2</v>
      </c>
      <c r="H1129" t="s">
        <v>569</v>
      </c>
      <c r="I1129" t="s">
        <v>570</v>
      </c>
      <c r="J1129" t="str">
        <f t="shared" si="51"/>
        <v>October</v>
      </c>
      <c r="K1129" t="str">
        <f t="shared" si="52"/>
        <v>Q4</v>
      </c>
      <c r="L1129">
        <f t="shared" si="53"/>
        <v>2025</v>
      </c>
    </row>
    <row r="1130" spans="1:12" x14ac:dyDescent="0.3">
      <c r="A1130" t="s">
        <v>2139</v>
      </c>
      <c r="B1130" t="s">
        <v>2138</v>
      </c>
      <c r="C1130" t="s">
        <v>240</v>
      </c>
      <c r="D1130">
        <v>2</v>
      </c>
      <c r="E1130" s="1">
        <v>45957</v>
      </c>
      <c r="F1130" t="s">
        <v>568</v>
      </c>
      <c r="G1130">
        <v>2</v>
      </c>
      <c r="H1130" t="s">
        <v>569</v>
      </c>
      <c r="I1130" t="s">
        <v>570</v>
      </c>
      <c r="J1130" t="str">
        <f t="shared" si="51"/>
        <v>October</v>
      </c>
      <c r="K1130" t="str">
        <f t="shared" si="52"/>
        <v>Q4</v>
      </c>
      <c r="L1130">
        <f t="shared" si="53"/>
        <v>2025</v>
      </c>
    </row>
    <row r="1131" spans="1:12" x14ac:dyDescent="0.3">
      <c r="A1131" t="s">
        <v>2140</v>
      </c>
      <c r="B1131" t="s">
        <v>2141</v>
      </c>
      <c r="C1131" t="s">
        <v>208</v>
      </c>
      <c r="D1131">
        <v>1</v>
      </c>
      <c r="E1131" s="1">
        <v>45804</v>
      </c>
      <c r="F1131" t="s">
        <v>580</v>
      </c>
      <c r="G1131">
        <v>4</v>
      </c>
      <c r="H1131" t="s">
        <v>581</v>
      </c>
      <c r="I1131" t="s">
        <v>597</v>
      </c>
      <c r="J1131" t="str">
        <f t="shared" si="51"/>
        <v>May</v>
      </c>
      <c r="K1131" t="str">
        <f t="shared" si="52"/>
        <v>Q2</v>
      </c>
      <c r="L1131">
        <f t="shared" si="53"/>
        <v>2025</v>
      </c>
    </row>
    <row r="1132" spans="1:12" x14ac:dyDescent="0.3">
      <c r="A1132" t="s">
        <v>2142</v>
      </c>
      <c r="B1132" t="s">
        <v>2141</v>
      </c>
      <c r="C1132" t="s">
        <v>208</v>
      </c>
      <c r="D1132">
        <v>2</v>
      </c>
      <c r="E1132" s="1">
        <v>45811</v>
      </c>
      <c r="F1132" t="s">
        <v>590</v>
      </c>
      <c r="G1132">
        <v>1</v>
      </c>
      <c r="H1132" t="s">
        <v>569</v>
      </c>
      <c r="I1132" t="s">
        <v>570</v>
      </c>
      <c r="J1132" t="str">
        <f t="shared" si="51"/>
        <v>June</v>
      </c>
      <c r="K1132" t="str">
        <f t="shared" si="52"/>
        <v>Q2</v>
      </c>
      <c r="L1132">
        <f t="shared" si="53"/>
        <v>2025</v>
      </c>
    </row>
    <row r="1133" spans="1:12" x14ac:dyDescent="0.3">
      <c r="A1133" t="s">
        <v>2143</v>
      </c>
      <c r="B1133" t="s">
        <v>2144</v>
      </c>
      <c r="C1133" t="s">
        <v>156</v>
      </c>
      <c r="D1133">
        <v>1</v>
      </c>
      <c r="E1133" s="1">
        <v>45733</v>
      </c>
      <c r="F1133" t="s">
        <v>580</v>
      </c>
      <c r="G1133">
        <v>4</v>
      </c>
      <c r="H1133" t="s">
        <v>581</v>
      </c>
      <c r="I1133" t="s">
        <v>570</v>
      </c>
      <c r="J1133" t="str">
        <f t="shared" si="51"/>
        <v>March</v>
      </c>
      <c r="K1133" t="str">
        <f t="shared" si="52"/>
        <v>Q1</v>
      </c>
      <c r="L1133">
        <f t="shared" si="53"/>
        <v>2025</v>
      </c>
    </row>
    <row r="1134" spans="1:12" x14ac:dyDescent="0.3">
      <c r="A1134" t="s">
        <v>2145</v>
      </c>
      <c r="B1134" t="s">
        <v>2144</v>
      </c>
      <c r="C1134" t="s">
        <v>156</v>
      </c>
      <c r="D1134">
        <v>2</v>
      </c>
      <c r="E1134" s="1">
        <v>45740</v>
      </c>
      <c r="F1134" t="s">
        <v>766</v>
      </c>
      <c r="G1134">
        <v>3</v>
      </c>
      <c r="H1134" t="s">
        <v>578</v>
      </c>
      <c r="I1134" t="s">
        <v>570</v>
      </c>
      <c r="J1134" t="str">
        <f t="shared" si="51"/>
        <v>March</v>
      </c>
      <c r="K1134" t="str">
        <f t="shared" si="52"/>
        <v>Q1</v>
      </c>
      <c r="L1134">
        <f t="shared" si="53"/>
        <v>2025</v>
      </c>
    </row>
    <row r="1135" spans="1:12" x14ac:dyDescent="0.3">
      <c r="A1135" t="s">
        <v>2146</v>
      </c>
      <c r="B1135" t="s">
        <v>2144</v>
      </c>
      <c r="C1135" t="s">
        <v>156</v>
      </c>
      <c r="D1135">
        <v>3</v>
      </c>
      <c r="E1135" s="1">
        <v>45745</v>
      </c>
      <c r="F1135" t="s">
        <v>592</v>
      </c>
      <c r="G1135">
        <v>3</v>
      </c>
      <c r="H1135" t="s">
        <v>578</v>
      </c>
      <c r="I1135" t="s">
        <v>570</v>
      </c>
      <c r="J1135" t="str">
        <f t="shared" si="51"/>
        <v>March</v>
      </c>
      <c r="K1135" t="str">
        <f t="shared" si="52"/>
        <v>Q1</v>
      </c>
      <c r="L1135">
        <f t="shared" si="53"/>
        <v>2025</v>
      </c>
    </row>
    <row r="1136" spans="1:12" x14ac:dyDescent="0.3">
      <c r="A1136" t="s">
        <v>2147</v>
      </c>
      <c r="B1136" t="s">
        <v>2144</v>
      </c>
      <c r="C1136" t="s">
        <v>156</v>
      </c>
      <c r="D1136">
        <v>4</v>
      </c>
      <c r="E1136" s="1">
        <v>45752</v>
      </c>
      <c r="F1136" t="s">
        <v>638</v>
      </c>
      <c r="G1136">
        <v>3</v>
      </c>
      <c r="H1136" t="s">
        <v>578</v>
      </c>
      <c r="I1136" t="s">
        <v>570</v>
      </c>
      <c r="J1136" t="str">
        <f t="shared" si="51"/>
        <v>April</v>
      </c>
      <c r="K1136" t="str">
        <f t="shared" si="52"/>
        <v>Q2</v>
      </c>
      <c r="L1136">
        <f t="shared" si="53"/>
        <v>2025</v>
      </c>
    </row>
    <row r="1137" spans="1:12" x14ac:dyDescent="0.3">
      <c r="A1137" t="s">
        <v>2148</v>
      </c>
      <c r="B1137" t="s">
        <v>2149</v>
      </c>
      <c r="C1137" t="s">
        <v>85</v>
      </c>
      <c r="D1137">
        <v>1</v>
      </c>
      <c r="E1137" s="1">
        <v>45852</v>
      </c>
      <c r="F1137" t="s">
        <v>568</v>
      </c>
      <c r="G1137">
        <v>1</v>
      </c>
      <c r="H1137" t="s">
        <v>569</v>
      </c>
      <c r="I1137" t="s">
        <v>570</v>
      </c>
      <c r="J1137" t="str">
        <f t="shared" si="51"/>
        <v>July</v>
      </c>
      <c r="K1137" t="str">
        <f t="shared" si="52"/>
        <v>Q3</v>
      </c>
      <c r="L1137">
        <f t="shared" si="53"/>
        <v>2025</v>
      </c>
    </row>
    <row r="1138" spans="1:12" x14ac:dyDescent="0.3">
      <c r="A1138" t="s">
        <v>2150</v>
      </c>
      <c r="B1138" t="s">
        <v>2151</v>
      </c>
      <c r="C1138" t="s">
        <v>22</v>
      </c>
      <c r="D1138">
        <v>1</v>
      </c>
      <c r="E1138" s="1">
        <v>45842</v>
      </c>
      <c r="F1138" t="s">
        <v>577</v>
      </c>
      <c r="G1138">
        <v>1</v>
      </c>
      <c r="H1138" t="s">
        <v>569</v>
      </c>
      <c r="I1138" t="s">
        <v>570</v>
      </c>
      <c r="J1138" t="str">
        <f t="shared" si="51"/>
        <v>July</v>
      </c>
      <c r="K1138" t="str">
        <f t="shared" si="52"/>
        <v>Q3</v>
      </c>
      <c r="L1138">
        <f t="shared" si="53"/>
        <v>2025</v>
      </c>
    </row>
    <row r="1139" spans="1:12" x14ac:dyDescent="0.3">
      <c r="A1139" t="s">
        <v>2152</v>
      </c>
      <c r="B1139" t="s">
        <v>2151</v>
      </c>
      <c r="C1139" t="s">
        <v>22</v>
      </c>
      <c r="D1139">
        <v>2</v>
      </c>
      <c r="E1139" s="1">
        <v>45849</v>
      </c>
      <c r="F1139" t="s">
        <v>577</v>
      </c>
      <c r="G1139">
        <v>2</v>
      </c>
      <c r="H1139" t="s">
        <v>569</v>
      </c>
      <c r="I1139" t="s">
        <v>570</v>
      </c>
      <c r="J1139" t="str">
        <f t="shared" si="51"/>
        <v>July</v>
      </c>
      <c r="K1139" t="str">
        <f t="shared" si="52"/>
        <v>Q3</v>
      </c>
      <c r="L1139">
        <f t="shared" si="53"/>
        <v>2025</v>
      </c>
    </row>
    <row r="1140" spans="1:12" x14ac:dyDescent="0.3">
      <c r="A1140" t="s">
        <v>2153</v>
      </c>
      <c r="B1140" t="s">
        <v>2151</v>
      </c>
      <c r="C1140" t="s">
        <v>22</v>
      </c>
      <c r="D1140">
        <v>3</v>
      </c>
      <c r="E1140" s="1">
        <v>45859</v>
      </c>
      <c r="F1140" t="s">
        <v>603</v>
      </c>
      <c r="G1140">
        <v>1</v>
      </c>
      <c r="H1140" t="s">
        <v>569</v>
      </c>
      <c r="I1140" t="s">
        <v>570</v>
      </c>
      <c r="J1140" t="str">
        <f t="shared" si="51"/>
        <v>July</v>
      </c>
      <c r="K1140" t="str">
        <f t="shared" si="52"/>
        <v>Q3</v>
      </c>
      <c r="L1140">
        <f t="shared" si="53"/>
        <v>2025</v>
      </c>
    </row>
    <row r="1141" spans="1:12" x14ac:dyDescent="0.3">
      <c r="A1141" t="s">
        <v>2154</v>
      </c>
      <c r="B1141" t="s">
        <v>2151</v>
      </c>
      <c r="C1141" t="s">
        <v>22</v>
      </c>
      <c r="D1141">
        <v>4</v>
      </c>
      <c r="E1141" s="1">
        <v>45866</v>
      </c>
      <c r="F1141" t="s">
        <v>612</v>
      </c>
      <c r="G1141">
        <v>1</v>
      </c>
      <c r="H1141" t="s">
        <v>569</v>
      </c>
      <c r="I1141" t="s">
        <v>570</v>
      </c>
      <c r="J1141" t="str">
        <f t="shared" si="51"/>
        <v>July</v>
      </c>
      <c r="K1141" t="str">
        <f t="shared" si="52"/>
        <v>Q3</v>
      </c>
      <c r="L1141">
        <f t="shared" si="53"/>
        <v>2025</v>
      </c>
    </row>
    <row r="1142" spans="1:12" x14ac:dyDescent="0.3">
      <c r="A1142" t="s">
        <v>2155</v>
      </c>
      <c r="B1142" t="s">
        <v>2156</v>
      </c>
      <c r="C1142" t="s">
        <v>85</v>
      </c>
      <c r="D1142">
        <v>1</v>
      </c>
      <c r="E1142" s="1">
        <v>45842</v>
      </c>
      <c r="F1142" t="s">
        <v>586</v>
      </c>
      <c r="G1142">
        <v>1</v>
      </c>
      <c r="H1142" t="s">
        <v>569</v>
      </c>
      <c r="I1142" t="s">
        <v>570</v>
      </c>
      <c r="J1142" t="str">
        <f t="shared" si="51"/>
        <v>July</v>
      </c>
      <c r="K1142" t="str">
        <f t="shared" si="52"/>
        <v>Q3</v>
      </c>
      <c r="L1142">
        <f t="shared" si="53"/>
        <v>2025</v>
      </c>
    </row>
    <row r="1143" spans="1:12" x14ac:dyDescent="0.3">
      <c r="A1143" t="s">
        <v>2157</v>
      </c>
      <c r="B1143" t="s">
        <v>2158</v>
      </c>
      <c r="C1143" t="s">
        <v>108</v>
      </c>
      <c r="D1143">
        <v>1</v>
      </c>
      <c r="E1143" s="1">
        <v>45752</v>
      </c>
      <c r="F1143" t="s">
        <v>596</v>
      </c>
      <c r="G1143">
        <v>2</v>
      </c>
      <c r="H1143" t="s">
        <v>569</v>
      </c>
      <c r="I1143" t="s">
        <v>570</v>
      </c>
      <c r="J1143" t="str">
        <f t="shared" si="51"/>
        <v>April</v>
      </c>
      <c r="K1143" t="str">
        <f t="shared" si="52"/>
        <v>Q2</v>
      </c>
      <c r="L1143">
        <f t="shared" si="53"/>
        <v>2025</v>
      </c>
    </row>
    <row r="1144" spans="1:12" x14ac:dyDescent="0.3">
      <c r="A1144" t="s">
        <v>2159</v>
      </c>
      <c r="B1144" t="s">
        <v>2158</v>
      </c>
      <c r="C1144" t="s">
        <v>108</v>
      </c>
      <c r="D1144">
        <v>2</v>
      </c>
      <c r="E1144" s="1">
        <v>45763</v>
      </c>
      <c r="F1144" t="s">
        <v>577</v>
      </c>
      <c r="G1144">
        <v>1</v>
      </c>
      <c r="H1144" t="s">
        <v>569</v>
      </c>
      <c r="I1144" t="s">
        <v>570</v>
      </c>
      <c r="J1144" t="str">
        <f t="shared" si="51"/>
        <v>April</v>
      </c>
      <c r="K1144" t="str">
        <f t="shared" si="52"/>
        <v>Q2</v>
      </c>
      <c r="L1144">
        <f t="shared" si="53"/>
        <v>2025</v>
      </c>
    </row>
    <row r="1145" spans="1:12" x14ac:dyDescent="0.3">
      <c r="A1145" t="s">
        <v>2160</v>
      </c>
      <c r="B1145" t="s">
        <v>2158</v>
      </c>
      <c r="C1145" t="s">
        <v>108</v>
      </c>
      <c r="D1145">
        <v>3</v>
      </c>
      <c r="E1145" s="1">
        <v>45769</v>
      </c>
      <c r="F1145" t="s">
        <v>596</v>
      </c>
      <c r="G1145">
        <v>2</v>
      </c>
      <c r="H1145" t="s">
        <v>569</v>
      </c>
      <c r="I1145" t="s">
        <v>570</v>
      </c>
      <c r="J1145" t="str">
        <f t="shared" si="51"/>
        <v>April</v>
      </c>
      <c r="K1145" t="str">
        <f t="shared" si="52"/>
        <v>Q2</v>
      </c>
      <c r="L1145">
        <f t="shared" si="53"/>
        <v>2025</v>
      </c>
    </row>
    <row r="1146" spans="1:12" x14ac:dyDescent="0.3">
      <c r="A1146" t="s">
        <v>2161</v>
      </c>
      <c r="B1146" t="s">
        <v>269</v>
      </c>
      <c r="C1146" t="s">
        <v>244</v>
      </c>
      <c r="D1146">
        <v>1</v>
      </c>
      <c r="E1146" s="1">
        <v>45663</v>
      </c>
      <c r="F1146" t="s">
        <v>663</v>
      </c>
      <c r="G1146">
        <v>4</v>
      </c>
      <c r="H1146" t="s">
        <v>581</v>
      </c>
      <c r="I1146" t="s">
        <v>570</v>
      </c>
      <c r="J1146" t="str">
        <f t="shared" si="51"/>
        <v>January</v>
      </c>
      <c r="K1146" t="str">
        <f t="shared" si="52"/>
        <v>Q1</v>
      </c>
      <c r="L1146">
        <f t="shared" si="53"/>
        <v>2025</v>
      </c>
    </row>
    <row r="1147" spans="1:12" x14ac:dyDescent="0.3">
      <c r="A1147" t="s">
        <v>2162</v>
      </c>
      <c r="B1147" t="s">
        <v>269</v>
      </c>
      <c r="C1147" t="s">
        <v>244</v>
      </c>
      <c r="D1147">
        <v>2</v>
      </c>
      <c r="E1147" s="1">
        <v>45667</v>
      </c>
      <c r="F1147" t="s">
        <v>572</v>
      </c>
      <c r="G1147">
        <v>4</v>
      </c>
      <c r="H1147" t="s">
        <v>581</v>
      </c>
      <c r="I1147" t="s">
        <v>570</v>
      </c>
      <c r="J1147" t="str">
        <f t="shared" si="51"/>
        <v>January</v>
      </c>
      <c r="K1147" t="str">
        <f t="shared" si="52"/>
        <v>Q1</v>
      </c>
      <c r="L1147">
        <f t="shared" si="53"/>
        <v>2025</v>
      </c>
    </row>
    <row r="1148" spans="1:12" x14ac:dyDescent="0.3">
      <c r="A1148" t="s">
        <v>2163</v>
      </c>
      <c r="B1148" t="s">
        <v>2164</v>
      </c>
      <c r="C1148" t="s">
        <v>99</v>
      </c>
      <c r="D1148">
        <v>1</v>
      </c>
      <c r="E1148" s="1">
        <v>45856</v>
      </c>
      <c r="F1148" t="s">
        <v>649</v>
      </c>
      <c r="G1148">
        <v>3</v>
      </c>
      <c r="H1148" t="s">
        <v>578</v>
      </c>
      <c r="I1148" t="s">
        <v>570</v>
      </c>
      <c r="J1148" t="str">
        <f t="shared" si="51"/>
        <v>July</v>
      </c>
      <c r="K1148" t="str">
        <f t="shared" si="52"/>
        <v>Q3</v>
      </c>
      <c r="L1148">
        <f t="shared" si="53"/>
        <v>2025</v>
      </c>
    </row>
    <row r="1149" spans="1:12" x14ac:dyDescent="0.3">
      <c r="A1149" t="s">
        <v>2165</v>
      </c>
      <c r="B1149" t="s">
        <v>2164</v>
      </c>
      <c r="C1149" t="s">
        <v>99</v>
      </c>
      <c r="D1149">
        <v>2</v>
      </c>
      <c r="E1149" s="1">
        <v>45862</v>
      </c>
      <c r="F1149" t="s">
        <v>625</v>
      </c>
      <c r="G1149">
        <v>4</v>
      </c>
      <c r="H1149" t="s">
        <v>581</v>
      </c>
      <c r="I1149" t="s">
        <v>570</v>
      </c>
      <c r="J1149" t="str">
        <f t="shared" si="51"/>
        <v>July</v>
      </c>
      <c r="K1149" t="str">
        <f t="shared" si="52"/>
        <v>Q3</v>
      </c>
      <c r="L1149">
        <f t="shared" si="53"/>
        <v>2025</v>
      </c>
    </row>
    <row r="1150" spans="1:12" x14ac:dyDescent="0.3">
      <c r="A1150" t="s">
        <v>2166</v>
      </c>
      <c r="B1150" t="s">
        <v>165</v>
      </c>
      <c r="C1150" t="s">
        <v>166</v>
      </c>
      <c r="D1150">
        <v>1</v>
      </c>
      <c r="E1150" s="1">
        <v>45785</v>
      </c>
      <c r="F1150" t="s">
        <v>596</v>
      </c>
      <c r="G1150">
        <v>4</v>
      </c>
      <c r="H1150" t="s">
        <v>581</v>
      </c>
      <c r="I1150" t="s">
        <v>597</v>
      </c>
      <c r="J1150" t="str">
        <f t="shared" si="51"/>
        <v>May</v>
      </c>
      <c r="K1150" t="str">
        <f t="shared" si="52"/>
        <v>Q2</v>
      </c>
      <c r="L1150">
        <f t="shared" si="53"/>
        <v>2025</v>
      </c>
    </row>
    <row r="1151" spans="1:12" x14ac:dyDescent="0.3">
      <c r="A1151" t="s">
        <v>2167</v>
      </c>
      <c r="B1151" t="s">
        <v>165</v>
      </c>
      <c r="C1151" t="s">
        <v>166</v>
      </c>
      <c r="D1151">
        <v>2</v>
      </c>
      <c r="E1151" s="1">
        <v>45791</v>
      </c>
      <c r="F1151" t="s">
        <v>596</v>
      </c>
      <c r="G1151">
        <v>4</v>
      </c>
      <c r="H1151" t="s">
        <v>581</v>
      </c>
      <c r="I1151" t="s">
        <v>570</v>
      </c>
      <c r="J1151" t="str">
        <f t="shared" si="51"/>
        <v>May</v>
      </c>
      <c r="K1151" t="str">
        <f t="shared" si="52"/>
        <v>Q2</v>
      </c>
      <c r="L1151">
        <f t="shared" si="53"/>
        <v>2025</v>
      </c>
    </row>
    <row r="1152" spans="1:12" x14ac:dyDescent="0.3">
      <c r="A1152" t="s">
        <v>2168</v>
      </c>
      <c r="B1152" t="s">
        <v>2169</v>
      </c>
      <c r="C1152" t="s">
        <v>58</v>
      </c>
      <c r="D1152">
        <v>1</v>
      </c>
      <c r="E1152" s="1">
        <v>45812</v>
      </c>
      <c r="F1152" t="s">
        <v>572</v>
      </c>
      <c r="G1152">
        <v>2</v>
      </c>
      <c r="H1152" t="s">
        <v>569</v>
      </c>
      <c r="I1152" t="s">
        <v>570</v>
      </c>
      <c r="J1152" t="str">
        <f t="shared" si="51"/>
        <v>June</v>
      </c>
      <c r="K1152" t="str">
        <f t="shared" si="52"/>
        <v>Q2</v>
      </c>
      <c r="L1152">
        <f t="shared" si="53"/>
        <v>2025</v>
      </c>
    </row>
    <row r="1153" spans="1:12" x14ac:dyDescent="0.3">
      <c r="A1153" t="s">
        <v>2170</v>
      </c>
      <c r="B1153" t="s">
        <v>2169</v>
      </c>
      <c r="C1153" t="s">
        <v>58</v>
      </c>
      <c r="D1153">
        <v>2</v>
      </c>
      <c r="E1153" s="1">
        <v>45821</v>
      </c>
      <c r="F1153" t="s">
        <v>603</v>
      </c>
      <c r="G1153">
        <v>3</v>
      </c>
      <c r="H1153" t="s">
        <v>578</v>
      </c>
      <c r="I1153" t="s">
        <v>570</v>
      </c>
      <c r="J1153" t="str">
        <f t="shared" si="51"/>
        <v>June</v>
      </c>
      <c r="K1153" t="str">
        <f t="shared" si="52"/>
        <v>Q2</v>
      </c>
      <c r="L1153">
        <f t="shared" si="53"/>
        <v>2025</v>
      </c>
    </row>
    <row r="1154" spans="1:12" x14ac:dyDescent="0.3">
      <c r="A1154" t="s">
        <v>2171</v>
      </c>
      <c r="B1154" t="s">
        <v>2169</v>
      </c>
      <c r="C1154" t="s">
        <v>58</v>
      </c>
      <c r="D1154">
        <v>3</v>
      </c>
      <c r="E1154" s="1">
        <v>45831</v>
      </c>
      <c r="F1154" t="s">
        <v>603</v>
      </c>
      <c r="G1154">
        <v>4</v>
      </c>
      <c r="H1154" t="s">
        <v>581</v>
      </c>
      <c r="I1154" t="s">
        <v>570</v>
      </c>
      <c r="J1154" t="str">
        <f t="shared" ref="J1154:J1217" si="54">TEXT(E1154,"mmmm")</f>
        <v>June</v>
      </c>
      <c r="K1154" t="str">
        <f t="shared" ref="K1154:K1217" si="55">"Q"&amp;ROUNDUP(MONTH(E1154)/3,0)</f>
        <v>Q2</v>
      </c>
      <c r="L1154">
        <f t="shared" ref="L1154:L1217" si="56">YEAR(E1154)</f>
        <v>2025</v>
      </c>
    </row>
    <row r="1155" spans="1:12" x14ac:dyDescent="0.3">
      <c r="A1155" t="s">
        <v>2172</v>
      </c>
      <c r="B1155" t="s">
        <v>2173</v>
      </c>
      <c r="C1155" t="s">
        <v>16</v>
      </c>
      <c r="D1155">
        <v>1</v>
      </c>
      <c r="E1155" s="1">
        <v>45764</v>
      </c>
      <c r="F1155" t="s">
        <v>636</v>
      </c>
      <c r="G1155">
        <v>3</v>
      </c>
      <c r="H1155" t="s">
        <v>578</v>
      </c>
      <c r="I1155" t="s">
        <v>570</v>
      </c>
      <c r="J1155" t="str">
        <f t="shared" si="54"/>
        <v>April</v>
      </c>
      <c r="K1155" t="str">
        <f t="shared" si="55"/>
        <v>Q2</v>
      </c>
      <c r="L1155">
        <f t="shared" si="56"/>
        <v>2025</v>
      </c>
    </row>
    <row r="1156" spans="1:12" x14ac:dyDescent="0.3">
      <c r="A1156" t="s">
        <v>2174</v>
      </c>
      <c r="B1156" t="s">
        <v>2173</v>
      </c>
      <c r="C1156" t="s">
        <v>16</v>
      </c>
      <c r="D1156">
        <v>2</v>
      </c>
      <c r="E1156" s="1">
        <v>45770</v>
      </c>
      <c r="F1156" t="s">
        <v>600</v>
      </c>
      <c r="G1156">
        <v>2</v>
      </c>
      <c r="H1156" t="s">
        <v>569</v>
      </c>
      <c r="I1156" t="s">
        <v>570</v>
      </c>
      <c r="J1156" t="str">
        <f t="shared" si="54"/>
        <v>April</v>
      </c>
      <c r="K1156" t="str">
        <f t="shared" si="55"/>
        <v>Q2</v>
      </c>
      <c r="L1156">
        <f t="shared" si="56"/>
        <v>2025</v>
      </c>
    </row>
    <row r="1157" spans="1:12" x14ac:dyDescent="0.3">
      <c r="A1157" t="s">
        <v>2175</v>
      </c>
      <c r="B1157" t="s">
        <v>2176</v>
      </c>
      <c r="C1157" t="s">
        <v>244</v>
      </c>
      <c r="D1157">
        <v>1</v>
      </c>
      <c r="E1157" s="1">
        <v>45669</v>
      </c>
      <c r="F1157" t="s">
        <v>663</v>
      </c>
      <c r="G1157">
        <v>2</v>
      </c>
      <c r="H1157" t="s">
        <v>569</v>
      </c>
      <c r="I1157" t="s">
        <v>570</v>
      </c>
      <c r="J1157" t="str">
        <f t="shared" si="54"/>
        <v>January</v>
      </c>
      <c r="K1157" t="str">
        <f t="shared" si="55"/>
        <v>Q1</v>
      </c>
      <c r="L1157">
        <f t="shared" si="56"/>
        <v>2025</v>
      </c>
    </row>
    <row r="1158" spans="1:12" x14ac:dyDescent="0.3">
      <c r="A1158" t="s">
        <v>2177</v>
      </c>
      <c r="B1158" t="s">
        <v>2176</v>
      </c>
      <c r="C1158" t="s">
        <v>244</v>
      </c>
      <c r="D1158">
        <v>2</v>
      </c>
      <c r="E1158" s="1">
        <v>45676</v>
      </c>
      <c r="F1158" t="s">
        <v>572</v>
      </c>
      <c r="G1158">
        <v>3</v>
      </c>
      <c r="H1158" t="s">
        <v>578</v>
      </c>
      <c r="I1158" t="s">
        <v>570</v>
      </c>
      <c r="J1158" t="str">
        <f t="shared" si="54"/>
        <v>January</v>
      </c>
      <c r="K1158" t="str">
        <f t="shared" si="55"/>
        <v>Q1</v>
      </c>
      <c r="L1158">
        <f t="shared" si="56"/>
        <v>2025</v>
      </c>
    </row>
    <row r="1159" spans="1:12" x14ac:dyDescent="0.3">
      <c r="A1159" t="s">
        <v>2178</v>
      </c>
      <c r="B1159" t="s">
        <v>2179</v>
      </c>
      <c r="C1159" t="s">
        <v>147</v>
      </c>
      <c r="D1159">
        <v>1</v>
      </c>
      <c r="E1159" s="1">
        <v>45835</v>
      </c>
      <c r="F1159" t="s">
        <v>663</v>
      </c>
      <c r="G1159">
        <v>3</v>
      </c>
      <c r="H1159" t="s">
        <v>578</v>
      </c>
      <c r="I1159" t="s">
        <v>570</v>
      </c>
      <c r="J1159" t="str">
        <f t="shared" si="54"/>
        <v>June</v>
      </c>
      <c r="K1159" t="str">
        <f t="shared" si="55"/>
        <v>Q2</v>
      </c>
      <c r="L1159">
        <f t="shared" si="56"/>
        <v>2025</v>
      </c>
    </row>
    <row r="1160" spans="1:12" x14ac:dyDescent="0.3">
      <c r="A1160" t="s">
        <v>2180</v>
      </c>
      <c r="B1160" t="s">
        <v>2179</v>
      </c>
      <c r="C1160" t="s">
        <v>147</v>
      </c>
      <c r="D1160">
        <v>2</v>
      </c>
      <c r="E1160" s="1">
        <v>45840</v>
      </c>
      <c r="F1160" t="s">
        <v>596</v>
      </c>
      <c r="G1160">
        <v>1</v>
      </c>
      <c r="H1160" t="s">
        <v>569</v>
      </c>
      <c r="I1160" t="s">
        <v>570</v>
      </c>
      <c r="J1160" t="str">
        <f t="shared" si="54"/>
        <v>July</v>
      </c>
      <c r="K1160" t="str">
        <f t="shared" si="55"/>
        <v>Q3</v>
      </c>
      <c r="L1160">
        <f t="shared" si="56"/>
        <v>2025</v>
      </c>
    </row>
    <row r="1161" spans="1:12" x14ac:dyDescent="0.3">
      <c r="A1161" t="s">
        <v>2181</v>
      </c>
      <c r="B1161" t="s">
        <v>2182</v>
      </c>
      <c r="C1161" t="s">
        <v>16</v>
      </c>
      <c r="D1161">
        <v>1</v>
      </c>
      <c r="E1161" s="1">
        <v>45769</v>
      </c>
      <c r="F1161" t="s">
        <v>636</v>
      </c>
      <c r="G1161">
        <v>2</v>
      </c>
      <c r="H1161" t="s">
        <v>569</v>
      </c>
      <c r="I1161" t="s">
        <v>608</v>
      </c>
      <c r="J1161" t="str">
        <f t="shared" si="54"/>
        <v>April</v>
      </c>
      <c r="K1161" t="str">
        <f t="shared" si="55"/>
        <v>Q2</v>
      </c>
      <c r="L1161">
        <f t="shared" si="56"/>
        <v>2025</v>
      </c>
    </row>
    <row r="1162" spans="1:12" x14ac:dyDescent="0.3">
      <c r="A1162" t="s">
        <v>2183</v>
      </c>
      <c r="B1162" t="s">
        <v>2182</v>
      </c>
      <c r="C1162" t="s">
        <v>16</v>
      </c>
      <c r="D1162">
        <v>2</v>
      </c>
      <c r="E1162" s="1">
        <v>45777</v>
      </c>
      <c r="F1162" t="s">
        <v>625</v>
      </c>
      <c r="G1162">
        <v>1</v>
      </c>
      <c r="H1162" t="s">
        <v>569</v>
      </c>
      <c r="I1162" t="s">
        <v>570</v>
      </c>
      <c r="J1162" t="str">
        <f t="shared" si="54"/>
        <v>April</v>
      </c>
      <c r="K1162" t="str">
        <f t="shared" si="55"/>
        <v>Q2</v>
      </c>
      <c r="L1162">
        <f t="shared" si="56"/>
        <v>2025</v>
      </c>
    </row>
    <row r="1163" spans="1:12" x14ac:dyDescent="0.3">
      <c r="A1163" t="s">
        <v>2184</v>
      </c>
      <c r="B1163" t="s">
        <v>2182</v>
      </c>
      <c r="C1163" t="s">
        <v>16</v>
      </c>
      <c r="D1163">
        <v>3</v>
      </c>
      <c r="E1163" s="1">
        <v>45781</v>
      </c>
      <c r="F1163" t="s">
        <v>636</v>
      </c>
      <c r="G1163">
        <v>1</v>
      </c>
      <c r="H1163" t="s">
        <v>569</v>
      </c>
      <c r="I1163" t="s">
        <v>570</v>
      </c>
      <c r="J1163" t="str">
        <f t="shared" si="54"/>
        <v>May</v>
      </c>
      <c r="K1163" t="str">
        <f t="shared" si="55"/>
        <v>Q2</v>
      </c>
      <c r="L1163">
        <f t="shared" si="56"/>
        <v>2025</v>
      </c>
    </row>
    <row r="1164" spans="1:12" x14ac:dyDescent="0.3">
      <c r="A1164" t="s">
        <v>2185</v>
      </c>
      <c r="B1164" t="s">
        <v>2186</v>
      </c>
      <c r="C1164" t="s">
        <v>208</v>
      </c>
      <c r="D1164">
        <v>1</v>
      </c>
      <c r="E1164" s="1">
        <v>45809</v>
      </c>
      <c r="F1164" t="s">
        <v>580</v>
      </c>
      <c r="G1164">
        <v>1</v>
      </c>
      <c r="H1164" t="s">
        <v>569</v>
      </c>
      <c r="I1164" t="s">
        <v>570</v>
      </c>
      <c r="J1164" t="str">
        <f t="shared" si="54"/>
        <v>June</v>
      </c>
      <c r="K1164" t="str">
        <f t="shared" si="55"/>
        <v>Q2</v>
      </c>
      <c r="L1164">
        <f t="shared" si="56"/>
        <v>2025</v>
      </c>
    </row>
    <row r="1165" spans="1:12" x14ac:dyDescent="0.3">
      <c r="A1165" t="s">
        <v>2187</v>
      </c>
      <c r="B1165" t="s">
        <v>2186</v>
      </c>
      <c r="C1165" t="s">
        <v>208</v>
      </c>
      <c r="D1165">
        <v>2</v>
      </c>
      <c r="E1165" s="1">
        <v>45818</v>
      </c>
      <c r="F1165" t="s">
        <v>741</v>
      </c>
      <c r="G1165">
        <v>1</v>
      </c>
      <c r="H1165" t="s">
        <v>569</v>
      </c>
      <c r="I1165" t="s">
        <v>570</v>
      </c>
      <c r="J1165" t="str">
        <f t="shared" si="54"/>
        <v>June</v>
      </c>
      <c r="K1165" t="str">
        <f t="shared" si="55"/>
        <v>Q2</v>
      </c>
      <c r="L1165">
        <f t="shared" si="56"/>
        <v>2025</v>
      </c>
    </row>
    <row r="1166" spans="1:12" x14ac:dyDescent="0.3">
      <c r="A1166" t="s">
        <v>2188</v>
      </c>
      <c r="B1166" t="s">
        <v>2186</v>
      </c>
      <c r="C1166" t="s">
        <v>208</v>
      </c>
      <c r="D1166">
        <v>3</v>
      </c>
      <c r="E1166" s="1">
        <v>45829</v>
      </c>
      <c r="G1166">
        <v>2</v>
      </c>
      <c r="H1166" t="s">
        <v>569</v>
      </c>
      <c r="I1166" t="s">
        <v>570</v>
      </c>
      <c r="J1166" t="str">
        <f t="shared" si="54"/>
        <v>June</v>
      </c>
      <c r="K1166" t="str">
        <f t="shared" si="55"/>
        <v>Q2</v>
      </c>
      <c r="L1166">
        <f t="shared" si="56"/>
        <v>2025</v>
      </c>
    </row>
    <row r="1167" spans="1:12" x14ac:dyDescent="0.3">
      <c r="A1167" t="s">
        <v>2189</v>
      </c>
      <c r="B1167" t="s">
        <v>408</v>
      </c>
      <c r="C1167" t="s">
        <v>16</v>
      </c>
      <c r="D1167">
        <v>1</v>
      </c>
      <c r="E1167" s="1">
        <v>45758</v>
      </c>
      <c r="F1167" t="s">
        <v>706</v>
      </c>
      <c r="G1167">
        <v>3</v>
      </c>
      <c r="H1167" t="s">
        <v>578</v>
      </c>
      <c r="I1167" t="s">
        <v>570</v>
      </c>
      <c r="J1167" t="str">
        <f t="shared" si="54"/>
        <v>April</v>
      </c>
      <c r="K1167" t="str">
        <f t="shared" si="55"/>
        <v>Q2</v>
      </c>
      <c r="L1167">
        <f t="shared" si="56"/>
        <v>2025</v>
      </c>
    </row>
    <row r="1168" spans="1:12" x14ac:dyDescent="0.3">
      <c r="A1168" t="s">
        <v>2190</v>
      </c>
      <c r="B1168" t="s">
        <v>408</v>
      </c>
      <c r="C1168" t="s">
        <v>16</v>
      </c>
      <c r="D1168">
        <v>2</v>
      </c>
      <c r="E1168" s="1">
        <v>45765</v>
      </c>
      <c r="F1168" t="s">
        <v>625</v>
      </c>
      <c r="G1168">
        <v>4</v>
      </c>
      <c r="H1168" t="s">
        <v>581</v>
      </c>
      <c r="I1168" t="s">
        <v>570</v>
      </c>
      <c r="J1168" t="str">
        <f t="shared" si="54"/>
        <v>April</v>
      </c>
      <c r="K1168" t="str">
        <f t="shared" si="55"/>
        <v>Q2</v>
      </c>
      <c r="L1168">
        <f t="shared" si="56"/>
        <v>2025</v>
      </c>
    </row>
    <row r="1169" spans="1:12" x14ac:dyDescent="0.3">
      <c r="A1169" t="s">
        <v>2191</v>
      </c>
      <c r="B1169" t="s">
        <v>400</v>
      </c>
      <c r="C1169" t="s">
        <v>92</v>
      </c>
      <c r="D1169">
        <v>1</v>
      </c>
      <c r="E1169" s="1">
        <v>45767</v>
      </c>
      <c r="F1169" t="s">
        <v>603</v>
      </c>
      <c r="G1169">
        <v>5</v>
      </c>
      <c r="H1169" t="s">
        <v>581</v>
      </c>
      <c r="I1169" t="s">
        <v>570</v>
      </c>
      <c r="J1169" t="str">
        <f t="shared" si="54"/>
        <v>April</v>
      </c>
      <c r="K1169" t="str">
        <f t="shared" si="55"/>
        <v>Q2</v>
      </c>
      <c r="L1169">
        <f t="shared" si="56"/>
        <v>2025</v>
      </c>
    </row>
    <row r="1170" spans="1:12" x14ac:dyDescent="0.3">
      <c r="A1170" t="s">
        <v>2192</v>
      </c>
      <c r="B1170" t="s">
        <v>400</v>
      </c>
      <c r="C1170" t="s">
        <v>92</v>
      </c>
      <c r="D1170">
        <v>2</v>
      </c>
      <c r="E1170" s="1">
        <v>45776</v>
      </c>
      <c r="F1170" t="s">
        <v>625</v>
      </c>
      <c r="G1170">
        <v>3</v>
      </c>
      <c r="H1170" t="s">
        <v>578</v>
      </c>
      <c r="I1170" t="s">
        <v>597</v>
      </c>
      <c r="J1170" t="str">
        <f t="shared" si="54"/>
        <v>April</v>
      </c>
      <c r="K1170" t="str">
        <f t="shared" si="55"/>
        <v>Q2</v>
      </c>
      <c r="L1170">
        <f t="shared" si="56"/>
        <v>2025</v>
      </c>
    </row>
    <row r="1171" spans="1:12" x14ac:dyDescent="0.3">
      <c r="A1171" t="s">
        <v>2193</v>
      </c>
      <c r="B1171" t="s">
        <v>400</v>
      </c>
      <c r="C1171" t="s">
        <v>92</v>
      </c>
      <c r="D1171">
        <v>3</v>
      </c>
      <c r="E1171" s="1">
        <v>45786</v>
      </c>
      <c r="F1171" t="s">
        <v>577</v>
      </c>
      <c r="G1171">
        <v>3</v>
      </c>
      <c r="H1171" t="s">
        <v>578</v>
      </c>
      <c r="I1171" t="s">
        <v>570</v>
      </c>
      <c r="J1171" t="str">
        <f t="shared" si="54"/>
        <v>May</v>
      </c>
      <c r="K1171" t="str">
        <f t="shared" si="55"/>
        <v>Q2</v>
      </c>
      <c r="L1171">
        <f t="shared" si="56"/>
        <v>2025</v>
      </c>
    </row>
    <row r="1172" spans="1:12" x14ac:dyDescent="0.3">
      <c r="A1172" t="s">
        <v>2194</v>
      </c>
      <c r="B1172" t="s">
        <v>400</v>
      </c>
      <c r="C1172" t="s">
        <v>92</v>
      </c>
      <c r="D1172">
        <v>4</v>
      </c>
      <c r="E1172" s="1">
        <v>45797</v>
      </c>
      <c r="F1172" t="s">
        <v>625</v>
      </c>
      <c r="G1172">
        <v>4</v>
      </c>
      <c r="H1172" t="s">
        <v>581</v>
      </c>
      <c r="I1172" t="s">
        <v>570</v>
      </c>
      <c r="J1172" t="str">
        <f t="shared" si="54"/>
        <v>May</v>
      </c>
      <c r="K1172" t="str">
        <f t="shared" si="55"/>
        <v>Q2</v>
      </c>
      <c r="L1172">
        <f t="shared" si="56"/>
        <v>2025</v>
      </c>
    </row>
    <row r="1173" spans="1:12" x14ac:dyDescent="0.3">
      <c r="A1173" t="s">
        <v>2195</v>
      </c>
      <c r="B1173" t="s">
        <v>2196</v>
      </c>
      <c r="C1173" t="s">
        <v>58</v>
      </c>
      <c r="D1173">
        <v>1</v>
      </c>
      <c r="E1173" s="1">
        <v>45817</v>
      </c>
      <c r="F1173" t="s">
        <v>603</v>
      </c>
      <c r="G1173">
        <v>1</v>
      </c>
      <c r="H1173" t="s">
        <v>569</v>
      </c>
      <c r="I1173" t="s">
        <v>570</v>
      </c>
      <c r="J1173" t="str">
        <f t="shared" si="54"/>
        <v>June</v>
      </c>
      <c r="K1173" t="str">
        <f t="shared" si="55"/>
        <v>Q2</v>
      </c>
      <c r="L1173">
        <f t="shared" si="56"/>
        <v>2025</v>
      </c>
    </row>
    <row r="1174" spans="1:12" x14ac:dyDescent="0.3">
      <c r="A1174" t="s">
        <v>2197</v>
      </c>
      <c r="B1174" t="s">
        <v>2198</v>
      </c>
      <c r="C1174" t="s">
        <v>99</v>
      </c>
      <c r="D1174">
        <v>1</v>
      </c>
      <c r="E1174" s="1">
        <v>45850</v>
      </c>
      <c r="F1174" t="s">
        <v>625</v>
      </c>
      <c r="G1174">
        <v>2</v>
      </c>
      <c r="H1174" t="s">
        <v>569</v>
      </c>
      <c r="I1174" t="s">
        <v>570</v>
      </c>
      <c r="J1174" t="str">
        <f t="shared" si="54"/>
        <v>July</v>
      </c>
      <c r="K1174" t="str">
        <f t="shared" si="55"/>
        <v>Q3</v>
      </c>
      <c r="L1174">
        <f t="shared" si="56"/>
        <v>2025</v>
      </c>
    </row>
    <row r="1175" spans="1:12" x14ac:dyDescent="0.3">
      <c r="A1175" t="s">
        <v>2199</v>
      </c>
      <c r="B1175" t="s">
        <v>2198</v>
      </c>
      <c r="C1175" t="s">
        <v>99</v>
      </c>
      <c r="D1175">
        <v>2</v>
      </c>
      <c r="E1175" s="1">
        <v>45856</v>
      </c>
      <c r="F1175" t="s">
        <v>670</v>
      </c>
      <c r="G1175">
        <v>3</v>
      </c>
      <c r="H1175" t="s">
        <v>578</v>
      </c>
      <c r="I1175" t="s">
        <v>570</v>
      </c>
      <c r="J1175" t="str">
        <f t="shared" si="54"/>
        <v>July</v>
      </c>
      <c r="K1175" t="str">
        <f t="shared" si="55"/>
        <v>Q3</v>
      </c>
      <c r="L1175">
        <f t="shared" si="56"/>
        <v>2025</v>
      </c>
    </row>
    <row r="1176" spans="1:12" x14ac:dyDescent="0.3">
      <c r="A1176" t="s">
        <v>2200</v>
      </c>
      <c r="B1176" t="s">
        <v>2198</v>
      </c>
      <c r="C1176" t="s">
        <v>99</v>
      </c>
      <c r="D1176">
        <v>3</v>
      </c>
      <c r="E1176" s="1">
        <v>45864</v>
      </c>
      <c r="F1176" t="s">
        <v>658</v>
      </c>
      <c r="G1176">
        <v>2</v>
      </c>
      <c r="H1176" t="s">
        <v>569</v>
      </c>
      <c r="I1176" t="s">
        <v>570</v>
      </c>
      <c r="J1176" t="str">
        <f t="shared" si="54"/>
        <v>July</v>
      </c>
      <c r="K1176" t="str">
        <f t="shared" si="55"/>
        <v>Q3</v>
      </c>
      <c r="L1176">
        <f t="shared" si="56"/>
        <v>2025</v>
      </c>
    </row>
    <row r="1177" spans="1:12" x14ac:dyDescent="0.3">
      <c r="A1177" t="s">
        <v>2201</v>
      </c>
      <c r="B1177" t="s">
        <v>2198</v>
      </c>
      <c r="C1177" t="s">
        <v>99</v>
      </c>
      <c r="D1177">
        <v>4</v>
      </c>
      <c r="E1177" s="1">
        <v>45876</v>
      </c>
      <c r="F1177" t="s">
        <v>670</v>
      </c>
      <c r="G1177">
        <v>1</v>
      </c>
      <c r="H1177" t="s">
        <v>569</v>
      </c>
      <c r="I1177" t="s">
        <v>570</v>
      </c>
      <c r="J1177" t="str">
        <f t="shared" si="54"/>
        <v>August</v>
      </c>
      <c r="K1177" t="str">
        <f t="shared" si="55"/>
        <v>Q3</v>
      </c>
      <c r="L1177">
        <f t="shared" si="56"/>
        <v>2025</v>
      </c>
    </row>
    <row r="1178" spans="1:12" x14ac:dyDescent="0.3">
      <c r="A1178" t="s">
        <v>2202</v>
      </c>
      <c r="B1178" t="s">
        <v>2203</v>
      </c>
      <c r="C1178" t="s">
        <v>96</v>
      </c>
      <c r="D1178">
        <v>1</v>
      </c>
      <c r="E1178" s="1">
        <v>45880</v>
      </c>
      <c r="F1178" t="s">
        <v>612</v>
      </c>
      <c r="G1178">
        <v>3</v>
      </c>
      <c r="H1178" t="s">
        <v>578</v>
      </c>
      <c r="I1178" t="s">
        <v>570</v>
      </c>
      <c r="J1178" t="str">
        <f t="shared" si="54"/>
        <v>August</v>
      </c>
      <c r="K1178" t="str">
        <f t="shared" si="55"/>
        <v>Q3</v>
      </c>
      <c r="L1178">
        <f t="shared" si="56"/>
        <v>2025</v>
      </c>
    </row>
    <row r="1179" spans="1:12" x14ac:dyDescent="0.3">
      <c r="A1179" t="s">
        <v>2204</v>
      </c>
      <c r="B1179" t="s">
        <v>2203</v>
      </c>
      <c r="C1179" t="s">
        <v>96</v>
      </c>
      <c r="D1179">
        <v>2</v>
      </c>
      <c r="E1179" s="1">
        <v>45885</v>
      </c>
      <c r="F1179" t="s">
        <v>605</v>
      </c>
      <c r="G1179">
        <v>2</v>
      </c>
      <c r="H1179" t="s">
        <v>569</v>
      </c>
      <c r="I1179" t="s">
        <v>570</v>
      </c>
      <c r="J1179" t="str">
        <f t="shared" si="54"/>
        <v>August</v>
      </c>
      <c r="K1179" t="str">
        <f t="shared" si="55"/>
        <v>Q3</v>
      </c>
      <c r="L1179">
        <f t="shared" si="56"/>
        <v>2025</v>
      </c>
    </row>
    <row r="1180" spans="1:12" x14ac:dyDescent="0.3">
      <c r="A1180" t="s">
        <v>2205</v>
      </c>
      <c r="B1180" t="s">
        <v>2203</v>
      </c>
      <c r="C1180" t="s">
        <v>96</v>
      </c>
      <c r="D1180">
        <v>3</v>
      </c>
      <c r="E1180" s="1">
        <v>45895</v>
      </c>
      <c r="F1180" t="s">
        <v>603</v>
      </c>
      <c r="G1180">
        <v>1</v>
      </c>
      <c r="H1180" t="s">
        <v>569</v>
      </c>
      <c r="I1180" t="s">
        <v>570</v>
      </c>
      <c r="J1180" t="str">
        <f t="shared" si="54"/>
        <v>August</v>
      </c>
      <c r="K1180" t="str">
        <f t="shared" si="55"/>
        <v>Q3</v>
      </c>
      <c r="L1180">
        <f t="shared" si="56"/>
        <v>2025</v>
      </c>
    </row>
    <row r="1181" spans="1:12" x14ac:dyDescent="0.3">
      <c r="A1181" t="s">
        <v>2206</v>
      </c>
      <c r="B1181" t="s">
        <v>2207</v>
      </c>
      <c r="C1181" t="s">
        <v>156</v>
      </c>
      <c r="D1181">
        <v>1</v>
      </c>
      <c r="E1181" s="1">
        <v>45729</v>
      </c>
      <c r="F1181" t="s">
        <v>592</v>
      </c>
      <c r="G1181">
        <v>4</v>
      </c>
      <c r="H1181" t="s">
        <v>581</v>
      </c>
      <c r="I1181" t="s">
        <v>570</v>
      </c>
      <c r="J1181" t="str">
        <f t="shared" si="54"/>
        <v>March</v>
      </c>
      <c r="K1181" t="str">
        <f t="shared" si="55"/>
        <v>Q1</v>
      </c>
      <c r="L1181">
        <f t="shared" si="56"/>
        <v>2025</v>
      </c>
    </row>
    <row r="1182" spans="1:12" x14ac:dyDescent="0.3">
      <c r="A1182" t="s">
        <v>2208</v>
      </c>
      <c r="B1182" t="s">
        <v>2207</v>
      </c>
      <c r="C1182" t="s">
        <v>156</v>
      </c>
      <c r="D1182">
        <v>2</v>
      </c>
      <c r="E1182" s="1">
        <v>45738</v>
      </c>
      <c r="F1182" t="s">
        <v>766</v>
      </c>
      <c r="G1182">
        <v>4</v>
      </c>
      <c r="H1182" t="s">
        <v>581</v>
      </c>
      <c r="I1182" t="s">
        <v>608</v>
      </c>
      <c r="J1182" t="str">
        <f t="shared" si="54"/>
        <v>March</v>
      </c>
      <c r="K1182" t="str">
        <f t="shared" si="55"/>
        <v>Q1</v>
      </c>
      <c r="L1182">
        <f t="shared" si="56"/>
        <v>2025</v>
      </c>
    </row>
    <row r="1183" spans="1:12" x14ac:dyDescent="0.3">
      <c r="A1183" t="s">
        <v>2209</v>
      </c>
      <c r="B1183" t="s">
        <v>2210</v>
      </c>
      <c r="C1183" t="s">
        <v>187</v>
      </c>
      <c r="D1183">
        <v>1</v>
      </c>
      <c r="E1183" s="1">
        <v>45823</v>
      </c>
      <c r="F1183" t="s">
        <v>638</v>
      </c>
      <c r="G1183">
        <v>1</v>
      </c>
      <c r="H1183" t="s">
        <v>569</v>
      </c>
      <c r="I1183" t="s">
        <v>570</v>
      </c>
      <c r="J1183" t="str">
        <f t="shared" si="54"/>
        <v>June</v>
      </c>
      <c r="K1183" t="str">
        <f t="shared" si="55"/>
        <v>Q2</v>
      </c>
      <c r="L1183">
        <f t="shared" si="56"/>
        <v>2025</v>
      </c>
    </row>
    <row r="1184" spans="1:12" x14ac:dyDescent="0.3">
      <c r="A1184" t="s">
        <v>2211</v>
      </c>
      <c r="B1184" t="s">
        <v>2212</v>
      </c>
      <c r="C1184" t="s">
        <v>292</v>
      </c>
      <c r="D1184">
        <v>1</v>
      </c>
      <c r="E1184" s="1">
        <v>45720</v>
      </c>
      <c r="F1184" t="s">
        <v>596</v>
      </c>
      <c r="G1184">
        <v>2</v>
      </c>
      <c r="H1184" t="s">
        <v>569</v>
      </c>
      <c r="I1184" t="s">
        <v>570</v>
      </c>
      <c r="J1184" t="str">
        <f t="shared" si="54"/>
        <v>March</v>
      </c>
      <c r="K1184" t="str">
        <f t="shared" si="55"/>
        <v>Q1</v>
      </c>
      <c r="L1184">
        <f t="shared" si="56"/>
        <v>2025</v>
      </c>
    </row>
    <row r="1185" spans="1:12" x14ac:dyDescent="0.3">
      <c r="A1185" t="s">
        <v>2213</v>
      </c>
      <c r="B1185" t="s">
        <v>2214</v>
      </c>
      <c r="C1185" t="s">
        <v>99</v>
      </c>
      <c r="D1185">
        <v>1</v>
      </c>
      <c r="E1185" s="1">
        <v>45855</v>
      </c>
      <c r="F1185" t="s">
        <v>658</v>
      </c>
      <c r="G1185">
        <v>1</v>
      </c>
      <c r="H1185" t="s">
        <v>569</v>
      </c>
      <c r="I1185" t="s">
        <v>570</v>
      </c>
      <c r="J1185" t="str">
        <f t="shared" si="54"/>
        <v>July</v>
      </c>
      <c r="K1185" t="str">
        <f t="shared" si="55"/>
        <v>Q3</v>
      </c>
      <c r="L1185">
        <f t="shared" si="56"/>
        <v>2025</v>
      </c>
    </row>
    <row r="1186" spans="1:12" x14ac:dyDescent="0.3">
      <c r="A1186" t="s">
        <v>2215</v>
      </c>
      <c r="B1186" t="s">
        <v>2214</v>
      </c>
      <c r="C1186" t="s">
        <v>99</v>
      </c>
      <c r="D1186">
        <v>2</v>
      </c>
      <c r="E1186" s="1">
        <v>45865</v>
      </c>
      <c r="F1186" t="s">
        <v>625</v>
      </c>
      <c r="G1186">
        <v>1</v>
      </c>
      <c r="H1186" t="s">
        <v>569</v>
      </c>
      <c r="I1186" t="s">
        <v>570</v>
      </c>
      <c r="J1186" t="str">
        <f t="shared" si="54"/>
        <v>July</v>
      </c>
      <c r="K1186" t="str">
        <f t="shared" si="55"/>
        <v>Q3</v>
      </c>
      <c r="L1186">
        <f t="shared" si="56"/>
        <v>2025</v>
      </c>
    </row>
    <row r="1187" spans="1:12" x14ac:dyDescent="0.3">
      <c r="A1187" t="s">
        <v>2216</v>
      </c>
      <c r="B1187" t="s">
        <v>2217</v>
      </c>
      <c r="C1187" t="s">
        <v>251</v>
      </c>
      <c r="D1187">
        <v>1</v>
      </c>
      <c r="E1187" s="1">
        <v>45813</v>
      </c>
      <c r="F1187" t="s">
        <v>592</v>
      </c>
      <c r="G1187">
        <v>3</v>
      </c>
      <c r="H1187" t="s">
        <v>578</v>
      </c>
      <c r="I1187" t="s">
        <v>570</v>
      </c>
      <c r="J1187" t="str">
        <f t="shared" si="54"/>
        <v>June</v>
      </c>
      <c r="K1187" t="str">
        <f t="shared" si="55"/>
        <v>Q2</v>
      </c>
      <c r="L1187">
        <f t="shared" si="56"/>
        <v>2025</v>
      </c>
    </row>
    <row r="1188" spans="1:12" x14ac:dyDescent="0.3">
      <c r="A1188" t="s">
        <v>2218</v>
      </c>
      <c r="B1188" t="s">
        <v>319</v>
      </c>
      <c r="C1188" t="s">
        <v>92</v>
      </c>
      <c r="D1188">
        <v>1</v>
      </c>
      <c r="E1188" s="1">
        <v>45769</v>
      </c>
      <c r="F1188" t="s">
        <v>612</v>
      </c>
      <c r="G1188">
        <v>4</v>
      </c>
      <c r="H1188" t="s">
        <v>581</v>
      </c>
      <c r="I1188" t="s">
        <v>570</v>
      </c>
      <c r="J1188" t="str">
        <f t="shared" si="54"/>
        <v>April</v>
      </c>
      <c r="K1188" t="str">
        <f t="shared" si="55"/>
        <v>Q2</v>
      </c>
      <c r="L1188">
        <f t="shared" si="56"/>
        <v>2025</v>
      </c>
    </row>
    <row r="1189" spans="1:12" x14ac:dyDescent="0.3">
      <c r="A1189" t="s">
        <v>2219</v>
      </c>
      <c r="B1189" t="s">
        <v>2220</v>
      </c>
      <c r="C1189" t="s">
        <v>45</v>
      </c>
      <c r="D1189">
        <v>1</v>
      </c>
      <c r="E1189" s="1">
        <v>45860</v>
      </c>
      <c r="F1189" t="s">
        <v>592</v>
      </c>
      <c r="G1189">
        <v>2</v>
      </c>
      <c r="H1189" t="s">
        <v>569</v>
      </c>
      <c r="I1189" t="s">
        <v>570</v>
      </c>
      <c r="J1189" t="str">
        <f t="shared" si="54"/>
        <v>July</v>
      </c>
      <c r="K1189" t="str">
        <f t="shared" si="55"/>
        <v>Q3</v>
      </c>
      <c r="L1189">
        <f t="shared" si="56"/>
        <v>2025</v>
      </c>
    </row>
    <row r="1190" spans="1:12" x14ac:dyDescent="0.3">
      <c r="A1190" t="s">
        <v>2221</v>
      </c>
      <c r="B1190" t="s">
        <v>2220</v>
      </c>
      <c r="C1190" t="s">
        <v>45</v>
      </c>
      <c r="D1190">
        <v>2</v>
      </c>
      <c r="E1190" s="1">
        <v>45870</v>
      </c>
      <c r="F1190" t="s">
        <v>580</v>
      </c>
      <c r="G1190">
        <v>3</v>
      </c>
      <c r="H1190" t="s">
        <v>578</v>
      </c>
      <c r="I1190" t="s">
        <v>570</v>
      </c>
      <c r="J1190" t="str">
        <f t="shared" si="54"/>
        <v>August</v>
      </c>
      <c r="K1190" t="str">
        <f t="shared" si="55"/>
        <v>Q3</v>
      </c>
      <c r="L1190">
        <f t="shared" si="56"/>
        <v>2025</v>
      </c>
    </row>
    <row r="1191" spans="1:12" x14ac:dyDescent="0.3">
      <c r="A1191" t="s">
        <v>2222</v>
      </c>
      <c r="B1191" t="s">
        <v>402</v>
      </c>
      <c r="C1191" t="s">
        <v>99</v>
      </c>
      <c r="D1191">
        <v>1</v>
      </c>
      <c r="E1191" s="1">
        <v>45863</v>
      </c>
      <c r="F1191" t="s">
        <v>584</v>
      </c>
      <c r="G1191">
        <v>4</v>
      </c>
      <c r="H1191" t="s">
        <v>581</v>
      </c>
      <c r="I1191" t="s">
        <v>570</v>
      </c>
      <c r="J1191" t="str">
        <f t="shared" si="54"/>
        <v>July</v>
      </c>
      <c r="K1191" t="str">
        <f t="shared" si="55"/>
        <v>Q3</v>
      </c>
      <c r="L1191">
        <f t="shared" si="56"/>
        <v>2025</v>
      </c>
    </row>
    <row r="1192" spans="1:12" x14ac:dyDescent="0.3">
      <c r="A1192" t="s">
        <v>2223</v>
      </c>
      <c r="B1192" t="s">
        <v>402</v>
      </c>
      <c r="C1192" t="s">
        <v>99</v>
      </c>
      <c r="D1192">
        <v>2</v>
      </c>
      <c r="E1192" s="1">
        <v>45871</v>
      </c>
      <c r="F1192" t="s">
        <v>584</v>
      </c>
      <c r="G1192">
        <v>2</v>
      </c>
      <c r="H1192" t="s">
        <v>569</v>
      </c>
      <c r="I1192" t="s">
        <v>570</v>
      </c>
      <c r="J1192" t="str">
        <f t="shared" si="54"/>
        <v>August</v>
      </c>
      <c r="K1192" t="str">
        <f t="shared" si="55"/>
        <v>Q3</v>
      </c>
      <c r="L1192">
        <f t="shared" si="56"/>
        <v>2025</v>
      </c>
    </row>
    <row r="1193" spans="1:12" x14ac:dyDescent="0.3">
      <c r="A1193" t="s">
        <v>2224</v>
      </c>
      <c r="B1193" t="s">
        <v>402</v>
      </c>
      <c r="C1193" t="s">
        <v>99</v>
      </c>
      <c r="D1193">
        <v>3</v>
      </c>
      <c r="E1193" s="1">
        <v>45875</v>
      </c>
      <c r="F1193" t="s">
        <v>670</v>
      </c>
      <c r="G1193">
        <v>4</v>
      </c>
      <c r="H1193" t="s">
        <v>581</v>
      </c>
      <c r="I1193" t="s">
        <v>570</v>
      </c>
      <c r="J1193" t="str">
        <f t="shared" si="54"/>
        <v>August</v>
      </c>
      <c r="K1193" t="str">
        <f t="shared" si="55"/>
        <v>Q3</v>
      </c>
      <c r="L1193">
        <f t="shared" si="56"/>
        <v>2025</v>
      </c>
    </row>
    <row r="1194" spans="1:12" x14ac:dyDescent="0.3">
      <c r="A1194" t="s">
        <v>2225</v>
      </c>
      <c r="B1194" t="s">
        <v>2226</v>
      </c>
      <c r="C1194" t="s">
        <v>244</v>
      </c>
      <c r="D1194">
        <v>1</v>
      </c>
      <c r="E1194" s="1">
        <v>45669</v>
      </c>
      <c r="F1194" t="s">
        <v>586</v>
      </c>
      <c r="G1194">
        <v>3</v>
      </c>
      <c r="H1194" t="s">
        <v>578</v>
      </c>
      <c r="I1194" t="s">
        <v>570</v>
      </c>
      <c r="J1194" t="str">
        <f t="shared" si="54"/>
        <v>January</v>
      </c>
      <c r="K1194" t="str">
        <f t="shared" si="55"/>
        <v>Q1</v>
      </c>
      <c r="L1194">
        <f t="shared" si="56"/>
        <v>2025</v>
      </c>
    </row>
    <row r="1195" spans="1:12" x14ac:dyDescent="0.3">
      <c r="A1195" t="s">
        <v>2227</v>
      </c>
      <c r="B1195" t="s">
        <v>2226</v>
      </c>
      <c r="C1195" t="s">
        <v>244</v>
      </c>
      <c r="D1195">
        <v>2</v>
      </c>
      <c r="E1195" s="1">
        <v>45678</v>
      </c>
      <c r="F1195" t="s">
        <v>568</v>
      </c>
      <c r="G1195">
        <v>1</v>
      </c>
      <c r="H1195" t="s">
        <v>569</v>
      </c>
      <c r="I1195" t="s">
        <v>570</v>
      </c>
      <c r="J1195" t="str">
        <f t="shared" si="54"/>
        <v>January</v>
      </c>
      <c r="K1195" t="str">
        <f t="shared" si="55"/>
        <v>Q1</v>
      </c>
      <c r="L1195">
        <f t="shared" si="56"/>
        <v>2025</v>
      </c>
    </row>
    <row r="1196" spans="1:12" x14ac:dyDescent="0.3">
      <c r="A1196" t="s">
        <v>2228</v>
      </c>
      <c r="B1196" t="s">
        <v>2226</v>
      </c>
      <c r="C1196" t="s">
        <v>244</v>
      </c>
      <c r="D1196">
        <v>3</v>
      </c>
      <c r="E1196" s="1">
        <v>45683</v>
      </c>
      <c r="F1196" t="s">
        <v>586</v>
      </c>
      <c r="G1196">
        <v>1</v>
      </c>
      <c r="H1196" t="s">
        <v>569</v>
      </c>
      <c r="I1196" t="s">
        <v>570</v>
      </c>
      <c r="J1196" t="str">
        <f t="shared" si="54"/>
        <v>January</v>
      </c>
      <c r="K1196" t="str">
        <f t="shared" si="55"/>
        <v>Q1</v>
      </c>
      <c r="L1196">
        <f t="shared" si="56"/>
        <v>2025</v>
      </c>
    </row>
    <row r="1197" spans="1:12" x14ac:dyDescent="0.3">
      <c r="A1197" t="s">
        <v>2229</v>
      </c>
      <c r="B1197" t="s">
        <v>2226</v>
      </c>
      <c r="C1197" t="s">
        <v>244</v>
      </c>
      <c r="D1197">
        <v>4</v>
      </c>
      <c r="E1197" s="1">
        <v>45692</v>
      </c>
      <c r="F1197" t="s">
        <v>663</v>
      </c>
      <c r="G1197">
        <v>1</v>
      </c>
      <c r="H1197" t="s">
        <v>569</v>
      </c>
      <c r="I1197" t="s">
        <v>570</v>
      </c>
      <c r="J1197" t="str">
        <f t="shared" si="54"/>
        <v>February</v>
      </c>
      <c r="K1197" t="str">
        <f t="shared" si="55"/>
        <v>Q1</v>
      </c>
      <c r="L1197">
        <f t="shared" si="56"/>
        <v>2025</v>
      </c>
    </row>
    <row r="1198" spans="1:12" x14ac:dyDescent="0.3">
      <c r="A1198" t="s">
        <v>2230</v>
      </c>
      <c r="B1198" t="s">
        <v>2231</v>
      </c>
      <c r="C1198" t="s">
        <v>62</v>
      </c>
      <c r="D1198">
        <v>1</v>
      </c>
      <c r="E1198" s="1">
        <v>45696</v>
      </c>
      <c r="G1198">
        <v>2</v>
      </c>
      <c r="H1198" t="s">
        <v>569</v>
      </c>
      <c r="I1198" t="s">
        <v>570</v>
      </c>
      <c r="J1198" t="str">
        <f t="shared" si="54"/>
        <v>February</v>
      </c>
      <c r="K1198" t="str">
        <f t="shared" si="55"/>
        <v>Q1</v>
      </c>
      <c r="L1198">
        <f t="shared" si="56"/>
        <v>2025</v>
      </c>
    </row>
    <row r="1199" spans="1:12" x14ac:dyDescent="0.3">
      <c r="A1199" t="s">
        <v>2232</v>
      </c>
      <c r="B1199" t="s">
        <v>2231</v>
      </c>
      <c r="C1199" t="s">
        <v>62</v>
      </c>
      <c r="D1199">
        <v>2</v>
      </c>
      <c r="E1199" s="1">
        <v>45702</v>
      </c>
      <c r="F1199" t="s">
        <v>605</v>
      </c>
      <c r="G1199">
        <v>2</v>
      </c>
      <c r="H1199" t="s">
        <v>569</v>
      </c>
      <c r="I1199" t="s">
        <v>570</v>
      </c>
      <c r="J1199" t="str">
        <f t="shared" si="54"/>
        <v>February</v>
      </c>
      <c r="K1199" t="str">
        <f t="shared" si="55"/>
        <v>Q1</v>
      </c>
      <c r="L1199">
        <f t="shared" si="56"/>
        <v>2025</v>
      </c>
    </row>
    <row r="1200" spans="1:12" x14ac:dyDescent="0.3">
      <c r="A1200" t="s">
        <v>2233</v>
      </c>
      <c r="B1200" t="s">
        <v>2231</v>
      </c>
      <c r="C1200" t="s">
        <v>62</v>
      </c>
      <c r="D1200">
        <v>3</v>
      </c>
      <c r="E1200" s="1">
        <v>45712</v>
      </c>
      <c r="F1200" t="s">
        <v>625</v>
      </c>
      <c r="G1200">
        <v>1</v>
      </c>
      <c r="H1200" t="s">
        <v>569</v>
      </c>
      <c r="I1200" t="s">
        <v>570</v>
      </c>
      <c r="J1200" t="str">
        <f t="shared" si="54"/>
        <v>February</v>
      </c>
      <c r="K1200" t="str">
        <f t="shared" si="55"/>
        <v>Q1</v>
      </c>
      <c r="L1200">
        <f t="shared" si="56"/>
        <v>2025</v>
      </c>
    </row>
    <row r="1201" spans="1:12" x14ac:dyDescent="0.3">
      <c r="A1201" t="s">
        <v>2234</v>
      </c>
      <c r="B1201" t="s">
        <v>2235</v>
      </c>
      <c r="C1201" t="s">
        <v>96</v>
      </c>
      <c r="D1201">
        <v>1</v>
      </c>
      <c r="E1201" s="1">
        <v>45878</v>
      </c>
      <c r="F1201" t="s">
        <v>625</v>
      </c>
      <c r="G1201">
        <v>3</v>
      </c>
      <c r="H1201" t="s">
        <v>578</v>
      </c>
      <c r="I1201" t="s">
        <v>570</v>
      </c>
      <c r="J1201" t="str">
        <f t="shared" si="54"/>
        <v>August</v>
      </c>
      <c r="K1201" t="str">
        <f t="shared" si="55"/>
        <v>Q3</v>
      </c>
      <c r="L1201">
        <f t="shared" si="56"/>
        <v>2025</v>
      </c>
    </row>
    <row r="1202" spans="1:12" x14ac:dyDescent="0.3">
      <c r="A1202" t="s">
        <v>2236</v>
      </c>
      <c r="B1202" t="s">
        <v>2237</v>
      </c>
      <c r="C1202" t="s">
        <v>240</v>
      </c>
      <c r="D1202">
        <v>1</v>
      </c>
      <c r="E1202" s="1">
        <v>45959</v>
      </c>
      <c r="F1202" t="s">
        <v>572</v>
      </c>
      <c r="G1202">
        <v>1</v>
      </c>
      <c r="H1202" t="s">
        <v>569</v>
      </c>
      <c r="I1202" t="s">
        <v>570</v>
      </c>
      <c r="J1202" t="str">
        <f t="shared" si="54"/>
        <v>October</v>
      </c>
      <c r="K1202" t="str">
        <f t="shared" si="55"/>
        <v>Q4</v>
      </c>
      <c r="L1202">
        <f t="shared" si="56"/>
        <v>2025</v>
      </c>
    </row>
    <row r="1203" spans="1:12" x14ac:dyDescent="0.3">
      <c r="A1203" t="s">
        <v>2238</v>
      </c>
      <c r="B1203" t="s">
        <v>180</v>
      </c>
      <c r="C1203" t="s">
        <v>51</v>
      </c>
      <c r="D1203">
        <v>1</v>
      </c>
      <c r="E1203" s="1">
        <v>45956</v>
      </c>
      <c r="F1203" t="s">
        <v>580</v>
      </c>
      <c r="G1203">
        <v>4</v>
      </c>
      <c r="H1203" t="s">
        <v>581</v>
      </c>
      <c r="I1203" t="s">
        <v>570</v>
      </c>
      <c r="J1203" t="str">
        <f t="shared" si="54"/>
        <v>October</v>
      </c>
      <c r="K1203" t="str">
        <f t="shared" si="55"/>
        <v>Q4</v>
      </c>
      <c r="L1203">
        <f t="shared" si="56"/>
        <v>2025</v>
      </c>
    </row>
    <row r="1204" spans="1:12" x14ac:dyDescent="0.3">
      <c r="A1204" t="s">
        <v>2239</v>
      </c>
      <c r="B1204" t="s">
        <v>2240</v>
      </c>
      <c r="C1204" t="s">
        <v>166</v>
      </c>
      <c r="D1204">
        <v>1</v>
      </c>
      <c r="E1204" s="1">
        <v>45784</v>
      </c>
      <c r="G1204">
        <v>3</v>
      </c>
      <c r="H1204" t="s">
        <v>578</v>
      </c>
      <c r="I1204" t="s">
        <v>597</v>
      </c>
      <c r="J1204" t="str">
        <f t="shared" si="54"/>
        <v>May</v>
      </c>
      <c r="K1204" t="str">
        <f t="shared" si="55"/>
        <v>Q2</v>
      </c>
      <c r="L1204">
        <f t="shared" si="56"/>
        <v>2025</v>
      </c>
    </row>
    <row r="1205" spans="1:12" x14ac:dyDescent="0.3">
      <c r="A1205" t="s">
        <v>2241</v>
      </c>
      <c r="B1205" t="s">
        <v>2240</v>
      </c>
      <c r="C1205" t="s">
        <v>166</v>
      </c>
      <c r="D1205">
        <v>2</v>
      </c>
      <c r="E1205" s="1">
        <v>45790</v>
      </c>
      <c r="F1205" t="s">
        <v>638</v>
      </c>
      <c r="G1205">
        <v>2</v>
      </c>
      <c r="H1205" t="s">
        <v>569</v>
      </c>
      <c r="I1205" t="s">
        <v>570</v>
      </c>
      <c r="J1205" t="str">
        <f t="shared" si="54"/>
        <v>May</v>
      </c>
      <c r="K1205" t="str">
        <f t="shared" si="55"/>
        <v>Q2</v>
      </c>
      <c r="L1205">
        <f t="shared" si="56"/>
        <v>2025</v>
      </c>
    </row>
    <row r="1206" spans="1:12" x14ac:dyDescent="0.3">
      <c r="A1206" t="s">
        <v>2242</v>
      </c>
      <c r="B1206" t="s">
        <v>2240</v>
      </c>
      <c r="C1206" t="s">
        <v>166</v>
      </c>
      <c r="D1206">
        <v>3</v>
      </c>
      <c r="E1206" s="1">
        <v>45800</v>
      </c>
      <c r="F1206" t="s">
        <v>596</v>
      </c>
      <c r="G1206">
        <v>2</v>
      </c>
      <c r="H1206" t="s">
        <v>569</v>
      </c>
      <c r="I1206" t="s">
        <v>570</v>
      </c>
      <c r="J1206" t="str">
        <f t="shared" si="54"/>
        <v>May</v>
      </c>
      <c r="K1206" t="str">
        <f t="shared" si="55"/>
        <v>Q2</v>
      </c>
      <c r="L1206">
        <f t="shared" si="56"/>
        <v>2025</v>
      </c>
    </row>
    <row r="1207" spans="1:12" x14ac:dyDescent="0.3">
      <c r="A1207" t="s">
        <v>2243</v>
      </c>
      <c r="B1207" t="s">
        <v>2240</v>
      </c>
      <c r="C1207" t="s">
        <v>166</v>
      </c>
      <c r="D1207">
        <v>4</v>
      </c>
      <c r="E1207" s="1">
        <v>45807</v>
      </c>
      <c r="F1207" t="s">
        <v>577</v>
      </c>
      <c r="G1207">
        <v>3</v>
      </c>
      <c r="H1207" t="s">
        <v>578</v>
      </c>
      <c r="I1207" t="s">
        <v>570</v>
      </c>
      <c r="J1207" t="str">
        <f t="shared" si="54"/>
        <v>May</v>
      </c>
      <c r="K1207" t="str">
        <f t="shared" si="55"/>
        <v>Q2</v>
      </c>
      <c r="L1207">
        <f t="shared" si="56"/>
        <v>2025</v>
      </c>
    </row>
    <row r="1208" spans="1:12" x14ac:dyDescent="0.3">
      <c r="A1208" t="s">
        <v>2244</v>
      </c>
      <c r="B1208" t="s">
        <v>2245</v>
      </c>
      <c r="C1208" t="s">
        <v>374</v>
      </c>
      <c r="D1208">
        <v>1</v>
      </c>
      <c r="E1208" s="1">
        <v>45745</v>
      </c>
      <c r="F1208" t="s">
        <v>596</v>
      </c>
      <c r="G1208">
        <v>2</v>
      </c>
      <c r="H1208" t="s">
        <v>569</v>
      </c>
      <c r="I1208" t="s">
        <v>608</v>
      </c>
      <c r="J1208" t="str">
        <f t="shared" si="54"/>
        <v>March</v>
      </c>
      <c r="K1208" t="str">
        <f t="shared" si="55"/>
        <v>Q1</v>
      </c>
      <c r="L1208">
        <f t="shared" si="56"/>
        <v>2025</v>
      </c>
    </row>
    <row r="1209" spans="1:12" x14ac:dyDescent="0.3">
      <c r="A1209" t="s">
        <v>2246</v>
      </c>
      <c r="B1209" t="s">
        <v>2245</v>
      </c>
      <c r="C1209" t="s">
        <v>374</v>
      </c>
      <c r="D1209">
        <v>2</v>
      </c>
      <c r="E1209" s="1">
        <v>45751</v>
      </c>
      <c r="F1209" t="s">
        <v>636</v>
      </c>
      <c r="G1209">
        <v>3</v>
      </c>
      <c r="H1209" t="s">
        <v>578</v>
      </c>
      <c r="I1209" t="s">
        <v>570</v>
      </c>
      <c r="J1209" t="str">
        <f t="shared" si="54"/>
        <v>April</v>
      </c>
      <c r="K1209" t="str">
        <f t="shared" si="55"/>
        <v>Q2</v>
      </c>
      <c r="L1209">
        <f t="shared" si="56"/>
        <v>2025</v>
      </c>
    </row>
    <row r="1210" spans="1:12" x14ac:dyDescent="0.3">
      <c r="A1210" t="s">
        <v>2247</v>
      </c>
      <c r="B1210" t="s">
        <v>2245</v>
      </c>
      <c r="C1210" t="s">
        <v>374</v>
      </c>
      <c r="D1210">
        <v>3</v>
      </c>
      <c r="E1210" s="1">
        <v>45757</v>
      </c>
      <c r="F1210" t="s">
        <v>706</v>
      </c>
      <c r="G1210">
        <v>1</v>
      </c>
      <c r="H1210" t="s">
        <v>569</v>
      </c>
      <c r="I1210" t="s">
        <v>570</v>
      </c>
      <c r="J1210" t="str">
        <f t="shared" si="54"/>
        <v>April</v>
      </c>
      <c r="K1210" t="str">
        <f t="shared" si="55"/>
        <v>Q2</v>
      </c>
      <c r="L1210">
        <f t="shared" si="56"/>
        <v>2025</v>
      </c>
    </row>
    <row r="1211" spans="1:12" x14ac:dyDescent="0.3">
      <c r="A1211" t="s">
        <v>2248</v>
      </c>
      <c r="B1211" t="s">
        <v>2245</v>
      </c>
      <c r="C1211" t="s">
        <v>374</v>
      </c>
      <c r="D1211">
        <v>4</v>
      </c>
      <c r="E1211" s="1">
        <v>45761</v>
      </c>
      <c r="F1211" t="s">
        <v>706</v>
      </c>
      <c r="G1211">
        <v>3</v>
      </c>
      <c r="H1211" t="s">
        <v>578</v>
      </c>
      <c r="I1211" t="s">
        <v>570</v>
      </c>
      <c r="J1211" t="str">
        <f t="shared" si="54"/>
        <v>April</v>
      </c>
      <c r="K1211" t="str">
        <f t="shared" si="55"/>
        <v>Q2</v>
      </c>
      <c r="L1211">
        <f t="shared" si="56"/>
        <v>2025</v>
      </c>
    </row>
    <row r="1212" spans="1:12" x14ac:dyDescent="0.3">
      <c r="A1212" t="s">
        <v>2249</v>
      </c>
      <c r="B1212" t="s">
        <v>2250</v>
      </c>
      <c r="C1212" t="s">
        <v>374</v>
      </c>
      <c r="D1212">
        <v>1</v>
      </c>
      <c r="E1212" s="1">
        <v>45745</v>
      </c>
      <c r="F1212" t="s">
        <v>575</v>
      </c>
      <c r="G1212">
        <v>2</v>
      </c>
      <c r="H1212" t="s">
        <v>569</v>
      </c>
      <c r="I1212" t="s">
        <v>570</v>
      </c>
      <c r="J1212" t="str">
        <f t="shared" si="54"/>
        <v>March</v>
      </c>
      <c r="K1212" t="str">
        <f t="shared" si="55"/>
        <v>Q1</v>
      </c>
      <c r="L1212">
        <f t="shared" si="56"/>
        <v>2025</v>
      </c>
    </row>
    <row r="1213" spans="1:12" x14ac:dyDescent="0.3">
      <c r="A1213" t="s">
        <v>2251</v>
      </c>
      <c r="B1213" t="s">
        <v>2250</v>
      </c>
      <c r="C1213" t="s">
        <v>374</v>
      </c>
      <c r="D1213">
        <v>2</v>
      </c>
      <c r="E1213" s="1">
        <v>45754</v>
      </c>
      <c r="F1213" t="s">
        <v>600</v>
      </c>
      <c r="G1213">
        <v>1</v>
      </c>
      <c r="H1213" t="s">
        <v>569</v>
      </c>
      <c r="I1213" t="s">
        <v>570</v>
      </c>
      <c r="J1213" t="str">
        <f t="shared" si="54"/>
        <v>April</v>
      </c>
      <c r="K1213" t="str">
        <f t="shared" si="55"/>
        <v>Q2</v>
      </c>
      <c r="L1213">
        <f t="shared" si="56"/>
        <v>2025</v>
      </c>
    </row>
    <row r="1214" spans="1:12" x14ac:dyDescent="0.3">
      <c r="A1214" t="s">
        <v>2252</v>
      </c>
      <c r="B1214" t="s">
        <v>2250</v>
      </c>
      <c r="C1214" t="s">
        <v>374</v>
      </c>
      <c r="D1214">
        <v>3</v>
      </c>
      <c r="E1214" s="1">
        <v>45764</v>
      </c>
      <c r="F1214" t="s">
        <v>575</v>
      </c>
      <c r="G1214">
        <v>1</v>
      </c>
      <c r="H1214" t="s">
        <v>569</v>
      </c>
      <c r="I1214" t="s">
        <v>570</v>
      </c>
      <c r="J1214" t="str">
        <f t="shared" si="54"/>
        <v>April</v>
      </c>
      <c r="K1214" t="str">
        <f t="shared" si="55"/>
        <v>Q2</v>
      </c>
      <c r="L1214">
        <f t="shared" si="56"/>
        <v>2025</v>
      </c>
    </row>
    <row r="1215" spans="1:12" x14ac:dyDescent="0.3">
      <c r="A1215" t="s">
        <v>2253</v>
      </c>
      <c r="B1215" t="s">
        <v>2250</v>
      </c>
      <c r="C1215" t="s">
        <v>374</v>
      </c>
      <c r="D1215">
        <v>4</v>
      </c>
      <c r="E1215" s="1">
        <v>45776</v>
      </c>
      <c r="F1215" t="s">
        <v>706</v>
      </c>
      <c r="G1215">
        <v>1</v>
      </c>
      <c r="H1215" t="s">
        <v>569</v>
      </c>
      <c r="I1215" t="s">
        <v>570</v>
      </c>
      <c r="J1215" t="str">
        <f t="shared" si="54"/>
        <v>April</v>
      </c>
      <c r="K1215" t="str">
        <f t="shared" si="55"/>
        <v>Q2</v>
      </c>
      <c r="L1215">
        <f t="shared" si="56"/>
        <v>2025</v>
      </c>
    </row>
    <row r="1216" spans="1:12" x14ac:dyDescent="0.3">
      <c r="A1216" t="s">
        <v>2254</v>
      </c>
      <c r="B1216" t="s">
        <v>2255</v>
      </c>
      <c r="C1216" t="s">
        <v>195</v>
      </c>
      <c r="D1216">
        <v>1</v>
      </c>
      <c r="E1216" s="1">
        <v>45853</v>
      </c>
      <c r="F1216" t="s">
        <v>632</v>
      </c>
      <c r="G1216">
        <v>1</v>
      </c>
      <c r="H1216" t="s">
        <v>569</v>
      </c>
      <c r="I1216" t="s">
        <v>570</v>
      </c>
      <c r="J1216" t="str">
        <f t="shared" si="54"/>
        <v>July</v>
      </c>
      <c r="K1216" t="str">
        <f t="shared" si="55"/>
        <v>Q3</v>
      </c>
      <c r="L1216">
        <f t="shared" si="56"/>
        <v>2025</v>
      </c>
    </row>
    <row r="1217" spans="1:12" x14ac:dyDescent="0.3">
      <c r="A1217" t="s">
        <v>2256</v>
      </c>
      <c r="B1217" t="s">
        <v>2255</v>
      </c>
      <c r="C1217" t="s">
        <v>195</v>
      </c>
      <c r="D1217">
        <v>2</v>
      </c>
      <c r="E1217" s="1">
        <v>45863</v>
      </c>
      <c r="F1217" t="s">
        <v>612</v>
      </c>
      <c r="G1217">
        <v>1</v>
      </c>
      <c r="H1217" t="s">
        <v>569</v>
      </c>
      <c r="I1217" t="s">
        <v>570</v>
      </c>
      <c r="J1217" t="str">
        <f t="shared" si="54"/>
        <v>July</v>
      </c>
      <c r="K1217" t="str">
        <f t="shared" si="55"/>
        <v>Q3</v>
      </c>
      <c r="L1217">
        <f t="shared" si="56"/>
        <v>2025</v>
      </c>
    </row>
    <row r="1218" spans="1:12" x14ac:dyDescent="0.3">
      <c r="A1218" t="s">
        <v>2257</v>
      </c>
      <c r="B1218" t="s">
        <v>2258</v>
      </c>
      <c r="C1218" t="s">
        <v>16</v>
      </c>
      <c r="D1218">
        <v>1</v>
      </c>
      <c r="E1218" s="1">
        <v>45759</v>
      </c>
      <c r="F1218" t="s">
        <v>596</v>
      </c>
      <c r="G1218">
        <v>2</v>
      </c>
      <c r="H1218" t="s">
        <v>569</v>
      </c>
      <c r="I1218" t="s">
        <v>570</v>
      </c>
      <c r="J1218" t="str">
        <f t="shared" ref="J1218:J1281" si="57">TEXT(E1218,"mmmm")</f>
        <v>April</v>
      </c>
      <c r="K1218" t="str">
        <f t="shared" ref="K1218:K1281" si="58">"Q"&amp;ROUNDUP(MONTH(E1218)/3,0)</f>
        <v>Q2</v>
      </c>
      <c r="L1218">
        <f t="shared" ref="L1218:L1281" si="59">YEAR(E1218)</f>
        <v>2025</v>
      </c>
    </row>
    <row r="1219" spans="1:12" x14ac:dyDescent="0.3">
      <c r="A1219" t="s">
        <v>2259</v>
      </c>
      <c r="B1219" t="s">
        <v>2258</v>
      </c>
      <c r="C1219" t="s">
        <v>16</v>
      </c>
      <c r="D1219">
        <v>2</v>
      </c>
      <c r="E1219" s="1">
        <v>45771</v>
      </c>
      <c r="F1219" t="s">
        <v>600</v>
      </c>
      <c r="G1219">
        <v>1</v>
      </c>
      <c r="H1219" t="s">
        <v>569</v>
      </c>
      <c r="I1219" t="s">
        <v>570</v>
      </c>
      <c r="J1219" t="str">
        <f t="shared" si="57"/>
        <v>April</v>
      </c>
      <c r="K1219" t="str">
        <f t="shared" si="58"/>
        <v>Q2</v>
      </c>
      <c r="L1219">
        <f t="shared" si="59"/>
        <v>2025</v>
      </c>
    </row>
    <row r="1220" spans="1:12" x14ac:dyDescent="0.3">
      <c r="A1220" t="s">
        <v>2260</v>
      </c>
      <c r="B1220" t="s">
        <v>2258</v>
      </c>
      <c r="C1220" t="s">
        <v>16</v>
      </c>
      <c r="D1220">
        <v>3</v>
      </c>
      <c r="E1220" s="1">
        <v>45780</v>
      </c>
      <c r="F1220" t="s">
        <v>625</v>
      </c>
      <c r="G1220">
        <v>3</v>
      </c>
      <c r="H1220" t="s">
        <v>578</v>
      </c>
      <c r="I1220" t="s">
        <v>570</v>
      </c>
      <c r="J1220" t="str">
        <f t="shared" si="57"/>
        <v>May</v>
      </c>
      <c r="K1220" t="str">
        <f t="shared" si="58"/>
        <v>Q2</v>
      </c>
      <c r="L1220">
        <f t="shared" si="59"/>
        <v>2025</v>
      </c>
    </row>
    <row r="1221" spans="1:12" x14ac:dyDescent="0.3">
      <c r="A1221" t="s">
        <v>2261</v>
      </c>
      <c r="B1221" t="s">
        <v>2258</v>
      </c>
      <c r="C1221" t="s">
        <v>16</v>
      </c>
      <c r="D1221">
        <v>4</v>
      </c>
      <c r="E1221" s="1">
        <v>45786</v>
      </c>
      <c r="F1221" t="s">
        <v>596</v>
      </c>
      <c r="G1221">
        <v>1</v>
      </c>
      <c r="H1221" t="s">
        <v>569</v>
      </c>
      <c r="I1221" t="s">
        <v>570</v>
      </c>
      <c r="J1221" t="str">
        <f t="shared" si="57"/>
        <v>May</v>
      </c>
      <c r="K1221" t="str">
        <f t="shared" si="58"/>
        <v>Q2</v>
      </c>
      <c r="L1221">
        <f t="shared" si="59"/>
        <v>2025</v>
      </c>
    </row>
    <row r="1222" spans="1:12" x14ac:dyDescent="0.3">
      <c r="A1222" t="s">
        <v>2262</v>
      </c>
      <c r="B1222" t="s">
        <v>2263</v>
      </c>
      <c r="C1222" t="s">
        <v>187</v>
      </c>
      <c r="D1222">
        <v>1</v>
      </c>
      <c r="E1222" s="1">
        <v>45825</v>
      </c>
      <c r="F1222" t="s">
        <v>596</v>
      </c>
      <c r="G1222">
        <v>3</v>
      </c>
      <c r="H1222" t="s">
        <v>578</v>
      </c>
      <c r="I1222" t="s">
        <v>570</v>
      </c>
      <c r="J1222" t="str">
        <f t="shared" si="57"/>
        <v>June</v>
      </c>
      <c r="K1222" t="str">
        <f t="shared" si="58"/>
        <v>Q2</v>
      </c>
      <c r="L1222">
        <f t="shared" si="59"/>
        <v>2025</v>
      </c>
    </row>
    <row r="1223" spans="1:12" x14ac:dyDescent="0.3">
      <c r="A1223" t="s">
        <v>2264</v>
      </c>
      <c r="B1223" t="s">
        <v>2263</v>
      </c>
      <c r="C1223" t="s">
        <v>187</v>
      </c>
      <c r="D1223">
        <v>2</v>
      </c>
      <c r="E1223" s="1">
        <v>45837</v>
      </c>
      <c r="F1223" t="s">
        <v>577</v>
      </c>
      <c r="G1223">
        <v>3</v>
      </c>
      <c r="H1223" t="s">
        <v>578</v>
      </c>
      <c r="I1223" t="s">
        <v>570</v>
      </c>
      <c r="J1223" t="str">
        <f t="shared" si="57"/>
        <v>June</v>
      </c>
      <c r="K1223" t="str">
        <f t="shared" si="58"/>
        <v>Q2</v>
      </c>
      <c r="L1223">
        <f t="shared" si="59"/>
        <v>2025</v>
      </c>
    </row>
    <row r="1224" spans="1:12" x14ac:dyDescent="0.3">
      <c r="A1224" t="s">
        <v>2265</v>
      </c>
      <c r="B1224" t="s">
        <v>2263</v>
      </c>
      <c r="C1224" t="s">
        <v>187</v>
      </c>
      <c r="D1224">
        <v>3</v>
      </c>
      <c r="E1224" s="1">
        <v>45846</v>
      </c>
      <c r="F1224" t="s">
        <v>621</v>
      </c>
      <c r="G1224">
        <v>4</v>
      </c>
      <c r="H1224" t="s">
        <v>581</v>
      </c>
      <c r="I1224" t="s">
        <v>570</v>
      </c>
      <c r="J1224" t="str">
        <f t="shared" si="57"/>
        <v>July</v>
      </c>
      <c r="K1224" t="str">
        <f t="shared" si="58"/>
        <v>Q3</v>
      </c>
      <c r="L1224">
        <f t="shared" si="59"/>
        <v>2025</v>
      </c>
    </row>
    <row r="1225" spans="1:12" x14ac:dyDescent="0.3">
      <c r="A1225" t="s">
        <v>2266</v>
      </c>
      <c r="B1225" t="s">
        <v>2267</v>
      </c>
      <c r="C1225" t="s">
        <v>27</v>
      </c>
      <c r="D1225">
        <v>1</v>
      </c>
      <c r="E1225" s="1">
        <v>45886</v>
      </c>
      <c r="G1225">
        <v>3</v>
      </c>
      <c r="H1225" t="s">
        <v>578</v>
      </c>
      <c r="I1225" t="s">
        <v>570</v>
      </c>
      <c r="J1225" t="str">
        <f t="shared" si="57"/>
        <v>August</v>
      </c>
      <c r="K1225" t="str">
        <f t="shared" si="58"/>
        <v>Q3</v>
      </c>
      <c r="L1225">
        <f t="shared" si="59"/>
        <v>2025</v>
      </c>
    </row>
    <row r="1226" spans="1:12" x14ac:dyDescent="0.3">
      <c r="A1226" t="s">
        <v>2268</v>
      </c>
      <c r="B1226" t="s">
        <v>2267</v>
      </c>
      <c r="C1226" t="s">
        <v>27</v>
      </c>
      <c r="D1226">
        <v>2</v>
      </c>
      <c r="E1226" s="1">
        <v>45894</v>
      </c>
      <c r="F1226" t="s">
        <v>625</v>
      </c>
      <c r="G1226">
        <v>4</v>
      </c>
      <c r="H1226" t="s">
        <v>581</v>
      </c>
      <c r="I1226" t="s">
        <v>597</v>
      </c>
      <c r="J1226" t="str">
        <f t="shared" si="57"/>
        <v>August</v>
      </c>
      <c r="K1226" t="str">
        <f t="shared" si="58"/>
        <v>Q3</v>
      </c>
      <c r="L1226">
        <f t="shared" si="59"/>
        <v>2025</v>
      </c>
    </row>
    <row r="1227" spans="1:12" x14ac:dyDescent="0.3">
      <c r="A1227" t="s">
        <v>2269</v>
      </c>
      <c r="B1227" t="s">
        <v>505</v>
      </c>
      <c r="C1227" t="s">
        <v>16</v>
      </c>
      <c r="D1227">
        <v>1</v>
      </c>
      <c r="E1227" s="1">
        <v>45766</v>
      </c>
      <c r="F1227" t="s">
        <v>636</v>
      </c>
      <c r="G1227">
        <v>5</v>
      </c>
      <c r="H1227" t="s">
        <v>581</v>
      </c>
      <c r="I1227" t="s">
        <v>570</v>
      </c>
      <c r="J1227" t="str">
        <f t="shared" si="57"/>
        <v>April</v>
      </c>
      <c r="K1227" t="str">
        <f t="shared" si="58"/>
        <v>Q2</v>
      </c>
      <c r="L1227">
        <f t="shared" si="59"/>
        <v>2025</v>
      </c>
    </row>
    <row r="1228" spans="1:12" x14ac:dyDescent="0.3">
      <c r="A1228" t="s">
        <v>2270</v>
      </c>
      <c r="B1228" t="s">
        <v>2271</v>
      </c>
      <c r="C1228" t="s">
        <v>240</v>
      </c>
      <c r="D1228">
        <v>1</v>
      </c>
      <c r="E1228" s="1">
        <v>45956</v>
      </c>
      <c r="F1228" t="s">
        <v>568</v>
      </c>
      <c r="G1228">
        <v>3</v>
      </c>
      <c r="H1228" t="s">
        <v>578</v>
      </c>
      <c r="I1228" t="s">
        <v>570</v>
      </c>
      <c r="J1228" t="str">
        <f t="shared" si="57"/>
        <v>October</v>
      </c>
      <c r="K1228" t="str">
        <f t="shared" si="58"/>
        <v>Q4</v>
      </c>
      <c r="L1228">
        <f t="shared" si="59"/>
        <v>2025</v>
      </c>
    </row>
    <row r="1229" spans="1:12" x14ac:dyDescent="0.3">
      <c r="A1229" t="s">
        <v>2272</v>
      </c>
      <c r="B1229" t="s">
        <v>2271</v>
      </c>
      <c r="C1229" t="s">
        <v>240</v>
      </c>
      <c r="D1229">
        <v>2</v>
      </c>
      <c r="E1229" s="1">
        <v>45962</v>
      </c>
      <c r="F1229" t="s">
        <v>596</v>
      </c>
      <c r="G1229">
        <v>1</v>
      </c>
      <c r="H1229" t="s">
        <v>569</v>
      </c>
      <c r="I1229" t="s">
        <v>570</v>
      </c>
      <c r="J1229" t="str">
        <f t="shared" si="57"/>
        <v>November</v>
      </c>
      <c r="K1229" t="str">
        <f t="shared" si="58"/>
        <v>Q4</v>
      </c>
      <c r="L1229">
        <f t="shared" si="59"/>
        <v>2025</v>
      </c>
    </row>
    <row r="1230" spans="1:12" x14ac:dyDescent="0.3">
      <c r="A1230" t="s">
        <v>2273</v>
      </c>
      <c r="B1230" t="s">
        <v>2274</v>
      </c>
      <c r="C1230" t="s">
        <v>429</v>
      </c>
      <c r="D1230">
        <v>1</v>
      </c>
      <c r="E1230" s="1">
        <v>45762</v>
      </c>
      <c r="F1230" t="s">
        <v>766</v>
      </c>
      <c r="G1230">
        <v>3</v>
      </c>
      <c r="H1230" t="s">
        <v>578</v>
      </c>
      <c r="I1230" t="s">
        <v>570</v>
      </c>
      <c r="J1230" t="str">
        <f t="shared" si="57"/>
        <v>April</v>
      </c>
      <c r="K1230" t="str">
        <f t="shared" si="58"/>
        <v>Q2</v>
      </c>
      <c r="L1230">
        <f t="shared" si="59"/>
        <v>2025</v>
      </c>
    </row>
    <row r="1231" spans="1:12" x14ac:dyDescent="0.3">
      <c r="A1231" t="s">
        <v>2275</v>
      </c>
      <c r="B1231" t="s">
        <v>2274</v>
      </c>
      <c r="C1231" t="s">
        <v>429</v>
      </c>
      <c r="D1231">
        <v>2</v>
      </c>
      <c r="E1231" s="1">
        <v>45774</v>
      </c>
      <c r="F1231" t="s">
        <v>638</v>
      </c>
      <c r="G1231">
        <v>1</v>
      </c>
      <c r="H1231" t="s">
        <v>569</v>
      </c>
      <c r="I1231" t="s">
        <v>570</v>
      </c>
      <c r="J1231" t="str">
        <f t="shared" si="57"/>
        <v>April</v>
      </c>
      <c r="K1231" t="str">
        <f t="shared" si="58"/>
        <v>Q2</v>
      </c>
      <c r="L1231">
        <f t="shared" si="59"/>
        <v>2025</v>
      </c>
    </row>
    <row r="1232" spans="1:12" x14ac:dyDescent="0.3">
      <c r="A1232" t="s">
        <v>2276</v>
      </c>
      <c r="B1232" t="s">
        <v>2277</v>
      </c>
      <c r="C1232" t="s">
        <v>183</v>
      </c>
      <c r="D1232">
        <v>1</v>
      </c>
      <c r="E1232" s="1">
        <v>45850</v>
      </c>
      <c r="F1232" t="s">
        <v>649</v>
      </c>
      <c r="G1232">
        <v>2</v>
      </c>
      <c r="H1232" t="s">
        <v>569</v>
      </c>
      <c r="I1232" t="s">
        <v>570</v>
      </c>
      <c r="J1232" t="str">
        <f t="shared" si="57"/>
        <v>July</v>
      </c>
      <c r="K1232" t="str">
        <f t="shared" si="58"/>
        <v>Q3</v>
      </c>
      <c r="L1232">
        <f t="shared" si="59"/>
        <v>2025</v>
      </c>
    </row>
    <row r="1233" spans="1:12" x14ac:dyDescent="0.3">
      <c r="A1233" t="s">
        <v>2278</v>
      </c>
      <c r="B1233" t="s">
        <v>2277</v>
      </c>
      <c r="C1233" t="s">
        <v>183</v>
      </c>
      <c r="D1233">
        <v>2</v>
      </c>
      <c r="E1233" s="1">
        <v>45857</v>
      </c>
      <c r="F1233" t="s">
        <v>625</v>
      </c>
      <c r="G1233">
        <v>3</v>
      </c>
      <c r="H1233" t="s">
        <v>578</v>
      </c>
      <c r="I1233" t="s">
        <v>570</v>
      </c>
      <c r="J1233" t="str">
        <f t="shared" si="57"/>
        <v>July</v>
      </c>
      <c r="K1233" t="str">
        <f t="shared" si="58"/>
        <v>Q3</v>
      </c>
      <c r="L1233">
        <f t="shared" si="59"/>
        <v>2025</v>
      </c>
    </row>
    <row r="1234" spans="1:12" x14ac:dyDescent="0.3">
      <c r="A1234" t="s">
        <v>2279</v>
      </c>
      <c r="B1234" t="s">
        <v>2280</v>
      </c>
      <c r="C1234" t="s">
        <v>27</v>
      </c>
      <c r="D1234">
        <v>1</v>
      </c>
      <c r="E1234" s="1">
        <v>45889</v>
      </c>
      <c r="F1234" t="s">
        <v>632</v>
      </c>
      <c r="G1234">
        <v>3</v>
      </c>
      <c r="H1234" t="s">
        <v>578</v>
      </c>
      <c r="I1234" t="s">
        <v>570</v>
      </c>
      <c r="J1234" t="str">
        <f t="shared" si="57"/>
        <v>August</v>
      </c>
      <c r="K1234" t="str">
        <f t="shared" si="58"/>
        <v>Q3</v>
      </c>
      <c r="L1234">
        <f t="shared" si="59"/>
        <v>2025</v>
      </c>
    </row>
    <row r="1235" spans="1:12" x14ac:dyDescent="0.3">
      <c r="A1235" t="s">
        <v>2281</v>
      </c>
      <c r="B1235" t="s">
        <v>2280</v>
      </c>
      <c r="C1235" t="s">
        <v>27</v>
      </c>
      <c r="D1235">
        <v>2</v>
      </c>
      <c r="E1235" s="1">
        <v>45894</v>
      </c>
      <c r="F1235" t="s">
        <v>592</v>
      </c>
      <c r="G1235">
        <v>2</v>
      </c>
      <c r="H1235" t="s">
        <v>569</v>
      </c>
      <c r="I1235" t="s">
        <v>570</v>
      </c>
      <c r="J1235" t="str">
        <f t="shared" si="57"/>
        <v>August</v>
      </c>
      <c r="K1235" t="str">
        <f t="shared" si="58"/>
        <v>Q3</v>
      </c>
      <c r="L1235">
        <f t="shared" si="59"/>
        <v>2025</v>
      </c>
    </row>
    <row r="1236" spans="1:12" x14ac:dyDescent="0.3">
      <c r="A1236" t="s">
        <v>2282</v>
      </c>
      <c r="B1236" t="s">
        <v>2280</v>
      </c>
      <c r="C1236" t="s">
        <v>27</v>
      </c>
      <c r="D1236">
        <v>3</v>
      </c>
      <c r="E1236" s="1">
        <v>45900</v>
      </c>
      <c r="F1236" t="s">
        <v>629</v>
      </c>
      <c r="G1236">
        <v>1</v>
      </c>
      <c r="H1236" t="s">
        <v>569</v>
      </c>
      <c r="I1236" t="s">
        <v>570</v>
      </c>
      <c r="J1236" t="str">
        <f t="shared" si="57"/>
        <v>August</v>
      </c>
      <c r="K1236" t="str">
        <f t="shared" si="58"/>
        <v>Q3</v>
      </c>
      <c r="L1236">
        <f t="shared" si="59"/>
        <v>2025</v>
      </c>
    </row>
    <row r="1237" spans="1:12" x14ac:dyDescent="0.3">
      <c r="A1237" t="s">
        <v>2283</v>
      </c>
      <c r="B1237" t="s">
        <v>2280</v>
      </c>
      <c r="C1237" t="s">
        <v>27</v>
      </c>
      <c r="D1237">
        <v>4</v>
      </c>
      <c r="E1237" s="1">
        <v>45910</v>
      </c>
      <c r="F1237" t="s">
        <v>592</v>
      </c>
      <c r="G1237">
        <v>1</v>
      </c>
      <c r="H1237" t="s">
        <v>569</v>
      </c>
      <c r="I1237" t="s">
        <v>570</v>
      </c>
      <c r="J1237" t="str">
        <f t="shared" si="57"/>
        <v>September</v>
      </c>
      <c r="K1237" t="str">
        <f t="shared" si="58"/>
        <v>Q3</v>
      </c>
      <c r="L1237">
        <f t="shared" si="59"/>
        <v>2025</v>
      </c>
    </row>
    <row r="1238" spans="1:12" x14ac:dyDescent="0.3">
      <c r="A1238" t="s">
        <v>2284</v>
      </c>
      <c r="B1238" t="s">
        <v>2285</v>
      </c>
      <c r="C1238" t="s">
        <v>156</v>
      </c>
      <c r="D1238">
        <v>1</v>
      </c>
      <c r="E1238" s="1">
        <v>45739</v>
      </c>
      <c r="F1238" t="s">
        <v>590</v>
      </c>
      <c r="G1238">
        <v>2</v>
      </c>
      <c r="H1238" t="s">
        <v>569</v>
      </c>
      <c r="I1238" t="s">
        <v>570</v>
      </c>
      <c r="J1238" t="str">
        <f t="shared" si="57"/>
        <v>March</v>
      </c>
      <c r="K1238" t="str">
        <f t="shared" si="58"/>
        <v>Q1</v>
      </c>
      <c r="L1238">
        <f t="shared" si="59"/>
        <v>2025</v>
      </c>
    </row>
    <row r="1239" spans="1:12" x14ac:dyDescent="0.3">
      <c r="A1239" t="s">
        <v>2286</v>
      </c>
      <c r="B1239" t="s">
        <v>2285</v>
      </c>
      <c r="C1239" t="s">
        <v>156</v>
      </c>
      <c r="D1239">
        <v>2</v>
      </c>
      <c r="E1239" s="1">
        <v>45744</v>
      </c>
      <c r="F1239" t="s">
        <v>590</v>
      </c>
      <c r="G1239">
        <v>1</v>
      </c>
      <c r="H1239" t="s">
        <v>569</v>
      </c>
      <c r="I1239" t="s">
        <v>570</v>
      </c>
      <c r="J1239" t="str">
        <f t="shared" si="57"/>
        <v>March</v>
      </c>
      <c r="K1239" t="str">
        <f t="shared" si="58"/>
        <v>Q1</v>
      </c>
      <c r="L1239">
        <f t="shared" si="59"/>
        <v>2025</v>
      </c>
    </row>
    <row r="1240" spans="1:12" x14ac:dyDescent="0.3">
      <c r="A1240" t="s">
        <v>2287</v>
      </c>
      <c r="B1240" t="s">
        <v>2285</v>
      </c>
      <c r="C1240" t="s">
        <v>156</v>
      </c>
      <c r="D1240">
        <v>3</v>
      </c>
      <c r="E1240" s="1">
        <v>45749</v>
      </c>
      <c r="F1240" t="s">
        <v>580</v>
      </c>
      <c r="G1240">
        <v>3</v>
      </c>
      <c r="H1240" t="s">
        <v>578</v>
      </c>
      <c r="I1240" t="s">
        <v>570</v>
      </c>
      <c r="J1240" t="str">
        <f t="shared" si="57"/>
        <v>April</v>
      </c>
      <c r="K1240" t="str">
        <f t="shared" si="58"/>
        <v>Q2</v>
      </c>
      <c r="L1240">
        <f t="shared" si="59"/>
        <v>2025</v>
      </c>
    </row>
    <row r="1241" spans="1:12" x14ac:dyDescent="0.3">
      <c r="A1241" t="s">
        <v>2288</v>
      </c>
      <c r="B1241" t="s">
        <v>2289</v>
      </c>
      <c r="C1241" t="s">
        <v>244</v>
      </c>
      <c r="D1241">
        <v>1</v>
      </c>
      <c r="E1241" s="1">
        <v>45675</v>
      </c>
      <c r="F1241" t="s">
        <v>596</v>
      </c>
      <c r="G1241">
        <v>3</v>
      </c>
      <c r="H1241" t="s">
        <v>578</v>
      </c>
      <c r="I1241" t="s">
        <v>570</v>
      </c>
      <c r="J1241" t="str">
        <f t="shared" si="57"/>
        <v>January</v>
      </c>
      <c r="K1241" t="str">
        <f t="shared" si="58"/>
        <v>Q1</v>
      </c>
      <c r="L1241">
        <f t="shared" si="59"/>
        <v>2025</v>
      </c>
    </row>
    <row r="1242" spans="1:12" x14ac:dyDescent="0.3">
      <c r="A1242" t="s">
        <v>2290</v>
      </c>
      <c r="B1242" t="s">
        <v>2291</v>
      </c>
      <c r="C1242" t="s">
        <v>99</v>
      </c>
      <c r="D1242">
        <v>1</v>
      </c>
      <c r="E1242" s="1">
        <v>45855</v>
      </c>
      <c r="F1242" t="s">
        <v>649</v>
      </c>
      <c r="G1242">
        <v>3</v>
      </c>
      <c r="H1242" t="s">
        <v>578</v>
      </c>
      <c r="I1242" t="s">
        <v>570</v>
      </c>
      <c r="J1242" t="str">
        <f t="shared" si="57"/>
        <v>July</v>
      </c>
      <c r="K1242" t="str">
        <f t="shared" si="58"/>
        <v>Q3</v>
      </c>
      <c r="L1242">
        <f t="shared" si="59"/>
        <v>2025</v>
      </c>
    </row>
    <row r="1243" spans="1:12" x14ac:dyDescent="0.3">
      <c r="A1243" t="s">
        <v>2292</v>
      </c>
      <c r="B1243" t="s">
        <v>2291</v>
      </c>
      <c r="C1243" t="s">
        <v>99</v>
      </c>
      <c r="D1243">
        <v>2</v>
      </c>
      <c r="E1243" s="1">
        <v>45864</v>
      </c>
      <c r="F1243" t="s">
        <v>656</v>
      </c>
      <c r="G1243">
        <v>5</v>
      </c>
      <c r="H1243" t="s">
        <v>581</v>
      </c>
      <c r="I1243" t="s">
        <v>597</v>
      </c>
      <c r="J1243" t="str">
        <f t="shared" si="57"/>
        <v>July</v>
      </c>
      <c r="K1243" t="str">
        <f t="shared" si="58"/>
        <v>Q3</v>
      </c>
      <c r="L1243">
        <f t="shared" si="59"/>
        <v>2025</v>
      </c>
    </row>
    <row r="1244" spans="1:12" x14ac:dyDescent="0.3">
      <c r="A1244" t="s">
        <v>2293</v>
      </c>
      <c r="B1244" t="s">
        <v>2291</v>
      </c>
      <c r="C1244" t="s">
        <v>99</v>
      </c>
      <c r="D1244">
        <v>3</v>
      </c>
      <c r="E1244" s="1">
        <v>45868</v>
      </c>
      <c r="F1244" t="s">
        <v>670</v>
      </c>
      <c r="G1244">
        <v>4</v>
      </c>
      <c r="H1244" t="s">
        <v>581</v>
      </c>
      <c r="I1244" t="s">
        <v>570</v>
      </c>
      <c r="J1244" t="str">
        <f t="shared" si="57"/>
        <v>July</v>
      </c>
      <c r="K1244" t="str">
        <f t="shared" si="58"/>
        <v>Q3</v>
      </c>
      <c r="L1244">
        <f t="shared" si="59"/>
        <v>2025</v>
      </c>
    </row>
    <row r="1245" spans="1:12" x14ac:dyDescent="0.3">
      <c r="A1245" t="s">
        <v>2294</v>
      </c>
      <c r="B1245" t="s">
        <v>2295</v>
      </c>
      <c r="C1245" t="s">
        <v>41</v>
      </c>
      <c r="D1245">
        <v>1</v>
      </c>
      <c r="E1245" s="1">
        <v>45823</v>
      </c>
      <c r="F1245" t="s">
        <v>603</v>
      </c>
      <c r="G1245">
        <v>2</v>
      </c>
      <c r="H1245" t="s">
        <v>569</v>
      </c>
      <c r="I1245" t="s">
        <v>608</v>
      </c>
      <c r="J1245" t="str">
        <f t="shared" si="57"/>
        <v>June</v>
      </c>
      <c r="K1245" t="str">
        <f t="shared" si="58"/>
        <v>Q2</v>
      </c>
      <c r="L1245">
        <f t="shared" si="59"/>
        <v>2025</v>
      </c>
    </row>
    <row r="1246" spans="1:12" x14ac:dyDescent="0.3">
      <c r="A1246" t="s">
        <v>2296</v>
      </c>
      <c r="B1246" t="s">
        <v>2295</v>
      </c>
      <c r="C1246" t="s">
        <v>41</v>
      </c>
      <c r="D1246">
        <v>2</v>
      </c>
      <c r="E1246" s="1">
        <v>45835</v>
      </c>
      <c r="F1246" t="s">
        <v>603</v>
      </c>
      <c r="G1246">
        <v>1</v>
      </c>
      <c r="H1246" t="s">
        <v>569</v>
      </c>
      <c r="I1246" t="s">
        <v>597</v>
      </c>
      <c r="J1246" t="str">
        <f t="shared" si="57"/>
        <v>June</v>
      </c>
      <c r="K1246" t="str">
        <f t="shared" si="58"/>
        <v>Q2</v>
      </c>
      <c r="L1246">
        <f t="shared" si="59"/>
        <v>2025</v>
      </c>
    </row>
    <row r="1247" spans="1:12" x14ac:dyDescent="0.3">
      <c r="A1247" t="s">
        <v>2297</v>
      </c>
      <c r="B1247" t="s">
        <v>2295</v>
      </c>
      <c r="C1247" t="s">
        <v>41</v>
      </c>
      <c r="D1247">
        <v>3</v>
      </c>
      <c r="E1247" s="1">
        <v>45841</v>
      </c>
      <c r="F1247" t="s">
        <v>572</v>
      </c>
      <c r="G1247">
        <v>1</v>
      </c>
      <c r="H1247" t="s">
        <v>569</v>
      </c>
      <c r="I1247" t="s">
        <v>570</v>
      </c>
      <c r="J1247" t="str">
        <f t="shared" si="57"/>
        <v>July</v>
      </c>
      <c r="K1247" t="str">
        <f t="shared" si="58"/>
        <v>Q3</v>
      </c>
      <c r="L1247">
        <f t="shared" si="59"/>
        <v>2025</v>
      </c>
    </row>
    <row r="1248" spans="1:12" x14ac:dyDescent="0.3">
      <c r="A1248" t="s">
        <v>2298</v>
      </c>
      <c r="B1248" t="s">
        <v>2295</v>
      </c>
      <c r="C1248" t="s">
        <v>41</v>
      </c>
      <c r="D1248">
        <v>4</v>
      </c>
      <c r="E1248" s="1">
        <v>45847</v>
      </c>
      <c r="F1248" t="s">
        <v>603</v>
      </c>
      <c r="G1248">
        <v>1</v>
      </c>
      <c r="H1248" t="s">
        <v>569</v>
      </c>
      <c r="I1248" t="s">
        <v>570</v>
      </c>
      <c r="J1248" t="str">
        <f t="shared" si="57"/>
        <v>July</v>
      </c>
      <c r="K1248" t="str">
        <f t="shared" si="58"/>
        <v>Q3</v>
      </c>
      <c r="L1248">
        <f t="shared" si="59"/>
        <v>2025</v>
      </c>
    </row>
    <row r="1249" spans="1:12" x14ac:dyDescent="0.3">
      <c r="A1249" t="s">
        <v>2299</v>
      </c>
      <c r="B1249" t="s">
        <v>2300</v>
      </c>
      <c r="C1249" t="s">
        <v>78</v>
      </c>
      <c r="D1249">
        <v>1</v>
      </c>
      <c r="E1249" s="1">
        <v>45910</v>
      </c>
      <c r="F1249" t="s">
        <v>580</v>
      </c>
      <c r="G1249">
        <v>1</v>
      </c>
      <c r="H1249" t="s">
        <v>569</v>
      </c>
      <c r="I1249" t="s">
        <v>570</v>
      </c>
      <c r="J1249" t="str">
        <f t="shared" si="57"/>
        <v>September</v>
      </c>
      <c r="K1249" t="str">
        <f t="shared" si="58"/>
        <v>Q3</v>
      </c>
      <c r="L1249">
        <f t="shared" si="59"/>
        <v>2025</v>
      </c>
    </row>
    <row r="1250" spans="1:12" x14ac:dyDescent="0.3">
      <c r="A1250" t="s">
        <v>2301</v>
      </c>
      <c r="B1250" t="s">
        <v>2300</v>
      </c>
      <c r="C1250" t="s">
        <v>78</v>
      </c>
      <c r="D1250">
        <v>2</v>
      </c>
      <c r="E1250" s="1">
        <v>45919</v>
      </c>
      <c r="F1250" t="s">
        <v>568</v>
      </c>
      <c r="G1250">
        <v>1</v>
      </c>
      <c r="H1250" t="s">
        <v>569</v>
      </c>
      <c r="I1250" t="s">
        <v>570</v>
      </c>
      <c r="J1250" t="str">
        <f t="shared" si="57"/>
        <v>September</v>
      </c>
      <c r="K1250" t="str">
        <f t="shared" si="58"/>
        <v>Q3</v>
      </c>
      <c r="L1250">
        <f t="shared" si="59"/>
        <v>2025</v>
      </c>
    </row>
    <row r="1251" spans="1:12" x14ac:dyDescent="0.3">
      <c r="A1251" t="s">
        <v>2302</v>
      </c>
      <c r="B1251" t="s">
        <v>2303</v>
      </c>
      <c r="C1251" t="s">
        <v>10</v>
      </c>
      <c r="D1251">
        <v>1</v>
      </c>
      <c r="E1251" s="1">
        <v>45927</v>
      </c>
      <c r="F1251" t="s">
        <v>663</v>
      </c>
      <c r="G1251">
        <v>1</v>
      </c>
      <c r="H1251" t="s">
        <v>569</v>
      </c>
      <c r="I1251" t="s">
        <v>570</v>
      </c>
      <c r="J1251" t="str">
        <f t="shared" si="57"/>
        <v>September</v>
      </c>
      <c r="K1251" t="str">
        <f t="shared" si="58"/>
        <v>Q3</v>
      </c>
      <c r="L1251">
        <f t="shared" si="59"/>
        <v>2025</v>
      </c>
    </row>
    <row r="1252" spans="1:12" x14ac:dyDescent="0.3">
      <c r="A1252" t="s">
        <v>2304</v>
      </c>
      <c r="B1252" t="s">
        <v>2303</v>
      </c>
      <c r="C1252" t="s">
        <v>10</v>
      </c>
      <c r="D1252">
        <v>2</v>
      </c>
      <c r="E1252" s="1">
        <v>45932</v>
      </c>
      <c r="F1252" t="s">
        <v>572</v>
      </c>
      <c r="G1252">
        <v>3</v>
      </c>
      <c r="H1252" t="s">
        <v>578</v>
      </c>
      <c r="I1252" t="s">
        <v>570</v>
      </c>
      <c r="J1252" t="str">
        <f t="shared" si="57"/>
        <v>October</v>
      </c>
      <c r="K1252" t="str">
        <f t="shared" si="58"/>
        <v>Q4</v>
      </c>
      <c r="L1252">
        <f t="shared" si="59"/>
        <v>2025</v>
      </c>
    </row>
    <row r="1253" spans="1:12" x14ac:dyDescent="0.3">
      <c r="A1253" t="s">
        <v>2305</v>
      </c>
      <c r="B1253" t="s">
        <v>2303</v>
      </c>
      <c r="C1253" t="s">
        <v>10</v>
      </c>
      <c r="D1253">
        <v>3</v>
      </c>
      <c r="E1253" s="1">
        <v>45944</v>
      </c>
      <c r="F1253" t="s">
        <v>568</v>
      </c>
      <c r="G1253">
        <v>2</v>
      </c>
      <c r="H1253" t="s">
        <v>569</v>
      </c>
      <c r="I1253" t="s">
        <v>597</v>
      </c>
      <c r="J1253" t="str">
        <f t="shared" si="57"/>
        <v>October</v>
      </c>
      <c r="K1253" t="str">
        <f t="shared" si="58"/>
        <v>Q4</v>
      </c>
      <c r="L1253">
        <f t="shared" si="59"/>
        <v>2025</v>
      </c>
    </row>
    <row r="1254" spans="1:12" x14ac:dyDescent="0.3">
      <c r="A1254" t="s">
        <v>2306</v>
      </c>
      <c r="B1254" t="s">
        <v>2303</v>
      </c>
      <c r="C1254" t="s">
        <v>10</v>
      </c>
      <c r="D1254">
        <v>4</v>
      </c>
      <c r="E1254" s="1">
        <v>45953</v>
      </c>
      <c r="F1254" t="s">
        <v>568</v>
      </c>
      <c r="G1254">
        <v>2</v>
      </c>
      <c r="H1254" t="s">
        <v>569</v>
      </c>
      <c r="I1254" t="s">
        <v>570</v>
      </c>
      <c r="J1254" t="str">
        <f t="shared" si="57"/>
        <v>October</v>
      </c>
      <c r="K1254" t="str">
        <f t="shared" si="58"/>
        <v>Q4</v>
      </c>
      <c r="L1254">
        <f t="shared" si="59"/>
        <v>2025</v>
      </c>
    </row>
    <row r="1255" spans="1:12" x14ac:dyDescent="0.3">
      <c r="A1255" t="s">
        <v>2307</v>
      </c>
      <c r="B1255" t="s">
        <v>91</v>
      </c>
      <c r="C1255" t="s">
        <v>92</v>
      </c>
      <c r="D1255">
        <v>1</v>
      </c>
      <c r="E1255" s="1">
        <v>45775</v>
      </c>
      <c r="F1255" t="s">
        <v>605</v>
      </c>
      <c r="G1255">
        <v>4</v>
      </c>
      <c r="H1255" t="s">
        <v>581</v>
      </c>
      <c r="I1255" t="s">
        <v>570</v>
      </c>
      <c r="J1255" t="str">
        <f t="shared" si="57"/>
        <v>April</v>
      </c>
      <c r="K1255" t="str">
        <f t="shared" si="58"/>
        <v>Q2</v>
      </c>
      <c r="L1255">
        <f t="shared" si="59"/>
        <v>2025</v>
      </c>
    </row>
    <row r="1256" spans="1:12" x14ac:dyDescent="0.3">
      <c r="A1256" t="s">
        <v>2308</v>
      </c>
      <c r="B1256" t="s">
        <v>441</v>
      </c>
      <c r="C1256" t="s">
        <v>96</v>
      </c>
      <c r="D1256">
        <v>1</v>
      </c>
      <c r="E1256" s="1">
        <v>45884</v>
      </c>
      <c r="F1256" t="s">
        <v>572</v>
      </c>
      <c r="G1256">
        <v>4</v>
      </c>
      <c r="H1256" t="s">
        <v>581</v>
      </c>
      <c r="I1256" t="s">
        <v>570</v>
      </c>
      <c r="J1256" t="str">
        <f t="shared" si="57"/>
        <v>August</v>
      </c>
      <c r="K1256" t="str">
        <f t="shared" si="58"/>
        <v>Q3</v>
      </c>
      <c r="L1256">
        <f t="shared" si="59"/>
        <v>2025</v>
      </c>
    </row>
    <row r="1257" spans="1:12" x14ac:dyDescent="0.3">
      <c r="A1257" t="s">
        <v>2309</v>
      </c>
      <c r="B1257" t="s">
        <v>441</v>
      </c>
      <c r="C1257" t="s">
        <v>96</v>
      </c>
      <c r="D1257">
        <v>2</v>
      </c>
      <c r="E1257" s="1">
        <v>45895</v>
      </c>
      <c r="F1257" t="s">
        <v>625</v>
      </c>
      <c r="G1257">
        <v>4</v>
      </c>
      <c r="H1257" t="s">
        <v>581</v>
      </c>
      <c r="I1257" t="s">
        <v>570</v>
      </c>
      <c r="J1257" t="str">
        <f t="shared" si="57"/>
        <v>August</v>
      </c>
      <c r="K1257" t="str">
        <f t="shared" si="58"/>
        <v>Q3</v>
      </c>
      <c r="L1257">
        <f t="shared" si="59"/>
        <v>2025</v>
      </c>
    </row>
    <row r="1258" spans="1:12" x14ac:dyDescent="0.3">
      <c r="A1258" t="s">
        <v>2310</v>
      </c>
      <c r="B1258" t="s">
        <v>2311</v>
      </c>
      <c r="C1258" t="s">
        <v>166</v>
      </c>
      <c r="D1258">
        <v>1</v>
      </c>
      <c r="E1258" s="1">
        <v>45781</v>
      </c>
      <c r="F1258" t="s">
        <v>596</v>
      </c>
      <c r="G1258">
        <v>3</v>
      </c>
      <c r="H1258" t="s">
        <v>578</v>
      </c>
      <c r="I1258" t="s">
        <v>570</v>
      </c>
      <c r="J1258" t="str">
        <f t="shared" si="57"/>
        <v>May</v>
      </c>
      <c r="K1258" t="str">
        <f t="shared" si="58"/>
        <v>Q2</v>
      </c>
      <c r="L1258">
        <f t="shared" si="59"/>
        <v>2025</v>
      </c>
    </row>
    <row r="1259" spans="1:12" x14ac:dyDescent="0.3">
      <c r="A1259" t="s">
        <v>2312</v>
      </c>
      <c r="B1259" t="s">
        <v>2313</v>
      </c>
      <c r="C1259" t="s">
        <v>45</v>
      </c>
      <c r="D1259">
        <v>1</v>
      </c>
      <c r="E1259" s="1">
        <v>45860</v>
      </c>
      <c r="F1259" t="s">
        <v>592</v>
      </c>
      <c r="G1259">
        <v>2</v>
      </c>
      <c r="H1259" t="s">
        <v>569</v>
      </c>
      <c r="I1259" t="s">
        <v>570</v>
      </c>
      <c r="J1259" t="str">
        <f t="shared" si="57"/>
        <v>July</v>
      </c>
      <c r="K1259" t="str">
        <f t="shared" si="58"/>
        <v>Q3</v>
      </c>
      <c r="L1259">
        <f t="shared" si="59"/>
        <v>2025</v>
      </c>
    </row>
    <row r="1260" spans="1:12" x14ac:dyDescent="0.3">
      <c r="A1260" t="s">
        <v>2314</v>
      </c>
      <c r="B1260" t="s">
        <v>2313</v>
      </c>
      <c r="C1260" t="s">
        <v>45</v>
      </c>
      <c r="D1260">
        <v>2</v>
      </c>
      <c r="E1260" s="1">
        <v>45869</v>
      </c>
      <c r="F1260" t="s">
        <v>580</v>
      </c>
      <c r="G1260">
        <v>1</v>
      </c>
      <c r="H1260" t="s">
        <v>569</v>
      </c>
      <c r="I1260" t="s">
        <v>570</v>
      </c>
      <c r="J1260" t="str">
        <f t="shared" si="57"/>
        <v>July</v>
      </c>
      <c r="K1260" t="str">
        <f t="shared" si="58"/>
        <v>Q3</v>
      </c>
      <c r="L1260">
        <f t="shared" si="59"/>
        <v>2025</v>
      </c>
    </row>
    <row r="1261" spans="1:12" x14ac:dyDescent="0.3">
      <c r="A1261" t="s">
        <v>2315</v>
      </c>
      <c r="B1261" t="s">
        <v>2316</v>
      </c>
      <c r="C1261" t="s">
        <v>292</v>
      </c>
      <c r="D1261">
        <v>1</v>
      </c>
      <c r="E1261" s="1">
        <v>45717</v>
      </c>
      <c r="F1261" t="s">
        <v>580</v>
      </c>
      <c r="G1261">
        <v>2</v>
      </c>
      <c r="H1261" t="s">
        <v>569</v>
      </c>
      <c r="I1261" t="s">
        <v>570</v>
      </c>
      <c r="J1261" t="str">
        <f t="shared" si="57"/>
        <v>March</v>
      </c>
      <c r="K1261" t="str">
        <f t="shared" si="58"/>
        <v>Q1</v>
      </c>
      <c r="L1261">
        <f t="shared" si="59"/>
        <v>2025</v>
      </c>
    </row>
    <row r="1262" spans="1:12" x14ac:dyDescent="0.3">
      <c r="A1262" t="s">
        <v>2317</v>
      </c>
      <c r="B1262" t="s">
        <v>2316</v>
      </c>
      <c r="C1262" t="s">
        <v>292</v>
      </c>
      <c r="D1262">
        <v>2</v>
      </c>
      <c r="E1262" s="1">
        <v>45729</v>
      </c>
      <c r="F1262" t="s">
        <v>572</v>
      </c>
      <c r="G1262">
        <v>2</v>
      </c>
      <c r="H1262" t="s">
        <v>569</v>
      </c>
      <c r="I1262" t="s">
        <v>570</v>
      </c>
      <c r="J1262" t="str">
        <f t="shared" si="57"/>
        <v>March</v>
      </c>
      <c r="K1262" t="str">
        <f t="shared" si="58"/>
        <v>Q1</v>
      </c>
      <c r="L1262">
        <f t="shared" si="59"/>
        <v>2025</v>
      </c>
    </row>
    <row r="1263" spans="1:12" x14ac:dyDescent="0.3">
      <c r="A1263" t="s">
        <v>2318</v>
      </c>
      <c r="B1263" t="s">
        <v>2316</v>
      </c>
      <c r="C1263" t="s">
        <v>292</v>
      </c>
      <c r="D1263">
        <v>3</v>
      </c>
      <c r="E1263" s="1">
        <v>45739</v>
      </c>
      <c r="F1263" t="s">
        <v>568</v>
      </c>
      <c r="G1263">
        <v>1</v>
      </c>
      <c r="H1263" t="s">
        <v>569</v>
      </c>
      <c r="I1263" t="s">
        <v>570</v>
      </c>
      <c r="J1263" t="str">
        <f t="shared" si="57"/>
        <v>March</v>
      </c>
      <c r="K1263" t="str">
        <f t="shared" si="58"/>
        <v>Q1</v>
      </c>
      <c r="L1263">
        <f t="shared" si="59"/>
        <v>2025</v>
      </c>
    </row>
    <row r="1264" spans="1:12" x14ac:dyDescent="0.3">
      <c r="A1264" t="s">
        <v>2319</v>
      </c>
      <c r="B1264" t="s">
        <v>2320</v>
      </c>
      <c r="C1264" t="s">
        <v>37</v>
      </c>
      <c r="D1264">
        <v>1</v>
      </c>
      <c r="E1264" s="1">
        <v>45714</v>
      </c>
      <c r="F1264" t="s">
        <v>568</v>
      </c>
      <c r="G1264">
        <v>1</v>
      </c>
      <c r="H1264" t="s">
        <v>569</v>
      </c>
      <c r="I1264" t="s">
        <v>570</v>
      </c>
      <c r="J1264" t="str">
        <f t="shared" si="57"/>
        <v>February</v>
      </c>
      <c r="K1264" t="str">
        <f t="shared" si="58"/>
        <v>Q1</v>
      </c>
      <c r="L1264">
        <f t="shared" si="59"/>
        <v>2025</v>
      </c>
    </row>
    <row r="1265" spans="1:12" x14ac:dyDescent="0.3">
      <c r="A1265" t="s">
        <v>2321</v>
      </c>
      <c r="B1265" t="s">
        <v>2322</v>
      </c>
      <c r="C1265" t="s">
        <v>374</v>
      </c>
      <c r="D1265">
        <v>1</v>
      </c>
      <c r="E1265" s="1">
        <v>45746</v>
      </c>
      <c r="F1265" t="s">
        <v>625</v>
      </c>
      <c r="G1265">
        <v>2</v>
      </c>
      <c r="H1265" t="s">
        <v>569</v>
      </c>
      <c r="I1265" t="s">
        <v>608</v>
      </c>
      <c r="J1265" t="str">
        <f t="shared" si="57"/>
        <v>March</v>
      </c>
      <c r="K1265" t="str">
        <f t="shared" si="58"/>
        <v>Q1</v>
      </c>
      <c r="L1265">
        <f t="shared" si="59"/>
        <v>2025</v>
      </c>
    </row>
    <row r="1266" spans="1:12" x14ac:dyDescent="0.3">
      <c r="A1266" t="s">
        <v>2323</v>
      </c>
      <c r="B1266" t="s">
        <v>2322</v>
      </c>
      <c r="C1266" t="s">
        <v>374</v>
      </c>
      <c r="D1266">
        <v>2</v>
      </c>
      <c r="E1266" s="1">
        <v>45758</v>
      </c>
      <c r="F1266" t="s">
        <v>625</v>
      </c>
      <c r="G1266">
        <v>2</v>
      </c>
      <c r="H1266" t="s">
        <v>569</v>
      </c>
      <c r="I1266" t="s">
        <v>570</v>
      </c>
      <c r="J1266" t="str">
        <f t="shared" si="57"/>
        <v>April</v>
      </c>
      <c r="K1266" t="str">
        <f t="shared" si="58"/>
        <v>Q2</v>
      </c>
      <c r="L1266">
        <f t="shared" si="59"/>
        <v>2025</v>
      </c>
    </row>
    <row r="1267" spans="1:12" x14ac:dyDescent="0.3">
      <c r="A1267" t="s">
        <v>2324</v>
      </c>
      <c r="B1267" t="s">
        <v>2322</v>
      </c>
      <c r="C1267" t="s">
        <v>374</v>
      </c>
      <c r="D1267">
        <v>3</v>
      </c>
      <c r="E1267" s="1">
        <v>45767</v>
      </c>
      <c r="F1267" t="s">
        <v>706</v>
      </c>
      <c r="G1267">
        <v>1</v>
      </c>
      <c r="H1267" t="s">
        <v>569</v>
      </c>
      <c r="I1267" t="s">
        <v>570</v>
      </c>
      <c r="J1267" t="str">
        <f t="shared" si="57"/>
        <v>April</v>
      </c>
      <c r="K1267" t="str">
        <f t="shared" si="58"/>
        <v>Q2</v>
      </c>
      <c r="L1267">
        <f t="shared" si="59"/>
        <v>2025</v>
      </c>
    </row>
    <row r="1268" spans="1:12" x14ac:dyDescent="0.3">
      <c r="A1268" t="s">
        <v>2325</v>
      </c>
      <c r="B1268" t="s">
        <v>2326</v>
      </c>
      <c r="C1268" t="s">
        <v>58</v>
      </c>
      <c r="D1268">
        <v>1</v>
      </c>
      <c r="E1268" s="1">
        <v>45818</v>
      </c>
      <c r="F1268" t="s">
        <v>577</v>
      </c>
      <c r="G1268">
        <v>3</v>
      </c>
      <c r="H1268" t="s">
        <v>578</v>
      </c>
      <c r="I1268" t="s">
        <v>570</v>
      </c>
      <c r="J1268" t="str">
        <f t="shared" si="57"/>
        <v>June</v>
      </c>
      <c r="K1268" t="str">
        <f t="shared" si="58"/>
        <v>Q2</v>
      </c>
      <c r="L1268">
        <f t="shared" si="59"/>
        <v>2025</v>
      </c>
    </row>
    <row r="1269" spans="1:12" x14ac:dyDescent="0.3">
      <c r="A1269" t="s">
        <v>2327</v>
      </c>
      <c r="B1269" t="s">
        <v>2326</v>
      </c>
      <c r="C1269" t="s">
        <v>58</v>
      </c>
      <c r="D1269">
        <v>2</v>
      </c>
      <c r="E1269" s="1">
        <v>45830</v>
      </c>
      <c r="F1269" t="s">
        <v>603</v>
      </c>
      <c r="G1269">
        <v>1</v>
      </c>
      <c r="H1269" t="s">
        <v>569</v>
      </c>
      <c r="I1269" t="s">
        <v>570</v>
      </c>
      <c r="J1269" t="str">
        <f t="shared" si="57"/>
        <v>June</v>
      </c>
      <c r="K1269" t="str">
        <f t="shared" si="58"/>
        <v>Q2</v>
      </c>
      <c r="L1269">
        <f t="shared" si="59"/>
        <v>2025</v>
      </c>
    </row>
    <row r="1270" spans="1:12" x14ac:dyDescent="0.3">
      <c r="A1270" t="s">
        <v>2328</v>
      </c>
      <c r="B1270" t="s">
        <v>2326</v>
      </c>
      <c r="C1270" t="s">
        <v>58</v>
      </c>
      <c r="D1270">
        <v>3</v>
      </c>
      <c r="E1270" s="1">
        <v>45835</v>
      </c>
      <c r="F1270" t="s">
        <v>572</v>
      </c>
      <c r="G1270">
        <v>2</v>
      </c>
      <c r="H1270" t="s">
        <v>569</v>
      </c>
      <c r="I1270" t="s">
        <v>570</v>
      </c>
      <c r="J1270" t="str">
        <f t="shared" si="57"/>
        <v>June</v>
      </c>
      <c r="K1270" t="str">
        <f t="shared" si="58"/>
        <v>Q2</v>
      </c>
      <c r="L1270">
        <f t="shared" si="59"/>
        <v>2025</v>
      </c>
    </row>
    <row r="1271" spans="1:12" x14ac:dyDescent="0.3">
      <c r="A1271" t="s">
        <v>2329</v>
      </c>
      <c r="B1271" t="s">
        <v>2326</v>
      </c>
      <c r="C1271" t="s">
        <v>58</v>
      </c>
      <c r="D1271">
        <v>4</v>
      </c>
      <c r="E1271" s="1">
        <v>45842</v>
      </c>
      <c r="F1271" t="s">
        <v>577</v>
      </c>
      <c r="G1271">
        <v>1</v>
      </c>
      <c r="H1271" t="s">
        <v>569</v>
      </c>
      <c r="I1271" t="s">
        <v>608</v>
      </c>
      <c r="J1271" t="str">
        <f t="shared" si="57"/>
        <v>July</v>
      </c>
      <c r="K1271" t="str">
        <f t="shared" si="58"/>
        <v>Q3</v>
      </c>
      <c r="L1271">
        <f t="shared" si="59"/>
        <v>2025</v>
      </c>
    </row>
    <row r="1272" spans="1:12" x14ac:dyDescent="0.3">
      <c r="A1272" t="s">
        <v>2330</v>
      </c>
      <c r="B1272" t="s">
        <v>2331</v>
      </c>
      <c r="C1272" t="s">
        <v>195</v>
      </c>
      <c r="D1272">
        <v>1</v>
      </c>
      <c r="E1272" s="1">
        <v>45859</v>
      </c>
      <c r="F1272" t="s">
        <v>612</v>
      </c>
      <c r="G1272">
        <v>3</v>
      </c>
      <c r="H1272" t="s">
        <v>578</v>
      </c>
      <c r="I1272" t="s">
        <v>570</v>
      </c>
      <c r="J1272" t="str">
        <f t="shared" si="57"/>
        <v>July</v>
      </c>
      <c r="K1272" t="str">
        <f t="shared" si="58"/>
        <v>Q3</v>
      </c>
      <c r="L1272">
        <f t="shared" si="59"/>
        <v>2025</v>
      </c>
    </row>
    <row r="1273" spans="1:12" x14ac:dyDescent="0.3">
      <c r="A1273" t="s">
        <v>2332</v>
      </c>
      <c r="B1273" t="s">
        <v>2333</v>
      </c>
      <c r="C1273" t="s">
        <v>156</v>
      </c>
      <c r="D1273">
        <v>1</v>
      </c>
      <c r="E1273" s="1">
        <v>45735</v>
      </c>
      <c r="F1273" t="s">
        <v>741</v>
      </c>
      <c r="G1273">
        <v>2</v>
      </c>
      <c r="H1273" t="s">
        <v>569</v>
      </c>
      <c r="I1273" t="s">
        <v>570</v>
      </c>
      <c r="J1273" t="str">
        <f t="shared" si="57"/>
        <v>March</v>
      </c>
      <c r="K1273" t="str">
        <f t="shared" si="58"/>
        <v>Q1</v>
      </c>
      <c r="L1273">
        <f t="shared" si="59"/>
        <v>2025</v>
      </c>
    </row>
    <row r="1274" spans="1:12" x14ac:dyDescent="0.3">
      <c r="A1274" t="s">
        <v>2334</v>
      </c>
      <c r="B1274" t="s">
        <v>2333</v>
      </c>
      <c r="C1274" t="s">
        <v>156</v>
      </c>
      <c r="D1274">
        <v>2</v>
      </c>
      <c r="E1274" s="1">
        <v>45747</v>
      </c>
      <c r="F1274" t="s">
        <v>741</v>
      </c>
      <c r="G1274">
        <v>3</v>
      </c>
      <c r="H1274" t="s">
        <v>578</v>
      </c>
      <c r="I1274" t="s">
        <v>570</v>
      </c>
      <c r="J1274" t="str">
        <f t="shared" si="57"/>
        <v>March</v>
      </c>
      <c r="K1274" t="str">
        <f t="shared" si="58"/>
        <v>Q1</v>
      </c>
      <c r="L1274">
        <f t="shared" si="59"/>
        <v>2025</v>
      </c>
    </row>
    <row r="1275" spans="1:12" x14ac:dyDescent="0.3">
      <c r="A1275" t="s">
        <v>2335</v>
      </c>
      <c r="B1275" t="s">
        <v>2333</v>
      </c>
      <c r="C1275" t="s">
        <v>156</v>
      </c>
      <c r="D1275">
        <v>3</v>
      </c>
      <c r="E1275" s="1">
        <v>45752</v>
      </c>
      <c r="F1275" t="s">
        <v>592</v>
      </c>
      <c r="G1275">
        <v>2</v>
      </c>
      <c r="H1275" t="s">
        <v>569</v>
      </c>
      <c r="I1275" t="s">
        <v>608</v>
      </c>
      <c r="J1275" t="str">
        <f t="shared" si="57"/>
        <v>April</v>
      </c>
      <c r="K1275" t="str">
        <f t="shared" si="58"/>
        <v>Q2</v>
      </c>
      <c r="L1275">
        <f t="shared" si="59"/>
        <v>2025</v>
      </c>
    </row>
    <row r="1276" spans="1:12" x14ac:dyDescent="0.3">
      <c r="A1276" t="s">
        <v>2336</v>
      </c>
      <c r="B1276" t="s">
        <v>2333</v>
      </c>
      <c r="C1276" t="s">
        <v>156</v>
      </c>
      <c r="D1276">
        <v>4</v>
      </c>
      <c r="E1276" s="1">
        <v>45756</v>
      </c>
      <c r="F1276" t="s">
        <v>592</v>
      </c>
      <c r="G1276">
        <v>3</v>
      </c>
      <c r="H1276" t="s">
        <v>578</v>
      </c>
      <c r="I1276" t="s">
        <v>570</v>
      </c>
      <c r="J1276" t="str">
        <f t="shared" si="57"/>
        <v>April</v>
      </c>
      <c r="K1276" t="str">
        <f t="shared" si="58"/>
        <v>Q2</v>
      </c>
      <c r="L1276">
        <f t="shared" si="59"/>
        <v>2025</v>
      </c>
    </row>
    <row r="1277" spans="1:12" x14ac:dyDescent="0.3">
      <c r="A1277" t="s">
        <v>2337</v>
      </c>
      <c r="B1277" t="s">
        <v>2338</v>
      </c>
      <c r="C1277" t="s">
        <v>16</v>
      </c>
      <c r="D1277">
        <v>1</v>
      </c>
      <c r="E1277" s="1">
        <v>45757</v>
      </c>
      <c r="F1277" t="s">
        <v>636</v>
      </c>
      <c r="G1277">
        <v>2</v>
      </c>
      <c r="H1277" t="s">
        <v>569</v>
      </c>
      <c r="I1277" t="s">
        <v>570</v>
      </c>
      <c r="J1277" t="str">
        <f t="shared" si="57"/>
        <v>April</v>
      </c>
      <c r="K1277" t="str">
        <f t="shared" si="58"/>
        <v>Q2</v>
      </c>
      <c r="L1277">
        <f t="shared" si="59"/>
        <v>2025</v>
      </c>
    </row>
    <row r="1278" spans="1:12" x14ac:dyDescent="0.3">
      <c r="A1278" t="s">
        <v>2339</v>
      </c>
      <c r="B1278" t="s">
        <v>2338</v>
      </c>
      <c r="C1278" t="s">
        <v>16</v>
      </c>
      <c r="D1278">
        <v>2</v>
      </c>
      <c r="E1278" s="1">
        <v>45765</v>
      </c>
      <c r="F1278" t="s">
        <v>706</v>
      </c>
      <c r="G1278">
        <v>3</v>
      </c>
      <c r="H1278" t="s">
        <v>578</v>
      </c>
      <c r="I1278" t="s">
        <v>570</v>
      </c>
      <c r="J1278" t="str">
        <f t="shared" si="57"/>
        <v>April</v>
      </c>
      <c r="K1278" t="str">
        <f t="shared" si="58"/>
        <v>Q2</v>
      </c>
      <c r="L1278">
        <f t="shared" si="59"/>
        <v>2025</v>
      </c>
    </row>
    <row r="1279" spans="1:12" x14ac:dyDescent="0.3">
      <c r="A1279" t="s">
        <v>2340</v>
      </c>
      <c r="B1279" t="s">
        <v>2341</v>
      </c>
      <c r="C1279" t="s">
        <v>27</v>
      </c>
      <c r="D1279">
        <v>1</v>
      </c>
      <c r="E1279" s="1">
        <v>45892</v>
      </c>
      <c r="F1279" t="s">
        <v>632</v>
      </c>
      <c r="G1279">
        <v>2</v>
      </c>
      <c r="H1279" t="s">
        <v>569</v>
      </c>
      <c r="I1279" t="s">
        <v>570</v>
      </c>
      <c r="J1279" t="str">
        <f t="shared" si="57"/>
        <v>August</v>
      </c>
      <c r="K1279" t="str">
        <f t="shared" si="58"/>
        <v>Q3</v>
      </c>
      <c r="L1279">
        <f t="shared" si="59"/>
        <v>2025</v>
      </c>
    </row>
    <row r="1280" spans="1:12" x14ac:dyDescent="0.3">
      <c r="A1280" t="s">
        <v>2342</v>
      </c>
      <c r="B1280" t="s">
        <v>2341</v>
      </c>
      <c r="C1280" t="s">
        <v>27</v>
      </c>
      <c r="D1280">
        <v>2</v>
      </c>
      <c r="E1280" s="1">
        <v>45901</v>
      </c>
      <c r="F1280" t="s">
        <v>592</v>
      </c>
      <c r="G1280">
        <v>1</v>
      </c>
      <c r="H1280" t="s">
        <v>569</v>
      </c>
      <c r="I1280" t="s">
        <v>570</v>
      </c>
      <c r="J1280" t="str">
        <f t="shared" si="57"/>
        <v>September</v>
      </c>
      <c r="K1280" t="str">
        <f t="shared" si="58"/>
        <v>Q3</v>
      </c>
      <c r="L1280">
        <f t="shared" si="59"/>
        <v>2025</v>
      </c>
    </row>
    <row r="1281" spans="1:12" x14ac:dyDescent="0.3">
      <c r="A1281" t="s">
        <v>2343</v>
      </c>
      <c r="B1281" t="s">
        <v>87</v>
      </c>
      <c r="C1281" t="s">
        <v>88</v>
      </c>
      <c r="D1281">
        <v>1</v>
      </c>
      <c r="E1281" s="1">
        <v>45757</v>
      </c>
      <c r="F1281" t="s">
        <v>596</v>
      </c>
      <c r="G1281">
        <v>4</v>
      </c>
      <c r="H1281" t="s">
        <v>581</v>
      </c>
      <c r="I1281" t="s">
        <v>570</v>
      </c>
      <c r="J1281" t="str">
        <f t="shared" si="57"/>
        <v>April</v>
      </c>
      <c r="K1281" t="str">
        <f t="shared" si="58"/>
        <v>Q2</v>
      </c>
      <c r="L1281">
        <f t="shared" si="59"/>
        <v>2025</v>
      </c>
    </row>
    <row r="1282" spans="1:12" x14ac:dyDescent="0.3">
      <c r="A1282" t="s">
        <v>2344</v>
      </c>
      <c r="B1282" t="s">
        <v>2345</v>
      </c>
      <c r="C1282" t="s">
        <v>108</v>
      </c>
      <c r="D1282">
        <v>1</v>
      </c>
      <c r="E1282" s="1">
        <v>45759</v>
      </c>
      <c r="F1282" t="s">
        <v>621</v>
      </c>
      <c r="G1282">
        <v>4</v>
      </c>
      <c r="H1282" t="s">
        <v>581</v>
      </c>
      <c r="I1282" t="s">
        <v>570</v>
      </c>
      <c r="J1282" t="str">
        <f t="shared" ref="J1282:J1345" si="60">TEXT(E1282,"mmmm")</f>
        <v>April</v>
      </c>
      <c r="K1282" t="str">
        <f t="shared" ref="K1282:K1345" si="61">"Q"&amp;ROUNDUP(MONTH(E1282)/3,0)</f>
        <v>Q2</v>
      </c>
      <c r="L1282">
        <f t="shared" ref="L1282:L1345" si="62">YEAR(E1282)</f>
        <v>2025</v>
      </c>
    </row>
    <row r="1283" spans="1:12" x14ac:dyDescent="0.3">
      <c r="A1283" t="s">
        <v>2346</v>
      </c>
      <c r="B1283" t="s">
        <v>2345</v>
      </c>
      <c r="C1283" t="s">
        <v>108</v>
      </c>
      <c r="D1283">
        <v>2</v>
      </c>
      <c r="E1283" s="1">
        <v>45767</v>
      </c>
      <c r="F1283" t="s">
        <v>621</v>
      </c>
      <c r="G1283">
        <v>4</v>
      </c>
      <c r="H1283" t="s">
        <v>581</v>
      </c>
      <c r="I1283" t="s">
        <v>570</v>
      </c>
      <c r="J1283" t="str">
        <f t="shared" si="60"/>
        <v>April</v>
      </c>
      <c r="K1283" t="str">
        <f t="shared" si="61"/>
        <v>Q2</v>
      </c>
      <c r="L1283">
        <f t="shared" si="62"/>
        <v>2025</v>
      </c>
    </row>
    <row r="1284" spans="1:12" x14ac:dyDescent="0.3">
      <c r="A1284" t="s">
        <v>2347</v>
      </c>
      <c r="B1284" t="s">
        <v>2345</v>
      </c>
      <c r="C1284" t="s">
        <v>108</v>
      </c>
      <c r="D1284">
        <v>3</v>
      </c>
      <c r="E1284" s="1">
        <v>45775</v>
      </c>
      <c r="F1284" t="s">
        <v>572</v>
      </c>
      <c r="G1284">
        <v>4</v>
      </c>
      <c r="H1284" t="s">
        <v>581</v>
      </c>
      <c r="I1284" t="s">
        <v>570</v>
      </c>
      <c r="J1284" t="str">
        <f t="shared" si="60"/>
        <v>April</v>
      </c>
      <c r="K1284" t="str">
        <f t="shared" si="61"/>
        <v>Q2</v>
      </c>
      <c r="L1284">
        <f t="shared" si="62"/>
        <v>2025</v>
      </c>
    </row>
    <row r="1285" spans="1:12" x14ac:dyDescent="0.3">
      <c r="A1285" t="s">
        <v>2348</v>
      </c>
      <c r="B1285" t="s">
        <v>2345</v>
      </c>
      <c r="C1285" t="s">
        <v>108</v>
      </c>
      <c r="D1285">
        <v>4</v>
      </c>
      <c r="E1285" s="1">
        <v>45787</v>
      </c>
      <c r="F1285" t="s">
        <v>572</v>
      </c>
      <c r="G1285">
        <v>4</v>
      </c>
      <c r="H1285" t="s">
        <v>581</v>
      </c>
      <c r="I1285" t="s">
        <v>608</v>
      </c>
      <c r="J1285" t="str">
        <f t="shared" si="60"/>
        <v>May</v>
      </c>
      <c r="K1285" t="str">
        <f t="shared" si="61"/>
        <v>Q2</v>
      </c>
      <c r="L1285">
        <f t="shared" si="62"/>
        <v>2025</v>
      </c>
    </row>
    <row r="1286" spans="1:12" x14ac:dyDescent="0.3">
      <c r="A1286" t="s">
        <v>2349</v>
      </c>
      <c r="B1286" t="s">
        <v>2350</v>
      </c>
      <c r="C1286" t="s">
        <v>429</v>
      </c>
      <c r="D1286">
        <v>1</v>
      </c>
      <c r="E1286" s="1">
        <v>45768</v>
      </c>
      <c r="G1286">
        <v>2</v>
      </c>
      <c r="H1286" t="s">
        <v>569</v>
      </c>
      <c r="I1286" t="s">
        <v>570</v>
      </c>
      <c r="J1286" t="str">
        <f t="shared" si="60"/>
        <v>April</v>
      </c>
      <c r="K1286" t="str">
        <f t="shared" si="61"/>
        <v>Q2</v>
      </c>
      <c r="L1286">
        <f t="shared" si="62"/>
        <v>2025</v>
      </c>
    </row>
    <row r="1287" spans="1:12" x14ac:dyDescent="0.3">
      <c r="A1287" t="s">
        <v>2351</v>
      </c>
      <c r="B1287" t="s">
        <v>2350</v>
      </c>
      <c r="C1287" t="s">
        <v>429</v>
      </c>
      <c r="D1287">
        <v>2</v>
      </c>
      <c r="E1287" s="1">
        <v>45772</v>
      </c>
      <c r="G1287">
        <v>1</v>
      </c>
      <c r="H1287" t="s">
        <v>569</v>
      </c>
      <c r="I1287" t="s">
        <v>570</v>
      </c>
      <c r="J1287" t="str">
        <f t="shared" si="60"/>
        <v>April</v>
      </c>
      <c r="K1287" t="str">
        <f t="shared" si="61"/>
        <v>Q2</v>
      </c>
      <c r="L1287">
        <f t="shared" si="62"/>
        <v>2025</v>
      </c>
    </row>
    <row r="1288" spans="1:12" x14ac:dyDescent="0.3">
      <c r="A1288" t="s">
        <v>2352</v>
      </c>
      <c r="B1288" t="s">
        <v>2353</v>
      </c>
      <c r="C1288" t="s">
        <v>58</v>
      </c>
      <c r="D1288">
        <v>1</v>
      </c>
      <c r="E1288" s="1">
        <v>45815</v>
      </c>
      <c r="F1288" t="s">
        <v>612</v>
      </c>
      <c r="G1288">
        <v>3</v>
      </c>
      <c r="H1288" t="s">
        <v>578</v>
      </c>
      <c r="I1288" t="s">
        <v>570</v>
      </c>
      <c r="J1288" t="str">
        <f t="shared" si="60"/>
        <v>June</v>
      </c>
      <c r="K1288" t="str">
        <f t="shared" si="61"/>
        <v>Q2</v>
      </c>
      <c r="L1288">
        <f t="shared" si="62"/>
        <v>2025</v>
      </c>
    </row>
    <row r="1289" spans="1:12" x14ac:dyDescent="0.3">
      <c r="A1289" t="s">
        <v>2354</v>
      </c>
      <c r="B1289" t="s">
        <v>2353</v>
      </c>
      <c r="C1289" t="s">
        <v>58</v>
      </c>
      <c r="D1289">
        <v>2</v>
      </c>
      <c r="E1289" s="1">
        <v>45821</v>
      </c>
      <c r="F1289" t="s">
        <v>625</v>
      </c>
      <c r="G1289">
        <v>1</v>
      </c>
      <c r="H1289" t="s">
        <v>569</v>
      </c>
      <c r="I1289" t="s">
        <v>570</v>
      </c>
      <c r="J1289" t="str">
        <f t="shared" si="60"/>
        <v>June</v>
      </c>
      <c r="K1289" t="str">
        <f t="shared" si="61"/>
        <v>Q2</v>
      </c>
      <c r="L1289">
        <f t="shared" si="62"/>
        <v>2025</v>
      </c>
    </row>
    <row r="1290" spans="1:12" x14ac:dyDescent="0.3">
      <c r="A1290" t="s">
        <v>2355</v>
      </c>
      <c r="B1290" t="s">
        <v>2353</v>
      </c>
      <c r="C1290" t="s">
        <v>58</v>
      </c>
      <c r="D1290">
        <v>3</v>
      </c>
      <c r="E1290" s="1">
        <v>45829</v>
      </c>
      <c r="F1290" t="s">
        <v>572</v>
      </c>
      <c r="G1290">
        <v>1</v>
      </c>
      <c r="H1290" t="s">
        <v>569</v>
      </c>
      <c r="I1290" t="s">
        <v>570</v>
      </c>
      <c r="J1290" t="str">
        <f t="shared" si="60"/>
        <v>June</v>
      </c>
      <c r="K1290" t="str">
        <f t="shared" si="61"/>
        <v>Q2</v>
      </c>
      <c r="L1290">
        <f t="shared" si="62"/>
        <v>2025</v>
      </c>
    </row>
    <row r="1291" spans="1:12" x14ac:dyDescent="0.3">
      <c r="A1291" t="s">
        <v>2356</v>
      </c>
      <c r="B1291" t="s">
        <v>2357</v>
      </c>
      <c r="C1291" t="s">
        <v>27</v>
      </c>
      <c r="D1291">
        <v>1</v>
      </c>
      <c r="E1291" s="1">
        <v>45887</v>
      </c>
      <c r="F1291" t="s">
        <v>584</v>
      </c>
      <c r="G1291">
        <v>2</v>
      </c>
      <c r="H1291" t="s">
        <v>569</v>
      </c>
      <c r="I1291" t="s">
        <v>570</v>
      </c>
      <c r="J1291" t="str">
        <f t="shared" si="60"/>
        <v>August</v>
      </c>
      <c r="K1291" t="str">
        <f t="shared" si="61"/>
        <v>Q3</v>
      </c>
      <c r="L1291">
        <f t="shared" si="62"/>
        <v>2025</v>
      </c>
    </row>
    <row r="1292" spans="1:12" x14ac:dyDescent="0.3">
      <c r="A1292" t="s">
        <v>2358</v>
      </c>
      <c r="B1292" t="s">
        <v>2357</v>
      </c>
      <c r="C1292" t="s">
        <v>27</v>
      </c>
      <c r="D1292">
        <v>2</v>
      </c>
      <c r="E1292" s="1">
        <v>45899</v>
      </c>
      <c r="F1292" t="s">
        <v>584</v>
      </c>
      <c r="G1292">
        <v>1</v>
      </c>
      <c r="H1292" t="s">
        <v>569</v>
      </c>
      <c r="I1292" t="s">
        <v>570</v>
      </c>
      <c r="J1292" t="str">
        <f t="shared" si="60"/>
        <v>August</v>
      </c>
      <c r="K1292" t="str">
        <f t="shared" si="61"/>
        <v>Q3</v>
      </c>
      <c r="L1292">
        <f t="shared" si="62"/>
        <v>2025</v>
      </c>
    </row>
    <row r="1293" spans="1:12" x14ac:dyDescent="0.3">
      <c r="A1293" t="s">
        <v>2359</v>
      </c>
      <c r="B1293" t="s">
        <v>2360</v>
      </c>
      <c r="C1293" t="s">
        <v>147</v>
      </c>
      <c r="D1293">
        <v>1</v>
      </c>
      <c r="E1293" s="1">
        <v>45835</v>
      </c>
      <c r="F1293" t="s">
        <v>572</v>
      </c>
      <c r="G1293">
        <v>3</v>
      </c>
      <c r="H1293" t="s">
        <v>578</v>
      </c>
      <c r="I1293" t="s">
        <v>570</v>
      </c>
      <c r="J1293" t="str">
        <f t="shared" si="60"/>
        <v>June</v>
      </c>
      <c r="K1293" t="str">
        <f t="shared" si="61"/>
        <v>Q2</v>
      </c>
      <c r="L1293">
        <f t="shared" si="62"/>
        <v>2025</v>
      </c>
    </row>
    <row r="1294" spans="1:12" x14ac:dyDescent="0.3">
      <c r="A1294" t="s">
        <v>2361</v>
      </c>
      <c r="B1294" t="s">
        <v>2360</v>
      </c>
      <c r="C1294" t="s">
        <v>147</v>
      </c>
      <c r="D1294">
        <v>2</v>
      </c>
      <c r="E1294" s="1">
        <v>45842</v>
      </c>
      <c r="F1294" t="s">
        <v>586</v>
      </c>
      <c r="G1294">
        <v>4</v>
      </c>
      <c r="H1294" t="s">
        <v>581</v>
      </c>
      <c r="I1294" t="s">
        <v>570</v>
      </c>
      <c r="J1294" t="str">
        <f t="shared" si="60"/>
        <v>July</v>
      </c>
      <c r="K1294" t="str">
        <f t="shared" si="61"/>
        <v>Q3</v>
      </c>
      <c r="L1294">
        <f t="shared" si="62"/>
        <v>2025</v>
      </c>
    </row>
    <row r="1295" spans="1:12" x14ac:dyDescent="0.3">
      <c r="A1295" t="s">
        <v>2362</v>
      </c>
      <c r="B1295" t="s">
        <v>2363</v>
      </c>
      <c r="C1295" t="s">
        <v>183</v>
      </c>
      <c r="D1295">
        <v>1</v>
      </c>
      <c r="E1295" s="1">
        <v>45850</v>
      </c>
      <c r="F1295" t="s">
        <v>670</v>
      </c>
      <c r="G1295">
        <v>2</v>
      </c>
      <c r="H1295" t="s">
        <v>569</v>
      </c>
      <c r="I1295" t="s">
        <v>570</v>
      </c>
      <c r="J1295" t="str">
        <f t="shared" si="60"/>
        <v>July</v>
      </c>
      <c r="K1295" t="str">
        <f t="shared" si="61"/>
        <v>Q3</v>
      </c>
      <c r="L1295">
        <f t="shared" si="62"/>
        <v>2025</v>
      </c>
    </row>
    <row r="1296" spans="1:12" x14ac:dyDescent="0.3">
      <c r="A1296" t="s">
        <v>2364</v>
      </c>
      <c r="B1296" t="s">
        <v>2363</v>
      </c>
      <c r="C1296" t="s">
        <v>183</v>
      </c>
      <c r="D1296">
        <v>2</v>
      </c>
      <c r="E1296" s="1">
        <v>45861</v>
      </c>
      <c r="F1296" t="s">
        <v>649</v>
      </c>
      <c r="G1296">
        <v>3</v>
      </c>
      <c r="H1296" t="s">
        <v>578</v>
      </c>
      <c r="I1296" t="s">
        <v>570</v>
      </c>
      <c r="J1296" t="str">
        <f t="shared" si="60"/>
        <v>July</v>
      </c>
      <c r="K1296" t="str">
        <f t="shared" si="61"/>
        <v>Q3</v>
      </c>
      <c r="L1296">
        <f t="shared" si="62"/>
        <v>2025</v>
      </c>
    </row>
    <row r="1297" spans="1:12" x14ac:dyDescent="0.3">
      <c r="A1297" t="s">
        <v>2365</v>
      </c>
      <c r="B1297" t="s">
        <v>2363</v>
      </c>
      <c r="C1297" t="s">
        <v>183</v>
      </c>
      <c r="D1297">
        <v>3</v>
      </c>
      <c r="E1297" s="1">
        <v>45869</v>
      </c>
      <c r="F1297" t="s">
        <v>658</v>
      </c>
      <c r="G1297">
        <v>3</v>
      </c>
      <c r="H1297" t="s">
        <v>578</v>
      </c>
      <c r="I1297" t="s">
        <v>570</v>
      </c>
      <c r="J1297" t="str">
        <f t="shared" si="60"/>
        <v>July</v>
      </c>
      <c r="K1297" t="str">
        <f t="shared" si="61"/>
        <v>Q3</v>
      </c>
      <c r="L1297">
        <f t="shared" si="62"/>
        <v>2025</v>
      </c>
    </row>
    <row r="1298" spans="1:12" x14ac:dyDescent="0.3">
      <c r="A1298" t="s">
        <v>2366</v>
      </c>
      <c r="B1298" t="s">
        <v>435</v>
      </c>
      <c r="C1298" t="s">
        <v>37</v>
      </c>
      <c r="D1298">
        <v>1</v>
      </c>
      <c r="E1298" s="1">
        <v>45712</v>
      </c>
      <c r="F1298" t="s">
        <v>572</v>
      </c>
      <c r="G1298">
        <v>4</v>
      </c>
      <c r="H1298" t="s">
        <v>581</v>
      </c>
      <c r="I1298" t="s">
        <v>570</v>
      </c>
      <c r="J1298" t="str">
        <f t="shared" si="60"/>
        <v>February</v>
      </c>
      <c r="K1298" t="str">
        <f t="shared" si="61"/>
        <v>Q1</v>
      </c>
      <c r="L1298">
        <f t="shared" si="62"/>
        <v>2025</v>
      </c>
    </row>
    <row r="1299" spans="1:12" x14ac:dyDescent="0.3">
      <c r="A1299" t="s">
        <v>2367</v>
      </c>
      <c r="B1299" t="s">
        <v>435</v>
      </c>
      <c r="C1299" t="s">
        <v>37</v>
      </c>
      <c r="D1299">
        <v>2</v>
      </c>
      <c r="E1299" s="1">
        <v>45719</v>
      </c>
      <c r="F1299" t="s">
        <v>663</v>
      </c>
      <c r="G1299">
        <v>3</v>
      </c>
      <c r="H1299" t="s">
        <v>578</v>
      </c>
      <c r="I1299" t="s">
        <v>570</v>
      </c>
      <c r="J1299" t="str">
        <f t="shared" si="60"/>
        <v>March</v>
      </c>
      <c r="K1299" t="str">
        <f t="shared" si="61"/>
        <v>Q1</v>
      </c>
      <c r="L1299">
        <f t="shared" si="62"/>
        <v>2025</v>
      </c>
    </row>
    <row r="1300" spans="1:12" x14ac:dyDescent="0.3">
      <c r="A1300" t="s">
        <v>2368</v>
      </c>
      <c r="B1300" t="s">
        <v>435</v>
      </c>
      <c r="C1300" t="s">
        <v>37</v>
      </c>
      <c r="D1300">
        <v>3</v>
      </c>
      <c r="E1300" s="1">
        <v>45725</v>
      </c>
      <c r="F1300" t="s">
        <v>586</v>
      </c>
      <c r="G1300">
        <v>4</v>
      </c>
      <c r="H1300" t="s">
        <v>581</v>
      </c>
      <c r="I1300" t="s">
        <v>570</v>
      </c>
      <c r="J1300" t="str">
        <f t="shared" si="60"/>
        <v>March</v>
      </c>
      <c r="K1300" t="str">
        <f t="shared" si="61"/>
        <v>Q1</v>
      </c>
      <c r="L1300">
        <f t="shared" si="62"/>
        <v>2025</v>
      </c>
    </row>
    <row r="1301" spans="1:12" x14ac:dyDescent="0.3">
      <c r="A1301" t="s">
        <v>2369</v>
      </c>
      <c r="B1301" t="s">
        <v>511</v>
      </c>
      <c r="C1301" t="s">
        <v>195</v>
      </c>
      <c r="D1301">
        <v>1</v>
      </c>
      <c r="E1301" s="1">
        <v>45846</v>
      </c>
      <c r="F1301" t="s">
        <v>575</v>
      </c>
      <c r="G1301">
        <v>3</v>
      </c>
      <c r="H1301" t="s">
        <v>578</v>
      </c>
      <c r="I1301" t="s">
        <v>570</v>
      </c>
      <c r="J1301" t="str">
        <f t="shared" si="60"/>
        <v>July</v>
      </c>
      <c r="K1301" t="str">
        <f t="shared" si="61"/>
        <v>Q3</v>
      </c>
      <c r="L1301">
        <f t="shared" si="62"/>
        <v>2025</v>
      </c>
    </row>
    <row r="1302" spans="1:12" x14ac:dyDescent="0.3">
      <c r="A1302" t="s">
        <v>2370</v>
      </c>
      <c r="B1302" t="s">
        <v>511</v>
      </c>
      <c r="C1302" t="s">
        <v>195</v>
      </c>
      <c r="D1302">
        <v>2</v>
      </c>
      <c r="E1302" s="1">
        <v>45857</v>
      </c>
      <c r="F1302" t="s">
        <v>592</v>
      </c>
      <c r="G1302">
        <v>4</v>
      </c>
      <c r="H1302" t="s">
        <v>581</v>
      </c>
      <c r="I1302" t="s">
        <v>570</v>
      </c>
      <c r="J1302" t="str">
        <f t="shared" si="60"/>
        <v>July</v>
      </c>
      <c r="K1302" t="str">
        <f t="shared" si="61"/>
        <v>Q3</v>
      </c>
      <c r="L1302">
        <f t="shared" si="62"/>
        <v>2025</v>
      </c>
    </row>
    <row r="1303" spans="1:12" x14ac:dyDescent="0.3">
      <c r="A1303" t="s">
        <v>2371</v>
      </c>
      <c r="B1303" t="s">
        <v>2372</v>
      </c>
      <c r="C1303" t="s">
        <v>240</v>
      </c>
      <c r="D1303">
        <v>1</v>
      </c>
      <c r="E1303" s="1">
        <v>45962</v>
      </c>
      <c r="F1303" t="s">
        <v>572</v>
      </c>
      <c r="G1303">
        <v>2</v>
      </c>
      <c r="H1303" t="s">
        <v>569</v>
      </c>
      <c r="I1303" t="s">
        <v>570</v>
      </c>
      <c r="J1303" t="str">
        <f t="shared" si="60"/>
        <v>November</v>
      </c>
      <c r="K1303" t="str">
        <f t="shared" si="61"/>
        <v>Q4</v>
      </c>
      <c r="L1303">
        <f t="shared" si="62"/>
        <v>2025</v>
      </c>
    </row>
    <row r="1304" spans="1:12" x14ac:dyDescent="0.3">
      <c r="A1304" t="s">
        <v>2373</v>
      </c>
      <c r="B1304" t="s">
        <v>2372</v>
      </c>
      <c r="C1304" t="s">
        <v>240</v>
      </c>
      <c r="D1304">
        <v>2</v>
      </c>
      <c r="E1304" s="1">
        <v>45972</v>
      </c>
      <c r="F1304" t="s">
        <v>596</v>
      </c>
      <c r="G1304">
        <v>4</v>
      </c>
      <c r="H1304" t="s">
        <v>581</v>
      </c>
      <c r="I1304" t="s">
        <v>570</v>
      </c>
      <c r="J1304" t="str">
        <f t="shared" si="60"/>
        <v>November</v>
      </c>
      <c r="K1304" t="str">
        <f t="shared" si="61"/>
        <v>Q4</v>
      </c>
      <c r="L1304">
        <f t="shared" si="62"/>
        <v>2025</v>
      </c>
    </row>
    <row r="1305" spans="1:12" x14ac:dyDescent="0.3">
      <c r="A1305" t="s">
        <v>2374</v>
      </c>
      <c r="B1305" t="s">
        <v>2372</v>
      </c>
      <c r="C1305" t="s">
        <v>240</v>
      </c>
      <c r="D1305">
        <v>3</v>
      </c>
      <c r="E1305" s="1">
        <v>45981</v>
      </c>
      <c r="G1305">
        <v>3</v>
      </c>
      <c r="H1305" t="s">
        <v>578</v>
      </c>
      <c r="I1305" t="s">
        <v>570</v>
      </c>
      <c r="J1305" t="str">
        <f t="shared" si="60"/>
        <v>November</v>
      </c>
      <c r="K1305" t="str">
        <f t="shared" si="61"/>
        <v>Q4</v>
      </c>
      <c r="L1305">
        <f t="shared" si="62"/>
        <v>2025</v>
      </c>
    </row>
    <row r="1306" spans="1:12" x14ac:dyDescent="0.3">
      <c r="A1306" t="s">
        <v>2375</v>
      </c>
      <c r="B1306" t="s">
        <v>2372</v>
      </c>
      <c r="C1306" t="s">
        <v>240</v>
      </c>
      <c r="D1306">
        <v>4</v>
      </c>
      <c r="E1306" s="1">
        <v>45986</v>
      </c>
      <c r="F1306" t="s">
        <v>580</v>
      </c>
      <c r="G1306">
        <v>3</v>
      </c>
      <c r="H1306" t="s">
        <v>578</v>
      </c>
      <c r="I1306" t="s">
        <v>570</v>
      </c>
      <c r="J1306" t="str">
        <f t="shared" si="60"/>
        <v>November</v>
      </c>
      <c r="K1306" t="str">
        <f t="shared" si="61"/>
        <v>Q4</v>
      </c>
      <c r="L1306">
        <f t="shared" si="62"/>
        <v>2025</v>
      </c>
    </row>
    <row r="1307" spans="1:12" x14ac:dyDescent="0.3">
      <c r="A1307" t="s">
        <v>2376</v>
      </c>
      <c r="B1307" t="s">
        <v>61</v>
      </c>
      <c r="C1307" t="s">
        <v>62</v>
      </c>
      <c r="D1307">
        <v>1</v>
      </c>
      <c r="E1307" s="1">
        <v>45699</v>
      </c>
      <c r="F1307" t="s">
        <v>605</v>
      </c>
      <c r="G1307">
        <v>3</v>
      </c>
      <c r="H1307" t="s">
        <v>578</v>
      </c>
      <c r="I1307" t="s">
        <v>570</v>
      </c>
      <c r="J1307" t="str">
        <f t="shared" si="60"/>
        <v>February</v>
      </c>
      <c r="K1307" t="str">
        <f t="shared" si="61"/>
        <v>Q1</v>
      </c>
      <c r="L1307">
        <f t="shared" si="62"/>
        <v>2025</v>
      </c>
    </row>
    <row r="1308" spans="1:12" x14ac:dyDescent="0.3">
      <c r="A1308" t="s">
        <v>2377</v>
      </c>
      <c r="B1308" t="s">
        <v>61</v>
      </c>
      <c r="C1308" t="s">
        <v>62</v>
      </c>
      <c r="D1308">
        <v>2</v>
      </c>
      <c r="E1308" s="1">
        <v>45703</v>
      </c>
      <c r="F1308" t="s">
        <v>612</v>
      </c>
      <c r="G1308">
        <v>4</v>
      </c>
      <c r="H1308" t="s">
        <v>581</v>
      </c>
      <c r="I1308" t="s">
        <v>570</v>
      </c>
      <c r="J1308" t="str">
        <f t="shared" si="60"/>
        <v>February</v>
      </c>
      <c r="K1308" t="str">
        <f t="shared" si="61"/>
        <v>Q1</v>
      </c>
      <c r="L1308">
        <f t="shared" si="62"/>
        <v>2025</v>
      </c>
    </row>
    <row r="1309" spans="1:12" x14ac:dyDescent="0.3">
      <c r="A1309" t="s">
        <v>2378</v>
      </c>
      <c r="B1309" t="s">
        <v>2379</v>
      </c>
      <c r="C1309" t="s">
        <v>10</v>
      </c>
      <c r="D1309">
        <v>1</v>
      </c>
      <c r="E1309" s="1">
        <v>45917</v>
      </c>
      <c r="F1309" t="s">
        <v>586</v>
      </c>
      <c r="G1309">
        <v>3</v>
      </c>
      <c r="H1309" t="s">
        <v>578</v>
      </c>
      <c r="I1309" t="s">
        <v>570</v>
      </c>
      <c r="J1309" t="str">
        <f t="shared" si="60"/>
        <v>September</v>
      </c>
      <c r="K1309" t="str">
        <f t="shared" si="61"/>
        <v>Q3</v>
      </c>
      <c r="L1309">
        <f t="shared" si="62"/>
        <v>2025</v>
      </c>
    </row>
    <row r="1310" spans="1:12" x14ac:dyDescent="0.3">
      <c r="A1310" t="s">
        <v>2380</v>
      </c>
      <c r="B1310" t="s">
        <v>2379</v>
      </c>
      <c r="C1310" t="s">
        <v>10</v>
      </c>
      <c r="D1310">
        <v>2</v>
      </c>
      <c r="E1310" s="1">
        <v>45924</v>
      </c>
      <c r="F1310" t="s">
        <v>580</v>
      </c>
      <c r="G1310">
        <v>4</v>
      </c>
      <c r="H1310" t="s">
        <v>581</v>
      </c>
      <c r="I1310" t="s">
        <v>570</v>
      </c>
      <c r="J1310" t="str">
        <f t="shared" si="60"/>
        <v>September</v>
      </c>
      <c r="K1310" t="str">
        <f t="shared" si="61"/>
        <v>Q3</v>
      </c>
      <c r="L1310">
        <f t="shared" si="62"/>
        <v>2025</v>
      </c>
    </row>
    <row r="1311" spans="1:12" x14ac:dyDescent="0.3">
      <c r="A1311" t="s">
        <v>2381</v>
      </c>
      <c r="B1311" t="s">
        <v>2379</v>
      </c>
      <c r="C1311" t="s">
        <v>10</v>
      </c>
      <c r="D1311">
        <v>3</v>
      </c>
      <c r="E1311" s="1">
        <v>45935</v>
      </c>
      <c r="F1311" t="s">
        <v>580</v>
      </c>
      <c r="G1311">
        <v>4</v>
      </c>
      <c r="H1311" t="s">
        <v>581</v>
      </c>
      <c r="I1311" t="s">
        <v>570</v>
      </c>
      <c r="J1311" t="str">
        <f t="shared" si="60"/>
        <v>October</v>
      </c>
      <c r="K1311" t="str">
        <f t="shared" si="61"/>
        <v>Q4</v>
      </c>
      <c r="L1311">
        <f t="shared" si="62"/>
        <v>2025</v>
      </c>
    </row>
    <row r="1312" spans="1:12" x14ac:dyDescent="0.3">
      <c r="A1312" t="s">
        <v>2382</v>
      </c>
      <c r="B1312" t="s">
        <v>2383</v>
      </c>
      <c r="C1312" t="s">
        <v>156</v>
      </c>
      <c r="D1312">
        <v>1</v>
      </c>
      <c r="E1312" s="1">
        <v>45729</v>
      </c>
      <c r="F1312" t="s">
        <v>638</v>
      </c>
      <c r="G1312">
        <v>2</v>
      </c>
      <c r="H1312" t="s">
        <v>569</v>
      </c>
      <c r="I1312" t="s">
        <v>570</v>
      </c>
      <c r="J1312" t="str">
        <f t="shared" si="60"/>
        <v>March</v>
      </c>
      <c r="K1312" t="str">
        <f t="shared" si="61"/>
        <v>Q1</v>
      </c>
      <c r="L1312">
        <f t="shared" si="62"/>
        <v>2025</v>
      </c>
    </row>
    <row r="1313" spans="1:12" x14ac:dyDescent="0.3">
      <c r="A1313" t="s">
        <v>2384</v>
      </c>
      <c r="B1313" t="s">
        <v>2383</v>
      </c>
      <c r="C1313" t="s">
        <v>156</v>
      </c>
      <c r="D1313">
        <v>2</v>
      </c>
      <c r="E1313" s="1">
        <v>45734</v>
      </c>
      <c r="F1313" t="s">
        <v>590</v>
      </c>
      <c r="G1313">
        <v>1</v>
      </c>
      <c r="H1313" t="s">
        <v>569</v>
      </c>
      <c r="I1313" t="s">
        <v>570</v>
      </c>
      <c r="J1313" t="str">
        <f t="shared" si="60"/>
        <v>March</v>
      </c>
      <c r="K1313" t="str">
        <f t="shared" si="61"/>
        <v>Q1</v>
      </c>
      <c r="L1313">
        <f t="shared" si="62"/>
        <v>2025</v>
      </c>
    </row>
    <row r="1314" spans="1:12" x14ac:dyDescent="0.3">
      <c r="A1314" t="s">
        <v>2385</v>
      </c>
      <c r="B1314" t="s">
        <v>2386</v>
      </c>
      <c r="C1314" t="s">
        <v>65</v>
      </c>
      <c r="D1314">
        <v>1</v>
      </c>
      <c r="E1314" s="1">
        <v>45933</v>
      </c>
      <c r="F1314" t="s">
        <v>568</v>
      </c>
      <c r="G1314">
        <v>3</v>
      </c>
      <c r="H1314" t="s">
        <v>578</v>
      </c>
      <c r="I1314" t="s">
        <v>570</v>
      </c>
      <c r="J1314" t="str">
        <f t="shared" si="60"/>
        <v>October</v>
      </c>
      <c r="K1314" t="str">
        <f t="shared" si="61"/>
        <v>Q4</v>
      </c>
      <c r="L1314">
        <f t="shared" si="62"/>
        <v>2025</v>
      </c>
    </row>
    <row r="1315" spans="1:12" x14ac:dyDescent="0.3">
      <c r="A1315" t="s">
        <v>2387</v>
      </c>
      <c r="B1315" t="s">
        <v>2386</v>
      </c>
      <c r="C1315" t="s">
        <v>65</v>
      </c>
      <c r="D1315">
        <v>2</v>
      </c>
      <c r="E1315" s="1">
        <v>45943</v>
      </c>
      <c r="F1315" t="s">
        <v>586</v>
      </c>
      <c r="G1315">
        <v>3</v>
      </c>
      <c r="H1315" t="s">
        <v>578</v>
      </c>
      <c r="I1315" t="s">
        <v>570</v>
      </c>
      <c r="J1315" t="str">
        <f t="shared" si="60"/>
        <v>October</v>
      </c>
      <c r="K1315" t="str">
        <f t="shared" si="61"/>
        <v>Q4</v>
      </c>
      <c r="L1315">
        <f t="shared" si="62"/>
        <v>2025</v>
      </c>
    </row>
    <row r="1316" spans="1:12" x14ac:dyDescent="0.3">
      <c r="A1316" t="s">
        <v>2388</v>
      </c>
      <c r="B1316" t="s">
        <v>2386</v>
      </c>
      <c r="C1316" t="s">
        <v>65</v>
      </c>
      <c r="D1316">
        <v>3</v>
      </c>
      <c r="E1316" s="1">
        <v>45953</v>
      </c>
      <c r="F1316" t="s">
        <v>568</v>
      </c>
      <c r="G1316">
        <v>1</v>
      </c>
      <c r="H1316" t="s">
        <v>569</v>
      </c>
      <c r="I1316" t="s">
        <v>570</v>
      </c>
      <c r="J1316" t="str">
        <f t="shared" si="60"/>
        <v>October</v>
      </c>
      <c r="K1316" t="str">
        <f t="shared" si="61"/>
        <v>Q4</v>
      </c>
      <c r="L1316">
        <f t="shared" si="62"/>
        <v>2025</v>
      </c>
    </row>
    <row r="1317" spans="1:12" x14ac:dyDescent="0.3">
      <c r="A1317" t="s">
        <v>2389</v>
      </c>
      <c r="B1317" t="s">
        <v>277</v>
      </c>
      <c r="C1317" t="s">
        <v>156</v>
      </c>
      <c r="D1317">
        <v>1</v>
      </c>
      <c r="E1317" s="1">
        <v>45725</v>
      </c>
      <c r="F1317" t="s">
        <v>580</v>
      </c>
      <c r="G1317">
        <v>4</v>
      </c>
      <c r="H1317" t="s">
        <v>581</v>
      </c>
      <c r="I1317" t="s">
        <v>570</v>
      </c>
      <c r="J1317" t="str">
        <f t="shared" si="60"/>
        <v>March</v>
      </c>
      <c r="K1317" t="str">
        <f t="shared" si="61"/>
        <v>Q1</v>
      </c>
      <c r="L1317">
        <f t="shared" si="62"/>
        <v>2025</v>
      </c>
    </row>
    <row r="1318" spans="1:12" x14ac:dyDescent="0.3">
      <c r="A1318" t="s">
        <v>2390</v>
      </c>
      <c r="B1318" t="s">
        <v>2391</v>
      </c>
      <c r="C1318" t="s">
        <v>183</v>
      </c>
      <c r="D1318">
        <v>1</v>
      </c>
      <c r="E1318" s="1">
        <v>45865</v>
      </c>
      <c r="F1318" t="s">
        <v>625</v>
      </c>
      <c r="G1318">
        <v>1</v>
      </c>
      <c r="H1318" t="s">
        <v>569</v>
      </c>
      <c r="I1318" t="s">
        <v>570</v>
      </c>
      <c r="J1318" t="str">
        <f t="shared" si="60"/>
        <v>July</v>
      </c>
      <c r="K1318" t="str">
        <f t="shared" si="61"/>
        <v>Q3</v>
      </c>
      <c r="L1318">
        <f t="shared" si="62"/>
        <v>2025</v>
      </c>
    </row>
    <row r="1319" spans="1:12" x14ac:dyDescent="0.3">
      <c r="A1319" t="s">
        <v>2392</v>
      </c>
      <c r="B1319" t="s">
        <v>2391</v>
      </c>
      <c r="C1319" t="s">
        <v>183</v>
      </c>
      <c r="D1319">
        <v>2</v>
      </c>
      <c r="E1319" s="1">
        <v>45870</v>
      </c>
      <c r="F1319" t="s">
        <v>670</v>
      </c>
      <c r="G1319">
        <v>1</v>
      </c>
      <c r="H1319" t="s">
        <v>569</v>
      </c>
      <c r="I1319" t="s">
        <v>570</v>
      </c>
      <c r="J1319" t="str">
        <f t="shared" si="60"/>
        <v>August</v>
      </c>
      <c r="K1319" t="str">
        <f t="shared" si="61"/>
        <v>Q3</v>
      </c>
      <c r="L1319">
        <f t="shared" si="62"/>
        <v>2025</v>
      </c>
    </row>
    <row r="1320" spans="1:12" x14ac:dyDescent="0.3">
      <c r="A1320" t="s">
        <v>2393</v>
      </c>
      <c r="B1320" t="s">
        <v>207</v>
      </c>
      <c r="C1320" t="s">
        <v>208</v>
      </c>
      <c r="D1320">
        <v>1</v>
      </c>
      <c r="E1320" s="1">
        <v>45795</v>
      </c>
      <c r="F1320" t="s">
        <v>741</v>
      </c>
      <c r="G1320">
        <v>4</v>
      </c>
      <c r="H1320" t="s">
        <v>581</v>
      </c>
      <c r="I1320" t="s">
        <v>570</v>
      </c>
      <c r="J1320" t="str">
        <f t="shared" si="60"/>
        <v>May</v>
      </c>
      <c r="K1320" t="str">
        <f t="shared" si="61"/>
        <v>Q2</v>
      </c>
      <c r="L1320">
        <f t="shared" si="62"/>
        <v>2025</v>
      </c>
    </row>
    <row r="1321" spans="1:12" x14ac:dyDescent="0.3">
      <c r="A1321" t="s">
        <v>2394</v>
      </c>
      <c r="B1321" t="s">
        <v>207</v>
      </c>
      <c r="C1321" t="s">
        <v>208</v>
      </c>
      <c r="D1321">
        <v>2</v>
      </c>
      <c r="E1321" s="1">
        <v>45807</v>
      </c>
      <c r="F1321" t="s">
        <v>592</v>
      </c>
      <c r="G1321">
        <v>3</v>
      </c>
      <c r="H1321" t="s">
        <v>578</v>
      </c>
      <c r="I1321" t="s">
        <v>570</v>
      </c>
      <c r="J1321" t="str">
        <f t="shared" si="60"/>
        <v>May</v>
      </c>
      <c r="K1321" t="str">
        <f t="shared" si="61"/>
        <v>Q2</v>
      </c>
      <c r="L1321">
        <f t="shared" si="62"/>
        <v>2025</v>
      </c>
    </row>
    <row r="1322" spans="1:12" x14ac:dyDescent="0.3">
      <c r="A1322" t="s">
        <v>2395</v>
      </c>
      <c r="B1322" t="s">
        <v>207</v>
      </c>
      <c r="C1322" t="s">
        <v>208</v>
      </c>
      <c r="D1322">
        <v>3</v>
      </c>
      <c r="E1322" s="1">
        <v>45811</v>
      </c>
      <c r="F1322" t="s">
        <v>580</v>
      </c>
      <c r="G1322">
        <v>3</v>
      </c>
      <c r="H1322" t="s">
        <v>578</v>
      </c>
      <c r="I1322" t="s">
        <v>570</v>
      </c>
      <c r="J1322" t="str">
        <f t="shared" si="60"/>
        <v>June</v>
      </c>
      <c r="K1322" t="str">
        <f t="shared" si="61"/>
        <v>Q2</v>
      </c>
      <c r="L1322">
        <f t="shared" si="62"/>
        <v>2025</v>
      </c>
    </row>
    <row r="1323" spans="1:12" x14ac:dyDescent="0.3">
      <c r="A1323" t="s">
        <v>2396</v>
      </c>
      <c r="B1323" t="s">
        <v>207</v>
      </c>
      <c r="C1323" t="s">
        <v>208</v>
      </c>
      <c r="D1323">
        <v>4</v>
      </c>
      <c r="E1323" s="1">
        <v>45820</v>
      </c>
      <c r="F1323" t="s">
        <v>592</v>
      </c>
      <c r="G1323">
        <v>4</v>
      </c>
      <c r="H1323" t="s">
        <v>581</v>
      </c>
      <c r="I1323" t="s">
        <v>570</v>
      </c>
      <c r="J1323" t="str">
        <f t="shared" si="60"/>
        <v>June</v>
      </c>
      <c r="K1323" t="str">
        <f t="shared" si="61"/>
        <v>Q2</v>
      </c>
      <c r="L1323">
        <f t="shared" si="62"/>
        <v>2025</v>
      </c>
    </row>
    <row r="1324" spans="1:12" x14ac:dyDescent="0.3">
      <c r="A1324" t="s">
        <v>2397</v>
      </c>
      <c r="B1324" t="s">
        <v>2398</v>
      </c>
      <c r="C1324" t="s">
        <v>208</v>
      </c>
      <c r="D1324">
        <v>1</v>
      </c>
      <c r="E1324" s="1">
        <v>45802</v>
      </c>
      <c r="F1324" t="s">
        <v>638</v>
      </c>
      <c r="G1324">
        <v>1</v>
      </c>
      <c r="H1324" t="s">
        <v>569</v>
      </c>
      <c r="I1324" t="s">
        <v>570</v>
      </c>
      <c r="J1324" t="str">
        <f t="shared" si="60"/>
        <v>May</v>
      </c>
      <c r="K1324" t="str">
        <f t="shared" si="61"/>
        <v>Q2</v>
      </c>
      <c r="L1324">
        <f t="shared" si="62"/>
        <v>2025</v>
      </c>
    </row>
    <row r="1325" spans="1:12" x14ac:dyDescent="0.3">
      <c r="A1325" t="s">
        <v>2399</v>
      </c>
      <c r="B1325" t="s">
        <v>2398</v>
      </c>
      <c r="C1325" t="s">
        <v>208</v>
      </c>
      <c r="D1325">
        <v>2</v>
      </c>
      <c r="E1325" s="1">
        <v>45811</v>
      </c>
      <c r="F1325" t="s">
        <v>592</v>
      </c>
      <c r="G1325">
        <v>2</v>
      </c>
      <c r="H1325" t="s">
        <v>569</v>
      </c>
      <c r="I1325" t="s">
        <v>570</v>
      </c>
      <c r="J1325" t="str">
        <f t="shared" si="60"/>
        <v>June</v>
      </c>
      <c r="K1325" t="str">
        <f t="shared" si="61"/>
        <v>Q2</v>
      </c>
      <c r="L1325">
        <f t="shared" si="62"/>
        <v>2025</v>
      </c>
    </row>
    <row r="1326" spans="1:12" x14ac:dyDescent="0.3">
      <c r="A1326" t="s">
        <v>2400</v>
      </c>
      <c r="B1326" t="s">
        <v>2401</v>
      </c>
      <c r="C1326" t="s">
        <v>429</v>
      </c>
      <c r="D1326">
        <v>1</v>
      </c>
      <c r="E1326" s="1">
        <v>45766</v>
      </c>
      <c r="F1326" t="s">
        <v>592</v>
      </c>
      <c r="G1326">
        <v>3</v>
      </c>
      <c r="H1326" t="s">
        <v>578</v>
      </c>
      <c r="I1326" t="s">
        <v>570</v>
      </c>
      <c r="J1326" t="str">
        <f t="shared" si="60"/>
        <v>April</v>
      </c>
      <c r="K1326" t="str">
        <f t="shared" si="61"/>
        <v>Q2</v>
      </c>
      <c r="L1326">
        <f t="shared" si="62"/>
        <v>2025</v>
      </c>
    </row>
    <row r="1327" spans="1:12" x14ac:dyDescent="0.3">
      <c r="A1327" t="s">
        <v>2402</v>
      </c>
      <c r="B1327" t="s">
        <v>2401</v>
      </c>
      <c r="C1327" t="s">
        <v>429</v>
      </c>
      <c r="D1327">
        <v>2</v>
      </c>
      <c r="E1327" s="1">
        <v>45773</v>
      </c>
      <c r="F1327" t="s">
        <v>580</v>
      </c>
      <c r="G1327">
        <v>3</v>
      </c>
      <c r="H1327" t="s">
        <v>578</v>
      </c>
      <c r="I1327" t="s">
        <v>570</v>
      </c>
      <c r="J1327" t="str">
        <f t="shared" si="60"/>
        <v>April</v>
      </c>
      <c r="K1327" t="str">
        <f t="shared" si="61"/>
        <v>Q2</v>
      </c>
      <c r="L1327">
        <f t="shared" si="62"/>
        <v>2025</v>
      </c>
    </row>
    <row r="1328" spans="1:12" x14ac:dyDescent="0.3">
      <c r="A1328" t="s">
        <v>2403</v>
      </c>
      <c r="B1328" t="s">
        <v>2404</v>
      </c>
      <c r="C1328" t="s">
        <v>140</v>
      </c>
      <c r="D1328">
        <v>1</v>
      </c>
      <c r="E1328" s="1">
        <v>45939</v>
      </c>
      <c r="F1328" t="s">
        <v>2405</v>
      </c>
      <c r="G1328">
        <v>1</v>
      </c>
      <c r="H1328" t="s">
        <v>569</v>
      </c>
      <c r="I1328" t="s">
        <v>570</v>
      </c>
      <c r="J1328" t="str">
        <f t="shared" si="60"/>
        <v>October</v>
      </c>
      <c r="K1328" t="str">
        <f t="shared" si="61"/>
        <v>Q4</v>
      </c>
      <c r="L1328">
        <f t="shared" si="62"/>
        <v>2025</v>
      </c>
    </row>
    <row r="1329" spans="1:12" x14ac:dyDescent="0.3">
      <c r="A1329" t="s">
        <v>2406</v>
      </c>
      <c r="B1329" t="s">
        <v>243</v>
      </c>
      <c r="C1329" t="s">
        <v>244</v>
      </c>
      <c r="D1329">
        <v>1</v>
      </c>
      <c r="E1329" s="1">
        <v>45667</v>
      </c>
      <c r="F1329" t="s">
        <v>580</v>
      </c>
      <c r="G1329">
        <v>4</v>
      </c>
      <c r="H1329" t="s">
        <v>581</v>
      </c>
      <c r="I1329" t="s">
        <v>570</v>
      </c>
      <c r="J1329" t="str">
        <f t="shared" si="60"/>
        <v>January</v>
      </c>
      <c r="K1329" t="str">
        <f t="shared" si="61"/>
        <v>Q1</v>
      </c>
      <c r="L1329">
        <f t="shared" si="62"/>
        <v>2025</v>
      </c>
    </row>
    <row r="1330" spans="1:12" x14ac:dyDescent="0.3">
      <c r="A1330" t="s">
        <v>2407</v>
      </c>
      <c r="B1330" t="s">
        <v>2408</v>
      </c>
      <c r="C1330" t="s">
        <v>201</v>
      </c>
      <c r="D1330">
        <v>1</v>
      </c>
      <c r="E1330" s="1">
        <v>45960</v>
      </c>
      <c r="F1330" t="s">
        <v>605</v>
      </c>
      <c r="G1330">
        <v>5</v>
      </c>
      <c r="H1330" t="s">
        <v>581</v>
      </c>
      <c r="I1330" t="s">
        <v>570</v>
      </c>
      <c r="J1330" t="str">
        <f t="shared" si="60"/>
        <v>October</v>
      </c>
      <c r="K1330" t="str">
        <f t="shared" si="61"/>
        <v>Q4</v>
      </c>
      <c r="L1330">
        <f t="shared" si="62"/>
        <v>2025</v>
      </c>
    </row>
    <row r="1331" spans="1:12" x14ac:dyDescent="0.3">
      <c r="A1331" t="s">
        <v>2409</v>
      </c>
      <c r="B1331" t="s">
        <v>2408</v>
      </c>
      <c r="C1331" t="s">
        <v>201</v>
      </c>
      <c r="D1331">
        <v>2</v>
      </c>
      <c r="E1331" s="1">
        <v>45971</v>
      </c>
      <c r="F1331" t="s">
        <v>612</v>
      </c>
      <c r="G1331">
        <v>4</v>
      </c>
      <c r="H1331" t="s">
        <v>581</v>
      </c>
      <c r="I1331" t="s">
        <v>570</v>
      </c>
      <c r="J1331" t="str">
        <f t="shared" si="60"/>
        <v>November</v>
      </c>
      <c r="K1331" t="str">
        <f t="shared" si="61"/>
        <v>Q4</v>
      </c>
      <c r="L1331">
        <f t="shared" si="62"/>
        <v>2025</v>
      </c>
    </row>
    <row r="1332" spans="1:12" x14ac:dyDescent="0.3">
      <c r="A1332" t="s">
        <v>2410</v>
      </c>
      <c r="B1332" t="s">
        <v>2411</v>
      </c>
      <c r="C1332" t="s">
        <v>41</v>
      </c>
      <c r="D1332">
        <v>1</v>
      </c>
      <c r="E1332" s="1">
        <v>45826</v>
      </c>
      <c r="F1332" t="s">
        <v>612</v>
      </c>
      <c r="G1332">
        <v>2</v>
      </c>
      <c r="H1332" t="s">
        <v>569</v>
      </c>
      <c r="I1332" t="s">
        <v>570</v>
      </c>
      <c r="J1332" t="str">
        <f t="shared" si="60"/>
        <v>June</v>
      </c>
      <c r="K1332" t="str">
        <f t="shared" si="61"/>
        <v>Q2</v>
      </c>
      <c r="L1332">
        <f t="shared" si="62"/>
        <v>2025</v>
      </c>
    </row>
    <row r="1333" spans="1:12" x14ac:dyDescent="0.3">
      <c r="A1333" t="s">
        <v>2412</v>
      </c>
      <c r="B1333" t="s">
        <v>2411</v>
      </c>
      <c r="C1333" t="s">
        <v>41</v>
      </c>
      <c r="D1333">
        <v>2</v>
      </c>
      <c r="E1333" s="1">
        <v>45837</v>
      </c>
      <c r="F1333" t="s">
        <v>625</v>
      </c>
      <c r="G1333">
        <v>1</v>
      </c>
      <c r="H1333" t="s">
        <v>569</v>
      </c>
      <c r="I1333" t="s">
        <v>570</v>
      </c>
      <c r="J1333" t="str">
        <f t="shared" si="60"/>
        <v>June</v>
      </c>
      <c r="K1333" t="str">
        <f t="shared" si="61"/>
        <v>Q2</v>
      </c>
      <c r="L1333">
        <f t="shared" si="62"/>
        <v>2025</v>
      </c>
    </row>
    <row r="1334" spans="1:12" x14ac:dyDescent="0.3">
      <c r="A1334" t="s">
        <v>2413</v>
      </c>
      <c r="B1334" t="s">
        <v>2414</v>
      </c>
      <c r="C1334" t="s">
        <v>240</v>
      </c>
      <c r="D1334">
        <v>1</v>
      </c>
      <c r="E1334" s="1">
        <v>45960</v>
      </c>
      <c r="F1334" t="s">
        <v>572</v>
      </c>
      <c r="G1334">
        <v>2</v>
      </c>
      <c r="H1334" t="s">
        <v>569</v>
      </c>
      <c r="I1334" t="s">
        <v>570</v>
      </c>
      <c r="J1334" t="str">
        <f t="shared" si="60"/>
        <v>October</v>
      </c>
      <c r="K1334" t="str">
        <f t="shared" si="61"/>
        <v>Q4</v>
      </c>
      <c r="L1334">
        <f t="shared" si="62"/>
        <v>2025</v>
      </c>
    </row>
    <row r="1335" spans="1:12" x14ac:dyDescent="0.3">
      <c r="A1335" t="s">
        <v>2415</v>
      </c>
      <c r="B1335" t="s">
        <v>2414</v>
      </c>
      <c r="C1335" t="s">
        <v>240</v>
      </c>
      <c r="D1335">
        <v>2</v>
      </c>
      <c r="E1335" s="1">
        <v>45968</v>
      </c>
      <c r="F1335" t="s">
        <v>586</v>
      </c>
      <c r="G1335">
        <v>3</v>
      </c>
      <c r="H1335" t="s">
        <v>578</v>
      </c>
      <c r="I1335" t="s">
        <v>570</v>
      </c>
      <c r="J1335" t="str">
        <f t="shared" si="60"/>
        <v>November</v>
      </c>
      <c r="K1335" t="str">
        <f t="shared" si="61"/>
        <v>Q4</v>
      </c>
      <c r="L1335">
        <f t="shared" si="62"/>
        <v>2025</v>
      </c>
    </row>
    <row r="1336" spans="1:12" x14ac:dyDescent="0.3">
      <c r="A1336" t="s">
        <v>2416</v>
      </c>
      <c r="B1336" t="s">
        <v>2414</v>
      </c>
      <c r="C1336" t="s">
        <v>240</v>
      </c>
      <c r="D1336">
        <v>3</v>
      </c>
      <c r="E1336" s="1">
        <v>45976</v>
      </c>
      <c r="F1336" t="s">
        <v>663</v>
      </c>
      <c r="G1336">
        <v>1</v>
      </c>
      <c r="H1336" t="s">
        <v>569</v>
      </c>
      <c r="I1336" t="s">
        <v>570</v>
      </c>
      <c r="J1336" t="str">
        <f t="shared" si="60"/>
        <v>November</v>
      </c>
      <c r="K1336" t="str">
        <f t="shared" si="61"/>
        <v>Q4</v>
      </c>
      <c r="L1336">
        <f t="shared" si="62"/>
        <v>2025</v>
      </c>
    </row>
    <row r="1337" spans="1:12" x14ac:dyDescent="0.3">
      <c r="A1337" t="s">
        <v>2417</v>
      </c>
      <c r="B1337" t="s">
        <v>2414</v>
      </c>
      <c r="C1337" t="s">
        <v>240</v>
      </c>
      <c r="D1337">
        <v>4</v>
      </c>
      <c r="E1337" s="1">
        <v>45986</v>
      </c>
      <c r="F1337" t="s">
        <v>580</v>
      </c>
      <c r="G1337">
        <v>1</v>
      </c>
      <c r="H1337" t="s">
        <v>569</v>
      </c>
      <c r="I1337" t="s">
        <v>570</v>
      </c>
      <c r="J1337" t="str">
        <f t="shared" si="60"/>
        <v>November</v>
      </c>
      <c r="K1337" t="str">
        <f t="shared" si="61"/>
        <v>Q4</v>
      </c>
      <c r="L1337">
        <f t="shared" si="62"/>
        <v>2025</v>
      </c>
    </row>
    <row r="1338" spans="1:12" x14ac:dyDescent="0.3">
      <c r="A1338" t="s">
        <v>2418</v>
      </c>
      <c r="B1338" t="s">
        <v>2419</v>
      </c>
      <c r="C1338" t="s">
        <v>340</v>
      </c>
      <c r="D1338">
        <v>1</v>
      </c>
      <c r="E1338" s="1">
        <v>45680</v>
      </c>
      <c r="F1338" t="s">
        <v>600</v>
      </c>
      <c r="G1338">
        <v>1</v>
      </c>
      <c r="H1338" t="s">
        <v>569</v>
      </c>
      <c r="I1338" t="s">
        <v>570</v>
      </c>
      <c r="J1338" t="str">
        <f t="shared" si="60"/>
        <v>January</v>
      </c>
      <c r="K1338" t="str">
        <f t="shared" si="61"/>
        <v>Q1</v>
      </c>
      <c r="L1338">
        <f t="shared" si="62"/>
        <v>2025</v>
      </c>
    </row>
    <row r="1339" spans="1:12" x14ac:dyDescent="0.3">
      <c r="A1339" t="s">
        <v>2420</v>
      </c>
      <c r="B1339" t="s">
        <v>2419</v>
      </c>
      <c r="C1339" t="s">
        <v>340</v>
      </c>
      <c r="D1339">
        <v>2</v>
      </c>
      <c r="E1339" s="1">
        <v>45688</v>
      </c>
      <c r="F1339" t="s">
        <v>743</v>
      </c>
      <c r="G1339">
        <v>2</v>
      </c>
      <c r="H1339" t="s">
        <v>569</v>
      </c>
      <c r="I1339" t="s">
        <v>570</v>
      </c>
      <c r="J1339" t="str">
        <f t="shared" si="60"/>
        <v>January</v>
      </c>
      <c r="K1339" t="str">
        <f t="shared" si="61"/>
        <v>Q1</v>
      </c>
      <c r="L1339">
        <f t="shared" si="62"/>
        <v>2025</v>
      </c>
    </row>
    <row r="1340" spans="1:12" x14ac:dyDescent="0.3">
      <c r="A1340" t="s">
        <v>2421</v>
      </c>
      <c r="B1340" t="s">
        <v>2419</v>
      </c>
      <c r="C1340" t="s">
        <v>340</v>
      </c>
      <c r="D1340">
        <v>3</v>
      </c>
      <c r="E1340" s="1">
        <v>45698</v>
      </c>
      <c r="F1340" t="s">
        <v>743</v>
      </c>
      <c r="G1340">
        <v>2</v>
      </c>
      <c r="H1340" t="s">
        <v>569</v>
      </c>
      <c r="I1340" t="s">
        <v>570</v>
      </c>
      <c r="J1340" t="str">
        <f t="shared" si="60"/>
        <v>February</v>
      </c>
      <c r="K1340" t="str">
        <f t="shared" si="61"/>
        <v>Q1</v>
      </c>
      <c r="L1340">
        <f t="shared" si="62"/>
        <v>2025</v>
      </c>
    </row>
    <row r="1341" spans="1:12" x14ac:dyDescent="0.3">
      <c r="A1341" t="s">
        <v>2422</v>
      </c>
      <c r="B1341" t="s">
        <v>2419</v>
      </c>
      <c r="C1341" t="s">
        <v>340</v>
      </c>
      <c r="D1341">
        <v>4</v>
      </c>
      <c r="E1341" s="1">
        <v>45705</v>
      </c>
      <c r="F1341" t="s">
        <v>741</v>
      </c>
      <c r="G1341">
        <v>1</v>
      </c>
      <c r="H1341" t="s">
        <v>569</v>
      </c>
      <c r="I1341" t="s">
        <v>570</v>
      </c>
      <c r="J1341" t="str">
        <f t="shared" si="60"/>
        <v>February</v>
      </c>
      <c r="K1341" t="str">
        <f t="shared" si="61"/>
        <v>Q1</v>
      </c>
      <c r="L1341">
        <f t="shared" si="62"/>
        <v>2025</v>
      </c>
    </row>
    <row r="1342" spans="1:12" x14ac:dyDescent="0.3">
      <c r="A1342" t="s">
        <v>2423</v>
      </c>
      <c r="B1342" t="s">
        <v>161</v>
      </c>
      <c r="C1342" t="s">
        <v>133</v>
      </c>
      <c r="D1342">
        <v>1</v>
      </c>
      <c r="E1342" s="1">
        <v>45694</v>
      </c>
      <c r="F1342" t="s">
        <v>629</v>
      </c>
      <c r="G1342">
        <v>4</v>
      </c>
      <c r="H1342" t="s">
        <v>581</v>
      </c>
      <c r="I1342" t="s">
        <v>570</v>
      </c>
      <c r="J1342" t="str">
        <f t="shared" si="60"/>
        <v>February</v>
      </c>
      <c r="K1342" t="str">
        <f t="shared" si="61"/>
        <v>Q1</v>
      </c>
      <c r="L1342">
        <f t="shared" si="62"/>
        <v>2025</v>
      </c>
    </row>
    <row r="1343" spans="1:12" x14ac:dyDescent="0.3">
      <c r="A1343" t="s">
        <v>2424</v>
      </c>
      <c r="B1343" t="s">
        <v>161</v>
      </c>
      <c r="C1343" t="s">
        <v>133</v>
      </c>
      <c r="D1343">
        <v>2</v>
      </c>
      <c r="E1343" s="1">
        <v>45704</v>
      </c>
      <c r="F1343" t="s">
        <v>584</v>
      </c>
      <c r="G1343">
        <v>4</v>
      </c>
      <c r="H1343" t="s">
        <v>581</v>
      </c>
      <c r="I1343" t="s">
        <v>570</v>
      </c>
      <c r="J1343" t="str">
        <f t="shared" si="60"/>
        <v>February</v>
      </c>
      <c r="K1343" t="str">
        <f t="shared" si="61"/>
        <v>Q1</v>
      </c>
      <c r="L1343">
        <f t="shared" si="62"/>
        <v>2025</v>
      </c>
    </row>
    <row r="1344" spans="1:12" x14ac:dyDescent="0.3">
      <c r="A1344" t="s">
        <v>2425</v>
      </c>
      <c r="B1344" t="s">
        <v>161</v>
      </c>
      <c r="C1344" t="s">
        <v>133</v>
      </c>
      <c r="D1344">
        <v>3</v>
      </c>
      <c r="E1344" s="1">
        <v>45716</v>
      </c>
      <c r="F1344" t="s">
        <v>592</v>
      </c>
      <c r="G1344">
        <v>4</v>
      </c>
      <c r="H1344" t="s">
        <v>581</v>
      </c>
      <c r="I1344" t="s">
        <v>608</v>
      </c>
      <c r="J1344" t="str">
        <f t="shared" si="60"/>
        <v>February</v>
      </c>
      <c r="K1344" t="str">
        <f t="shared" si="61"/>
        <v>Q1</v>
      </c>
      <c r="L1344">
        <f t="shared" si="62"/>
        <v>2025</v>
      </c>
    </row>
    <row r="1345" spans="1:12" x14ac:dyDescent="0.3">
      <c r="A1345" t="s">
        <v>2426</v>
      </c>
      <c r="B1345" t="s">
        <v>161</v>
      </c>
      <c r="C1345" t="s">
        <v>133</v>
      </c>
      <c r="D1345">
        <v>4</v>
      </c>
      <c r="E1345" s="1">
        <v>45725</v>
      </c>
      <c r="F1345" t="s">
        <v>584</v>
      </c>
      <c r="G1345">
        <v>4</v>
      </c>
      <c r="H1345" t="s">
        <v>581</v>
      </c>
      <c r="I1345" t="s">
        <v>570</v>
      </c>
      <c r="J1345" t="str">
        <f t="shared" si="60"/>
        <v>March</v>
      </c>
      <c r="K1345" t="str">
        <f t="shared" si="61"/>
        <v>Q1</v>
      </c>
      <c r="L1345">
        <f t="shared" si="62"/>
        <v>2025</v>
      </c>
    </row>
    <row r="1346" spans="1:12" x14ac:dyDescent="0.3">
      <c r="A1346" t="s">
        <v>2427</v>
      </c>
      <c r="B1346" t="s">
        <v>2428</v>
      </c>
      <c r="C1346" t="s">
        <v>183</v>
      </c>
      <c r="D1346">
        <v>1</v>
      </c>
      <c r="E1346" s="1">
        <v>45857</v>
      </c>
      <c r="F1346" t="s">
        <v>670</v>
      </c>
      <c r="G1346">
        <v>1</v>
      </c>
      <c r="H1346" t="s">
        <v>569</v>
      </c>
      <c r="I1346" t="s">
        <v>570</v>
      </c>
      <c r="J1346" t="str">
        <f t="shared" ref="J1346:J1409" si="63">TEXT(E1346,"mmmm")</f>
        <v>July</v>
      </c>
      <c r="K1346" t="str">
        <f t="shared" ref="K1346:K1409" si="64">"Q"&amp;ROUNDUP(MONTH(E1346)/3,0)</f>
        <v>Q3</v>
      </c>
      <c r="L1346">
        <f t="shared" ref="L1346:L1409" si="65">YEAR(E1346)</f>
        <v>2025</v>
      </c>
    </row>
    <row r="1347" spans="1:12" x14ac:dyDescent="0.3">
      <c r="A1347" t="s">
        <v>2429</v>
      </c>
      <c r="B1347" t="s">
        <v>2428</v>
      </c>
      <c r="C1347" t="s">
        <v>183</v>
      </c>
      <c r="D1347">
        <v>2</v>
      </c>
      <c r="E1347" s="1">
        <v>45863</v>
      </c>
      <c r="F1347" t="s">
        <v>625</v>
      </c>
      <c r="G1347">
        <v>2</v>
      </c>
      <c r="H1347" t="s">
        <v>569</v>
      </c>
      <c r="I1347" t="s">
        <v>570</v>
      </c>
      <c r="J1347" t="str">
        <f t="shared" si="63"/>
        <v>July</v>
      </c>
      <c r="K1347" t="str">
        <f t="shared" si="64"/>
        <v>Q3</v>
      </c>
      <c r="L1347">
        <f t="shared" si="65"/>
        <v>2025</v>
      </c>
    </row>
    <row r="1348" spans="1:12" x14ac:dyDescent="0.3">
      <c r="A1348" t="s">
        <v>2430</v>
      </c>
      <c r="B1348" t="s">
        <v>2428</v>
      </c>
      <c r="C1348" t="s">
        <v>183</v>
      </c>
      <c r="D1348">
        <v>3</v>
      </c>
      <c r="E1348" s="1">
        <v>45871</v>
      </c>
      <c r="F1348" t="s">
        <v>670</v>
      </c>
      <c r="G1348">
        <v>1</v>
      </c>
      <c r="H1348" t="s">
        <v>569</v>
      </c>
      <c r="I1348" t="s">
        <v>597</v>
      </c>
      <c r="J1348" t="str">
        <f t="shared" si="63"/>
        <v>August</v>
      </c>
      <c r="K1348" t="str">
        <f t="shared" si="64"/>
        <v>Q3</v>
      </c>
      <c r="L1348">
        <f t="shared" si="65"/>
        <v>2025</v>
      </c>
    </row>
    <row r="1349" spans="1:12" x14ac:dyDescent="0.3">
      <c r="A1349" t="s">
        <v>2431</v>
      </c>
      <c r="B1349" t="s">
        <v>2432</v>
      </c>
      <c r="C1349" t="s">
        <v>62</v>
      </c>
      <c r="D1349">
        <v>1</v>
      </c>
      <c r="E1349" s="1">
        <v>45700</v>
      </c>
      <c r="F1349" t="s">
        <v>572</v>
      </c>
      <c r="G1349">
        <v>1</v>
      </c>
      <c r="H1349" t="s">
        <v>569</v>
      </c>
      <c r="I1349" t="s">
        <v>570</v>
      </c>
      <c r="J1349" t="str">
        <f t="shared" si="63"/>
        <v>February</v>
      </c>
      <c r="K1349" t="str">
        <f t="shared" si="64"/>
        <v>Q1</v>
      </c>
      <c r="L1349">
        <f t="shared" si="65"/>
        <v>2025</v>
      </c>
    </row>
    <row r="1350" spans="1:12" x14ac:dyDescent="0.3">
      <c r="A1350" t="s">
        <v>2433</v>
      </c>
      <c r="B1350" t="s">
        <v>153</v>
      </c>
      <c r="C1350" t="s">
        <v>99</v>
      </c>
      <c r="D1350">
        <v>1</v>
      </c>
      <c r="E1350" s="1">
        <v>45857</v>
      </c>
      <c r="F1350" t="s">
        <v>670</v>
      </c>
      <c r="G1350">
        <v>4</v>
      </c>
      <c r="H1350" t="s">
        <v>581</v>
      </c>
      <c r="I1350" t="s">
        <v>570</v>
      </c>
      <c r="J1350" t="str">
        <f t="shared" si="63"/>
        <v>July</v>
      </c>
      <c r="K1350" t="str">
        <f t="shared" si="64"/>
        <v>Q3</v>
      </c>
      <c r="L1350">
        <f t="shared" si="65"/>
        <v>2025</v>
      </c>
    </row>
    <row r="1351" spans="1:12" x14ac:dyDescent="0.3">
      <c r="A1351" t="s">
        <v>2434</v>
      </c>
      <c r="B1351" t="s">
        <v>153</v>
      </c>
      <c r="C1351" t="s">
        <v>99</v>
      </c>
      <c r="D1351">
        <v>2</v>
      </c>
      <c r="E1351" s="1">
        <v>45863</v>
      </c>
      <c r="F1351" t="s">
        <v>658</v>
      </c>
      <c r="G1351">
        <v>3</v>
      </c>
      <c r="H1351" t="s">
        <v>578</v>
      </c>
      <c r="I1351" t="s">
        <v>570</v>
      </c>
      <c r="J1351" t="str">
        <f t="shared" si="63"/>
        <v>July</v>
      </c>
      <c r="K1351" t="str">
        <f t="shared" si="64"/>
        <v>Q3</v>
      </c>
      <c r="L1351">
        <f t="shared" si="65"/>
        <v>2025</v>
      </c>
    </row>
    <row r="1352" spans="1:12" x14ac:dyDescent="0.3">
      <c r="A1352" t="s">
        <v>2435</v>
      </c>
      <c r="B1352" t="s">
        <v>153</v>
      </c>
      <c r="C1352" t="s">
        <v>99</v>
      </c>
      <c r="D1352">
        <v>3</v>
      </c>
      <c r="E1352" s="1">
        <v>45867</v>
      </c>
      <c r="F1352" t="s">
        <v>658</v>
      </c>
      <c r="G1352">
        <v>4</v>
      </c>
      <c r="H1352" t="s">
        <v>581</v>
      </c>
      <c r="I1352" t="s">
        <v>570</v>
      </c>
      <c r="J1352" t="str">
        <f t="shared" si="63"/>
        <v>July</v>
      </c>
      <c r="K1352" t="str">
        <f t="shared" si="64"/>
        <v>Q3</v>
      </c>
      <c r="L1352">
        <f t="shared" si="65"/>
        <v>2025</v>
      </c>
    </row>
    <row r="1353" spans="1:12" x14ac:dyDescent="0.3">
      <c r="A1353" t="s">
        <v>2436</v>
      </c>
      <c r="B1353" t="s">
        <v>291</v>
      </c>
      <c r="C1353" t="s">
        <v>292</v>
      </c>
      <c r="D1353">
        <v>1</v>
      </c>
      <c r="E1353" s="1">
        <v>45713</v>
      </c>
      <c r="F1353" t="s">
        <v>586</v>
      </c>
      <c r="G1353">
        <v>3</v>
      </c>
      <c r="H1353" t="s">
        <v>578</v>
      </c>
      <c r="I1353" t="s">
        <v>570</v>
      </c>
      <c r="J1353" t="str">
        <f t="shared" si="63"/>
        <v>February</v>
      </c>
      <c r="K1353" t="str">
        <f t="shared" si="64"/>
        <v>Q1</v>
      </c>
      <c r="L1353">
        <f t="shared" si="65"/>
        <v>2025</v>
      </c>
    </row>
    <row r="1354" spans="1:12" x14ac:dyDescent="0.3">
      <c r="A1354" t="s">
        <v>2437</v>
      </c>
      <c r="B1354" t="s">
        <v>291</v>
      </c>
      <c r="C1354" t="s">
        <v>292</v>
      </c>
      <c r="D1354">
        <v>2</v>
      </c>
      <c r="E1354" s="1">
        <v>45722</v>
      </c>
      <c r="F1354" t="s">
        <v>586</v>
      </c>
      <c r="G1354">
        <v>2</v>
      </c>
      <c r="H1354" t="s">
        <v>569</v>
      </c>
      <c r="I1354" t="s">
        <v>570</v>
      </c>
      <c r="J1354" t="str">
        <f t="shared" si="63"/>
        <v>March</v>
      </c>
      <c r="K1354" t="str">
        <f t="shared" si="64"/>
        <v>Q1</v>
      </c>
      <c r="L1354">
        <f t="shared" si="65"/>
        <v>2025</v>
      </c>
    </row>
    <row r="1355" spans="1:12" x14ac:dyDescent="0.3">
      <c r="A1355" t="s">
        <v>2438</v>
      </c>
      <c r="B1355" t="s">
        <v>291</v>
      </c>
      <c r="C1355" t="s">
        <v>292</v>
      </c>
      <c r="D1355">
        <v>3</v>
      </c>
      <c r="E1355" s="1">
        <v>45730</v>
      </c>
      <c r="F1355" t="s">
        <v>580</v>
      </c>
      <c r="G1355">
        <v>3</v>
      </c>
      <c r="H1355" t="s">
        <v>578</v>
      </c>
      <c r="I1355" t="s">
        <v>570</v>
      </c>
      <c r="J1355" t="str">
        <f t="shared" si="63"/>
        <v>March</v>
      </c>
      <c r="K1355" t="str">
        <f t="shared" si="64"/>
        <v>Q1</v>
      </c>
      <c r="L1355">
        <f t="shared" si="65"/>
        <v>2025</v>
      </c>
    </row>
    <row r="1356" spans="1:12" x14ac:dyDescent="0.3">
      <c r="A1356" t="s">
        <v>2439</v>
      </c>
      <c r="B1356" t="s">
        <v>291</v>
      </c>
      <c r="C1356" t="s">
        <v>292</v>
      </c>
      <c r="D1356">
        <v>4</v>
      </c>
      <c r="E1356" s="1">
        <v>45736</v>
      </c>
      <c r="F1356" t="s">
        <v>572</v>
      </c>
      <c r="G1356">
        <v>4</v>
      </c>
      <c r="H1356" t="s">
        <v>581</v>
      </c>
      <c r="I1356" t="s">
        <v>570</v>
      </c>
      <c r="J1356" t="str">
        <f t="shared" si="63"/>
        <v>March</v>
      </c>
      <c r="K1356" t="str">
        <f t="shared" si="64"/>
        <v>Q1</v>
      </c>
      <c r="L1356">
        <f t="shared" si="65"/>
        <v>2025</v>
      </c>
    </row>
    <row r="1357" spans="1:12" x14ac:dyDescent="0.3">
      <c r="A1357" t="s">
        <v>2440</v>
      </c>
      <c r="B1357" t="s">
        <v>2441</v>
      </c>
      <c r="C1357" t="s">
        <v>292</v>
      </c>
      <c r="D1357">
        <v>1</v>
      </c>
      <c r="E1357" s="1">
        <v>45725</v>
      </c>
      <c r="F1357" t="s">
        <v>572</v>
      </c>
      <c r="G1357">
        <v>2</v>
      </c>
      <c r="H1357" t="s">
        <v>569</v>
      </c>
      <c r="I1357" t="s">
        <v>570</v>
      </c>
      <c r="J1357" t="str">
        <f t="shared" si="63"/>
        <v>March</v>
      </c>
      <c r="K1357" t="str">
        <f t="shared" si="64"/>
        <v>Q1</v>
      </c>
      <c r="L1357">
        <f t="shared" si="65"/>
        <v>2025</v>
      </c>
    </row>
    <row r="1358" spans="1:12" x14ac:dyDescent="0.3">
      <c r="A1358" t="s">
        <v>2442</v>
      </c>
      <c r="B1358" t="s">
        <v>2441</v>
      </c>
      <c r="C1358" t="s">
        <v>292</v>
      </c>
      <c r="D1358">
        <v>2</v>
      </c>
      <c r="E1358" s="1">
        <v>45733</v>
      </c>
      <c r="F1358" t="s">
        <v>586</v>
      </c>
      <c r="G1358">
        <v>3</v>
      </c>
      <c r="H1358" t="s">
        <v>578</v>
      </c>
      <c r="I1358" t="s">
        <v>570</v>
      </c>
      <c r="J1358" t="str">
        <f t="shared" si="63"/>
        <v>March</v>
      </c>
      <c r="K1358" t="str">
        <f t="shared" si="64"/>
        <v>Q1</v>
      </c>
      <c r="L1358">
        <f t="shared" si="65"/>
        <v>2025</v>
      </c>
    </row>
    <row r="1359" spans="1:12" x14ac:dyDescent="0.3">
      <c r="A1359" t="s">
        <v>2443</v>
      </c>
      <c r="B1359" t="s">
        <v>2441</v>
      </c>
      <c r="C1359" t="s">
        <v>292</v>
      </c>
      <c r="D1359">
        <v>3</v>
      </c>
      <c r="E1359" s="1">
        <v>45738</v>
      </c>
      <c r="F1359" t="s">
        <v>586</v>
      </c>
      <c r="G1359">
        <v>1</v>
      </c>
      <c r="H1359" t="s">
        <v>569</v>
      </c>
      <c r="I1359" t="s">
        <v>570</v>
      </c>
      <c r="J1359" t="str">
        <f t="shared" si="63"/>
        <v>March</v>
      </c>
      <c r="K1359" t="str">
        <f t="shared" si="64"/>
        <v>Q1</v>
      </c>
      <c r="L1359">
        <f t="shared" si="65"/>
        <v>2025</v>
      </c>
    </row>
    <row r="1360" spans="1:12" x14ac:dyDescent="0.3">
      <c r="A1360" t="s">
        <v>2444</v>
      </c>
      <c r="B1360" t="s">
        <v>2445</v>
      </c>
      <c r="C1360" t="s">
        <v>298</v>
      </c>
      <c r="D1360">
        <v>1</v>
      </c>
      <c r="E1360" s="1">
        <v>45892</v>
      </c>
      <c r="F1360" t="s">
        <v>670</v>
      </c>
      <c r="G1360">
        <v>3</v>
      </c>
      <c r="H1360" t="s">
        <v>578</v>
      </c>
      <c r="I1360" t="s">
        <v>570</v>
      </c>
      <c r="J1360" t="str">
        <f t="shared" si="63"/>
        <v>August</v>
      </c>
      <c r="K1360" t="str">
        <f t="shared" si="64"/>
        <v>Q3</v>
      </c>
      <c r="L1360">
        <f t="shared" si="65"/>
        <v>2025</v>
      </c>
    </row>
    <row r="1361" spans="1:12" x14ac:dyDescent="0.3">
      <c r="A1361" t="s">
        <v>2446</v>
      </c>
      <c r="B1361" t="s">
        <v>2445</v>
      </c>
      <c r="C1361" t="s">
        <v>298</v>
      </c>
      <c r="D1361">
        <v>2</v>
      </c>
      <c r="E1361" s="1">
        <v>45900</v>
      </c>
      <c r="F1361" t="s">
        <v>656</v>
      </c>
      <c r="G1361">
        <v>2</v>
      </c>
      <c r="H1361" t="s">
        <v>569</v>
      </c>
      <c r="I1361" t="s">
        <v>570</v>
      </c>
      <c r="J1361" t="str">
        <f t="shared" si="63"/>
        <v>August</v>
      </c>
      <c r="K1361" t="str">
        <f t="shared" si="64"/>
        <v>Q3</v>
      </c>
      <c r="L1361">
        <f t="shared" si="65"/>
        <v>2025</v>
      </c>
    </row>
    <row r="1362" spans="1:12" x14ac:dyDescent="0.3">
      <c r="A1362" t="s">
        <v>2447</v>
      </c>
      <c r="B1362" t="s">
        <v>2445</v>
      </c>
      <c r="C1362" t="s">
        <v>298</v>
      </c>
      <c r="D1362">
        <v>3</v>
      </c>
      <c r="E1362" s="1">
        <v>45911</v>
      </c>
      <c r="F1362" t="s">
        <v>584</v>
      </c>
      <c r="G1362">
        <v>3</v>
      </c>
      <c r="H1362" t="s">
        <v>578</v>
      </c>
      <c r="I1362" t="s">
        <v>570</v>
      </c>
      <c r="J1362" t="str">
        <f t="shared" si="63"/>
        <v>September</v>
      </c>
      <c r="K1362" t="str">
        <f t="shared" si="64"/>
        <v>Q3</v>
      </c>
      <c r="L1362">
        <f t="shared" si="65"/>
        <v>2025</v>
      </c>
    </row>
    <row r="1363" spans="1:12" x14ac:dyDescent="0.3">
      <c r="A1363" t="s">
        <v>2448</v>
      </c>
      <c r="B1363" t="s">
        <v>2449</v>
      </c>
      <c r="C1363" t="s">
        <v>27</v>
      </c>
      <c r="D1363">
        <v>1</v>
      </c>
      <c r="E1363" s="1">
        <v>45893</v>
      </c>
      <c r="F1363" t="s">
        <v>592</v>
      </c>
      <c r="G1363">
        <v>1</v>
      </c>
      <c r="H1363" t="s">
        <v>569</v>
      </c>
      <c r="I1363" t="s">
        <v>570</v>
      </c>
      <c r="J1363" t="str">
        <f t="shared" si="63"/>
        <v>August</v>
      </c>
      <c r="K1363" t="str">
        <f t="shared" si="64"/>
        <v>Q3</v>
      </c>
      <c r="L1363">
        <f t="shared" si="65"/>
        <v>2025</v>
      </c>
    </row>
    <row r="1364" spans="1:12" x14ac:dyDescent="0.3">
      <c r="A1364" t="s">
        <v>2450</v>
      </c>
      <c r="B1364" t="s">
        <v>2449</v>
      </c>
      <c r="C1364" t="s">
        <v>27</v>
      </c>
      <c r="D1364">
        <v>2</v>
      </c>
      <c r="E1364" s="1">
        <v>45902</v>
      </c>
      <c r="F1364" t="s">
        <v>766</v>
      </c>
      <c r="G1364">
        <v>1</v>
      </c>
      <c r="H1364" t="s">
        <v>569</v>
      </c>
      <c r="I1364" t="s">
        <v>570</v>
      </c>
      <c r="J1364" t="str">
        <f t="shared" si="63"/>
        <v>September</v>
      </c>
      <c r="K1364" t="str">
        <f t="shared" si="64"/>
        <v>Q3</v>
      </c>
      <c r="L1364">
        <f t="shared" si="65"/>
        <v>2025</v>
      </c>
    </row>
    <row r="1365" spans="1:12" x14ac:dyDescent="0.3">
      <c r="A1365" t="s">
        <v>2451</v>
      </c>
      <c r="B1365" t="s">
        <v>2452</v>
      </c>
      <c r="C1365" t="s">
        <v>195</v>
      </c>
      <c r="D1365">
        <v>1</v>
      </c>
      <c r="E1365" s="1">
        <v>45854</v>
      </c>
      <c r="F1365" t="s">
        <v>612</v>
      </c>
      <c r="G1365">
        <v>4</v>
      </c>
      <c r="H1365" t="s">
        <v>581</v>
      </c>
      <c r="I1365" t="s">
        <v>570</v>
      </c>
      <c r="J1365" t="str">
        <f t="shared" si="63"/>
        <v>July</v>
      </c>
      <c r="K1365" t="str">
        <f t="shared" si="64"/>
        <v>Q3</v>
      </c>
      <c r="L1365">
        <f t="shared" si="65"/>
        <v>2025</v>
      </c>
    </row>
    <row r="1366" spans="1:12" x14ac:dyDescent="0.3">
      <c r="A1366" t="s">
        <v>2453</v>
      </c>
      <c r="B1366" t="s">
        <v>2454</v>
      </c>
      <c r="C1366" t="s">
        <v>96</v>
      </c>
      <c r="D1366">
        <v>1</v>
      </c>
      <c r="E1366" s="1">
        <v>45886</v>
      </c>
      <c r="F1366" t="s">
        <v>577</v>
      </c>
      <c r="G1366">
        <v>2</v>
      </c>
      <c r="H1366" t="s">
        <v>569</v>
      </c>
      <c r="I1366" t="s">
        <v>570</v>
      </c>
      <c r="J1366" t="str">
        <f t="shared" si="63"/>
        <v>August</v>
      </c>
      <c r="K1366" t="str">
        <f t="shared" si="64"/>
        <v>Q3</v>
      </c>
      <c r="L1366">
        <f t="shared" si="65"/>
        <v>2025</v>
      </c>
    </row>
    <row r="1367" spans="1:12" x14ac:dyDescent="0.3">
      <c r="A1367" t="s">
        <v>2455</v>
      </c>
      <c r="B1367" t="s">
        <v>2456</v>
      </c>
      <c r="C1367" t="s">
        <v>92</v>
      </c>
      <c r="D1367">
        <v>1</v>
      </c>
      <c r="E1367" s="1">
        <v>45767</v>
      </c>
      <c r="F1367" t="s">
        <v>612</v>
      </c>
      <c r="G1367">
        <v>2</v>
      </c>
      <c r="H1367" t="s">
        <v>569</v>
      </c>
      <c r="I1367" t="s">
        <v>570</v>
      </c>
      <c r="J1367" t="str">
        <f t="shared" si="63"/>
        <v>April</v>
      </c>
      <c r="K1367" t="str">
        <f t="shared" si="64"/>
        <v>Q2</v>
      </c>
      <c r="L1367">
        <f t="shared" si="65"/>
        <v>2025</v>
      </c>
    </row>
    <row r="1368" spans="1:12" x14ac:dyDescent="0.3">
      <c r="A1368" t="s">
        <v>2457</v>
      </c>
      <c r="B1368" t="s">
        <v>2456</v>
      </c>
      <c r="C1368" t="s">
        <v>92</v>
      </c>
      <c r="D1368">
        <v>2</v>
      </c>
      <c r="E1368" s="1">
        <v>45779</v>
      </c>
      <c r="F1368" t="s">
        <v>605</v>
      </c>
      <c r="G1368">
        <v>3</v>
      </c>
      <c r="H1368" t="s">
        <v>578</v>
      </c>
      <c r="I1368" t="s">
        <v>570</v>
      </c>
      <c r="J1368" t="str">
        <f t="shared" si="63"/>
        <v>May</v>
      </c>
      <c r="K1368" t="str">
        <f t="shared" si="64"/>
        <v>Q2</v>
      </c>
      <c r="L1368">
        <f t="shared" si="65"/>
        <v>2025</v>
      </c>
    </row>
    <row r="1369" spans="1:12" x14ac:dyDescent="0.3">
      <c r="A1369" t="s">
        <v>2458</v>
      </c>
      <c r="B1369" t="s">
        <v>2456</v>
      </c>
      <c r="C1369" t="s">
        <v>92</v>
      </c>
      <c r="D1369">
        <v>3</v>
      </c>
      <c r="E1369" s="1">
        <v>45788</v>
      </c>
      <c r="F1369" t="s">
        <v>625</v>
      </c>
      <c r="G1369">
        <v>1</v>
      </c>
      <c r="H1369" t="s">
        <v>569</v>
      </c>
      <c r="I1369" t="s">
        <v>570</v>
      </c>
      <c r="J1369" t="str">
        <f t="shared" si="63"/>
        <v>May</v>
      </c>
      <c r="K1369" t="str">
        <f t="shared" si="64"/>
        <v>Q2</v>
      </c>
      <c r="L1369">
        <f t="shared" si="65"/>
        <v>2025</v>
      </c>
    </row>
    <row r="1370" spans="1:12" x14ac:dyDescent="0.3">
      <c r="A1370" t="s">
        <v>2459</v>
      </c>
      <c r="B1370" t="s">
        <v>2456</v>
      </c>
      <c r="C1370" t="s">
        <v>92</v>
      </c>
      <c r="D1370">
        <v>4</v>
      </c>
      <c r="E1370" s="1">
        <v>45794</v>
      </c>
      <c r="F1370" t="s">
        <v>572</v>
      </c>
      <c r="G1370">
        <v>1</v>
      </c>
      <c r="H1370" t="s">
        <v>569</v>
      </c>
      <c r="I1370" t="s">
        <v>570</v>
      </c>
      <c r="J1370" t="str">
        <f t="shared" si="63"/>
        <v>May</v>
      </c>
      <c r="K1370" t="str">
        <f t="shared" si="64"/>
        <v>Q2</v>
      </c>
      <c r="L1370">
        <f t="shared" si="65"/>
        <v>2025</v>
      </c>
    </row>
    <row r="1371" spans="1:12" x14ac:dyDescent="0.3">
      <c r="A1371" t="s">
        <v>2460</v>
      </c>
      <c r="B1371" t="s">
        <v>2461</v>
      </c>
      <c r="C1371" t="s">
        <v>208</v>
      </c>
      <c r="D1371">
        <v>1</v>
      </c>
      <c r="E1371" s="1">
        <v>45802</v>
      </c>
      <c r="F1371" t="s">
        <v>580</v>
      </c>
      <c r="G1371">
        <v>2</v>
      </c>
      <c r="H1371" t="s">
        <v>569</v>
      </c>
      <c r="I1371" t="s">
        <v>570</v>
      </c>
      <c r="J1371" t="str">
        <f t="shared" si="63"/>
        <v>May</v>
      </c>
      <c r="K1371" t="str">
        <f t="shared" si="64"/>
        <v>Q2</v>
      </c>
      <c r="L1371">
        <f t="shared" si="65"/>
        <v>2025</v>
      </c>
    </row>
    <row r="1372" spans="1:12" x14ac:dyDescent="0.3">
      <c r="A1372" t="s">
        <v>2462</v>
      </c>
      <c r="B1372" t="s">
        <v>2461</v>
      </c>
      <c r="C1372" t="s">
        <v>208</v>
      </c>
      <c r="D1372">
        <v>2</v>
      </c>
      <c r="E1372" s="1">
        <v>45810</v>
      </c>
      <c r="F1372" t="s">
        <v>741</v>
      </c>
      <c r="G1372">
        <v>2</v>
      </c>
      <c r="H1372" t="s">
        <v>569</v>
      </c>
      <c r="I1372" t="s">
        <v>570</v>
      </c>
      <c r="J1372" t="str">
        <f t="shared" si="63"/>
        <v>June</v>
      </c>
      <c r="K1372" t="str">
        <f t="shared" si="64"/>
        <v>Q2</v>
      </c>
      <c r="L1372">
        <f t="shared" si="65"/>
        <v>2025</v>
      </c>
    </row>
    <row r="1373" spans="1:12" x14ac:dyDescent="0.3">
      <c r="A1373" t="s">
        <v>2463</v>
      </c>
      <c r="B1373" t="s">
        <v>2461</v>
      </c>
      <c r="C1373" t="s">
        <v>208</v>
      </c>
      <c r="D1373">
        <v>3</v>
      </c>
      <c r="E1373" s="1">
        <v>45814</v>
      </c>
      <c r="F1373" t="s">
        <v>766</v>
      </c>
      <c r="G1373">
        <v>3</v>
      </c>
      <c r="H1373" t="s">
        <v>578</v>
      </c>
      <c r="I1373" t="s">
        <v>570</v>
      </c>
      <c r="J1373" t="str">
        <f t="shared" si="63"/>
        <v>June</v>
      </c>
      <c r="K1373" t="str">
        <f t="shared" si="64"/>
        <v>Q2</v>
      </c>
      <c r="L1373">
        <f t="shared" si="65"/>
        <v>2025</v>
      </c>
    </row>
    <row r="1374" spans="1:12" x14ac:dyDescent="0.3">
      <c r="A1374" t="s">
        <v>2464</v>
      </c>
      <c r="B1374" t="s">
        <v>2465</v>
      </c>
      <c r="C1374" t="s">
        <v>340</v>
      </c>
      <c r="D1374">
        <v>1</v>
      </c>
      <c r="E1374" s="1">
        <v>45687</v>
      </c>
      <c r="F1374" t="s">
        <v>741</v>
      </c>
      <c r="G1374">
        <v>2</v>
      </c>
      <c r="H1374" t="s">
        <v>569</v>
      </c>
      <c r="I1374" t="s">
        <v>570</v>
      </c>
      <c r="J1374" t="str">
        <f t="shared" si="63"/>
        <v>January</v>
      </c>
      <c r="K1374" t="str">
        <f t="shared" si="64"/>
        <v>Q1</v>
      </c>
      <c r="L1374">
        <f t="shared" si="65"/>
        <v>2025</v>
      </c>
    </row>
    <row r="1375" spans="1:12" x14ac:dyDescent="0.3">
      <c r="A1375" t="s">
        <v>2466</v>
      </c>
      <c r="B1375" t="s">
        <v>2465</v>
      </c>
      <c r="C1375" t="s">
        <v>340</v>
      </c>
      <c r="D1375">
        <v>2</v>
      </c>
      <c r="E1375" s="1">
        <v>45699</v>
      </c>
      <c r="F1375" t="s">
        <v>741</v>
      </c>
      <c r="G1375">
        <v>2</v>
      </c>
      <c r="H1375" t="s">
        <v>569</v>
      </c>
      <c r="I1375" t="s">
        <v>570</v>
      </c>
      <c r="J1375" t="str">
        <f t="shared" si="63"/>
        <v>February</v>
      </c>
      <c r="K1375" t="str">
        <f t="shared" si="64"/>
        <v>Q1</v>
      </c>
      <c r="L1375">
        <f t="shared" si="65"/>
        <v>2025</v>
      </c>
    </row>
    <row r="1376" spans="1:12" x14ac:dyDescent="0.3">
      <c r="A1376" t="s">
        <v>2467</v>
      </c>
      <c r="B1376" t="s">
        <v>2465</v>
      </c>
      <c r="C1376" t="s">
        <v>340</v>
      </c>
      <c r="D1376">
        <v>3</v>
      </c>
      <c r="E1376" s="1">
        <v>45708</v>
      </c>
      <c r="F1376" t="s">
        <v>600</v>
      </c>
      <c r="G1376">
        <v>3</v>
      </c>
      <c r="H1376" t="s">
        <v>578</v>
      </c>
      <c r="I1376" t="s">
        <v>570</v>
      </c>
      <c r="J1376" t="str">
        <f t="shared" si="63"/>
        <v>February</v>
      </c>
      <c r="K1376" t="str">
        <f t="shared" si="64"/>
        <v>Q1</v>
      </c>
      <c r="L1376">
        <f t="shared" si="65"/>
        <v>2025</v>
      </c>
    </row>
    <row r="1377" spans="1:12" x14ac:dyDescent="0.3">
      <c r="A1377" t="s">
        <v>2468</v>
      </c>
      <c r="B1377" t="s">
        <v>2465</v>
      </c>
      <c r="C1377" t="s">
        <v>340</v>
      </c>
      <c r="D1377">
        <v>4</v>
      </c>
      <c r="E1377" s="1">
        <v>45714</v>
      </c>
      <c r="F1377" t="s">
        <v>621</v>
      </c>
      <c r="G1377">
        <v>2</v>
      </c>
      <c r="H1377" t="s">
        <v>569</v>
      </c>
      <c r="I1377" t="s">
        <v>570</v>
      </c>
      <c r="J1377" t="str">
        <f t="shared" si="63"/>
        <v>February</v>
      </c>
      <c r="K1377" t="str">
        <f t="shared" si="64"/>
        <v>Q1</v>
      </c>
      <c r="L1377">
        <f t="shared" si="65"/>
        <v>2025</v>
      </c>
    </row>
    <row r="1378" spans="1:12" x14ac:dyDescent="0.3">
      <c r="A1378" t="s">
        <v>2469</v>
      </c>
      <c r="B1378" t="s">
        <v>2470</v>
      </c>
      <c r="C1378" t="s">
        <v>108</v>
      </c>
      <c r="D1378">
        <v>1</v>
      </c>
      <c r="E1378" s="1">
        <v>45762</v>
      </c>
      <c r="F1378" t="s">
        <v>577</v>
      </c>
      <c r="G1378">
        <v>3</v>
      </c>
      <c r="H1378" t="s">
        <v>578</v>
      </c>
      <c r="I1378" t="s">
        <v>570</v>
      </c>
      <c r="J1378" t="str">
        <f t="shared" si="63"/>
        <v>April</v>
      </c>
      <c r="K1378" t="str">
        <f t="shared" si="64"/>
        <v>Q2</v>
      </c>
      <c r="L1378">
        <f t="shared" si="65"/>
        <v>2025</v>
      </c>
    </row>
    <row r="1379" spans="1:12" x14ac:dyDescent="0.3">
      <c r="A1379" t="s">
        <v>2471</v>
      </c>
      <c r="B1379" t="s">
        <v>2470</v>
      </c>
      <c r="C1379" t="s">
        <v>108</v>
      </c>
      <c r="D1379">
        <v>2</v>
      </c>
      <c r="E1379" s="1">
        <v>45766</v>
      </c>
      <c r="F1379" t="s">
        <v>577</v>
      </c>
      <c r="G1379">
        <v>3</v>
      </c>
      <c r="H1379" t="s">
        <v>578</v>
      </c>
      <c r="I1379" t="s">
        <v>570</v>
      </c>
      <c r="J1379" t="str">
        <f t="shared" si="63"/>
        <v>April</v>
      </c>
      <c r="K1379" t="str">
        <f t="shared" si="64"/>
        <v>Q2</v>
      </c>
      <c r="L1379">
        <f t="shared" si="65"/>
        <v>2025</v>
      </c>
    </row>
    <row r="1380" spans="1:12" x14ac:dyDescent="0.3">
      <c r="A1380" t="s">
        <v>2472</v>
      </c>
      <c r="B1380" t="s">
        <v>285</v>
      </c>
      <c r="C1380" t="s">
        <v>99</v>
      </c>
      <c r="D1380">
        <v>1</v>
      </c>
      <c r="E1380" s="1">
        <v>45859</v>
      </c>
      <c r="F1380" t="s">
        <v>625</v>
      </c>
      <c r="G1380">
        <v>4</v>
      </c>
      <c r="H1380" t="s">
        <v>581</v>
      </c>
      <c r="I1380" t="s">
        <v>570</v>
      </c>
      <c r="J1380" t="str">
        <f t="shared" si="63"/>
        <v>July</v>
      </c>
      <c r="K1380" t="str">
        <f t="shared" si="64"/>
        <v>Q3</v>
      </c>
      <c r="L1380">
        <f t="shared" si="65"/>
        <v>2025</v>
      </c>
    </row>
    <row r="1381" spans="1:12" x14ac:dyDescent="0.3">
      <c r="A1381" t="s">
        <v>2473</v>
      </c>
      <c r="B1381" t="s">
        <v>2474</v>
      </c>
      <c r="C1381" t="s">
        <v>183</v>
      </c>
      <c r="D1381">
        <v>1</v>
      </c>
      <c r="E1381" s="1">
        <v>45865</v>
      </c>
      <c r="F1381" t="s">
        <v>649</v>
      </c>
      <c r="G1381">
        <v>2</v>
      </c>
      <c r="H1381" t="s">
        <v>569</v>
      </c>
      <c r="I1381" t="s">
        <v>570</v>
      </c>
      <c r="J1381" t="str">
        <f t="shared" si="63"/>
        <v>July</v>
      </c>
      <c r="K1381" t="str">
        <f t="shared" si="64"/>
        <v>Q3</v>
      </c>
      <c r="L1381">
        <f t="shared" si="65"/>
        <v>2025</v>
      </c>
    </row>
    <row r="1382" spans="1:12" x14ac:dyDescent="0.3">
      <c r="A1382" t="s">
        <v>2475</v>
      </c>
      <c r="B1382" t="s">
        <v>2474</v>
      </c>
      <c r="C1382" t="s">
        <v>183</v>
      </c>
      <c r="D1382">
        <v>2</v>
      </c>
      <c r="E1382" s="1">
        <v>45876</v>
      </c>
      <c r="F1382" t="s">
        <v>670</v>
      </c>
      <c r="G1382">
        <v>2</v>
      </c>
      <c r="H1382" t="s">
        <v>569</v>
      </c>
      <c r="I1382" t="s">
        <v>570</v>
      </c>
      <c r="J1382" t="str">
        <f t="shared" si="63"/>
        <v>August</v>
      </c>
      <c r="K1382" t="str">
        <f t="shared" si="64"/>
        <v>Q3</v>
      </c>
      <c r="L1382">
        <f t="shared" si="65"/>
        <v>2025</v>
      </c>
    </row>
    <row r="1383" spans="1:12" x14ac:dyDescent="0.3">
      <c r="A1383" t="s">
        <v>2476</v>
      </c>
      <c r="B1383" t="s">
        <v>273</v>
      </c>
      <c r="C1383" t="s">
        <v>108</v>
      </c>
      <c r="D1383">
        <v>1</v>
      </c>
      <c r="E1383" s="1">
        <v>45761</v>
      </c>
      <c r="G1383">
        <v>3</v>
      </c>
      <c r="H1383" t="s">
        <v>578</v>
      </c>
      <c r="I1383" t="s">
        <v>570</v>
      </c>
      <c r="J1383" t="str">
        <f t="shared" si="63"/>
        <v>April</v>
      </c>
      <c r="K1383" t="str">
        <f t="shared" si="64"/>
        <v>Q2</v>
      </c>
      <c r="L1383">
        <f t="shared" si="65"/>
        <v>2025</v>
      </c>
    </row>
    <row r="1384" spans="1:12" x14ac:dyDescent="0.3">
      <c r="A1384" t="s">
        <v>2477</v>
      </c>
      <c r="B1384" t="s">
        <v>273</v>
      </c>
      <c r="C1384" t="s">
        <v>108</v>
      </c>
      <c r="D1384">
        <v>2</v>
      </c>
      <c r="E1384" s="1">
        <v>45765</v>
      </c>
      <c r="F1384" t="s">
        <v>621</v>
      </c>
      <c r="G1384">
        <v>4</v>
      </c>
      <c r="H1384" t="s">
        <v>581</v>
      </c>
      <c r="I1384" t="s">
        <v>570</v>
      </c>
      <c r="J1384" t="str">
        <f t="shared" si="63"/>
        <v>April</v>
      </c>
      <c r="K1384" t="str">
        <f t="shared" si="64"/>
        <v>Q2</v>
      </c>
      <c r="L1384">
        <f t="shared" si="65"/>
        <v>2025</v>
      </c>
    </row>
    <row r="1385" spans="1:12" x14ac:dyDescent="0.3">
      <c r="A1385" t="s">
        <v>2478</v>
      </c>
      <c r="B1385" t="s">
        <v>2479</v>
      </c>
      <c r="C1385" t="s">
        <v>58</v>
      </c>
      <c r="D1385">
        <v>1</v>
      </c>
      <c r="E1385" s="1">
        <v>45807</v>
      </c>
      <c r="F1385" t="s">
        <v>577</v>
      </c>
      <c r="G1385">
        <v>1</v>
      </c>
      <c r="H1385" t="s">
        <v>569</v>
      </c>
      <c r="I1385" t="s">
        <v>570</v>
      </c>
      <c r="J1385" t="str">
        <f t="shared" si="63"/>
        <v>May</v>
      </c>
      <c r="K1385" t="str">
        <f t="shared" si="64"/>
        <v>Q2</v>
      </c>
      <c r="L1385">
        <f t="shared" si="65"/>
        <v>2025</v>
      </c>
    </row>
    <row r="1386" spans="1:12" x14ac:dyDescent="0.3">
      <c r="A1386" t="s">
        <v>2480</v>
      </c>
      <c r="B1386" t="s">
        <v>2479</v>
      </c>
      <c r="C1386" t="s">
        <v>58</v>
      </c>
      <c r="D1386">
        <v>2</v>
      </c>
      <c r="E1386" s="1">
        <v>45819</v>
      </c>
      <c r="F1386" t="s">
        <v>603</v>
      </c>
      <c r="G1386">
        <v>2</v>
      </c>
      <c r="H1386" t="s">
        <v>569</v>
      </c>
      <c r="I1386" t="s">
        <v>570</v>
      </c>
      <c r="J1386" t="str">
        <f t="shared" si="63"/>
        <v>June</v>
      </c>
      <c r="K1386" t="str">
        <f t="shared" si="64"/>
        <v>Q2</v>
      </c>
      <c r="L1386">
        <f t="shared" si="65"/>
        <v>2025</v>
      </c>
    </row>
    <row r="1387" spans="1:12" x14ac:dyDescent="0.3">
      <c r="A1387" t="s">
        <v>2481</v>
      </c>
      <c r="B1387" t="s">
        <v>2479</v>
      </c>
      <c r="C1387" t="s">
        <v>58</v>
      </c>
      <c r="D1387">
        <v>3</v>
      </c>
      <c r="E1387" s="1">
        <v>45827</v>
      </c>
      <c r="F1387" t="s">
        <v>625</v>
      </c>
      <c r="G1387">
        <v>1</v>
      </c>
      <c r="H1387" t="s">
        <v>569</v>
      </c>
      <c r="I1387" t="s">
        <v>570</v>
      </c>
      <c r="J1387" t="str">
        <f t="shared" si="63"/>
        <v>June</v>
      </c>
      <c r="K1387" t="str">
        <f t="shared" si="64"/>
        <v>Q2</v>
      </c>
      <c r="L1387">
        <f t="shared" si="65"/>
        <v>2025</v>
      </c>
    </row>
    <row r="1388" spans="1:12" x14ac:dyDescent="0.3">
      <c r="A1388" t="s">
        <v>2482</v>
      </c>
      <c r="B1388" t="s">
        <v>2483</v>
      </c>
      <c r="C1388" t="s">
        <v>85</v>
      </c>
      <c r="D1388">
        <v>1</v>
      </c>
      <c r="E1388" s="1">
        <v>45855</v>
      </c>
      <c r="F1388" t="s">
        <v>580</v>
      </c>
      <c r="G1388">
        <v>4</v>
      </c>
      <c r="H1388" t="s">
        <v>581</v>
      </c>
      <c r="I1388" t="s">
        <v>570</v>
      </c>
      <c r="J1388" t="str">
        <f t="shared" si="63"/>
        <v>July</v>
      </c>
      <c r="K1388" t="str">
        <f t="shared" si="64"/>
        <v>Q3</v>
      </c>
      <c r="L1388">
        <f t="shared" si="65"/>
        <v>2025</v>
      </c>
    </row>
    <row r="1389" spans="1:12" x14ac:dyDescent="0.3">
      <c r="A1389" t="s">
        <v>2484</v>
      </c>
      <c r="B1389" t="s">
        <v>2483</v>
      </c>
      <c r="C1389" t="s">
        <v>85</v>
      </c>
      <c r="D1389">
        <v>2</v>
      </c>
      <c r="E1389" s="1">
        <v>45867</v>
      </c>
      <c r="F1389" t="s">
        <v>580</v>
      </c>
      <c r="G1389">
        <v>3</v>
      </c>
      <c r="H1389" t="s">
        <v>578</v>
      </c>
      <c r="I1389" t="s">
        <v>570</v>
      </c>
      <c r="J1389" t="str">
        <f t="shared" si="63"/>
        <v>July</v>
      </c>
      <c r="K1389" t="str">
        <f t="shared" si="64"/>
        <v>Q3</v>
      </c>
      <c r="L1389">
        <f t="shared" si="65"/>
        <v>2025</v>
      </c>
    </row>
    <row r="1390" spans="1:12" x14ac:dyDescent="0.3">
      <c r="A1390" t="s">
        <v>2485</v>
      </c>
      <c r="B1390" t="s">
        <v>2486</v>
      </c>
      <c r="C1390" t="s">
        <v>176</v>
      </c>
      <c r="D1390">
        <v>1</v>
      </c>
      <c r="E1390" s="1">
        <v>45705</v>
      </c>
      <c r="F1390" t="s">
        <v>572</v>
      </c>
      <c r="G1390">
        <v>2</v>
      </c>
      <c r="H1390" t="s">
        <v>569</v>
      </c>
      <c r="I1390" t="s">
        <v>570</v>
      </c>
      <c r="J1390" t="str">
        <f t="shared" si="63"/>
        <v>February</v>
      </c>
      <c r="K1390" t="str">
        <f t="shared" si="64"/>
        <v>Q1</v>
      </c>
      <c r="L1390">
        <f t="shared" si="65"/>
        <v>2025</v>
      </c>
    </row>
    <row r="1391" spans="1:12" x14ac:dyDescent="0.3">
      <c r="A1391" t="s">
        <v>2487</v>
      </c>
      <c r="B1391" t="s">
        <v>2486</v>
      </c>
      <c r="C1391" t="s">
        <v>176</v>
      </c>
      <c r="D1391">
        <v>2</v>
      </c>
      <c r="E1391" s="1">
        <v>45715</v>
      </c>
      <c r="F1391" t="s">
        <v>572</v>
      </c>
      <c r="G1391">
        <v>2</v>
      </c>
      <c r="H1391" t="s">
        <v>569</v>
      </c>
      <c r="I1391" t="s">
        <v>570</v>
      </c>
      <c r="J1391" t="str">
        <f t="shared" si="63"/>
        <v>February</v>
      </c>
      <c r="K1391" t="str">
        <f t="shared" si="64"/>
        <v>Q1</v>
      </c>
      <c r="L1391">
        <f t="shared" si="65"/>
        <v>2025</v>
      </c>
    </row>
    <row r="1392" spans="1:12" x14ac:dyDescent="0.3">
      <c r="A1392" t="s">
        <v>2488</v>
      </c>
      <c r="B1392" t="s">
        <v>2489</v>
      </c>
      <c r="C1392" t="s">
        <v>208</v>
      </c>
      <c r="D1392">
        <v>1</v>
      </c>
      <c r="E1392" s="1">
        <v>45807</v>
      </c>
      <c r="F1392" t="s">
        <v>580</v>
      </c>
      <c r="G1392">
        <v>2</v>
      </c>
      <c r="H1392" t="s">
        <v>569</v>
      </c>
      <c r="I1392" t="s">
        <v>570</v>
      </c>
      <c r="J1392" t="str">
        <f t="shared" si="63"/>
        <v>May</v>
      </c>
      <c r="K1392" t="str">
        <f t="shared" si="64"/>
        <v>Q2</v>
      </c>
      <c r="L1392">
        <f t="shared" si="65"/>
        <v>2025</v>
      </c>
    </row>
    <row r="1393" spans="1:12" x14ac:dyDescent="0.3">
      <c r="A1393" t="s">
        <v>2490</v>
      </c>
      <c r="B1393" t="s">
        <v>2489</v>
      </c>
      <c r="C1393" t="s">
        <v>208</v>
      </c>
      <c r="D1393">
        <v>2</v>
      </c>
      <c r="E1393" s="1">
        <v>45813</v>
      </c>
      <c r="F1393" t="s">
        <v>638</v>
      </c>
      <c r="G1393">
        <v>2</v>
      </c>
      <c r="H1393" t="s">
        <v>569</v>
      </c>
      <c r="I1393" t="s">
        <v>570</v>
      </c>
      <c r="J1393" t="str">
        <f t="shared" si="63"/>
        <v>June</v>
      </c>
      <c r="K1393" t="str">
        <f t="shared" si="64"/>
        <v>Q2</v>
      </c>
      <c r="L1393">
        <f t="shared" si="65"/>
        <v>2025</v>
      </c>
    </row>
    <row r="1394" spans="1:12" x14ac:dyDescent="0.3">
      <c r="A1394" t="s">
        <v>2491</v>
      </c>
      <c r="B1394" t="s">
        <v>2489</v>
      </c>
      <c r="C1394" t="s">
        <v>208</v>
      </c>
      <c r="D1394">
        <v>3</v>
      </c>
      <c r="E1394" s="1">
        <v>45817</v>
      </c>
      <c r="F1394" t="s">
        <v>592</v>
      </c>
      <c r="G1394">
        <v>1</v>
      </c>
      <c r="H1394" t="s">
        <v>569</v>
      </c>
      <c r="I1394" t="s">
        <v>570</v>
      </c>
      <c r="J1394" t="str">
        <f t="shared" si="63"/>
        <v>June</v>
      </c>
      <c r="K1394" t="str">
        <f t="shared" si="64"/>
        <v>Q2</v>
      </c>
      <c r="L1394">
        <f t="shared" si="65"/>
        <v>2025</v>
      </c>
    </row>
    <row r="1395" spans="1:12" x14ac:dyDescent="0.3">
      <c r="A1395" t="s">
        <v>2492</v>
      </c>
      <c r="B1395" t="s">
        <v>2489</v>
      </c>
      <c r="C1395" t="s">
        <v>208</v>
      </c>
      <c r="D1395">
        <v>4</v>
      </c>
      <c r="E1395" s="1">
        <v>45826</v>
      </c>
      <c r="F1395" t="s">
        <v>590</v>
      </c>
      <c r="G1395">
        <v>2</v>
      </c>
      <c r="H1395" t="s">
        <v>569</v>
      </c>
      <c r="I1395" t="s">
        <v>570</v>
      </c>
      <c r="J1395" t="str">
        <f t="shared" si="63"/>
        <v>June</v>
      </c>
      <c r="K1395" t="str">
        <f t="shared" si="64"/>
        <v>Q2</v>
      </c>
      <c r="L1395">
        <f t="shared" si="65"/>
        <v>2025</v>
      </c>
    </row>
    <row r="1396" spans="1:12" x14ac:dyDescent="0.3">
      <c r="A1396" t="s">
        <v>2493</v>
      </c>
      <c r="B1396" t="s">
        <v>2494</v>
      </c>
      <c r="C1396" t="s">
        <v>183</v>
      </c>
      <c r="D1396">
        <v>1</v>
      </c>
      <c r="E1396" s="1">
        <v>45856</v>
      </c>
      <c r="F1396" t="s">
        <v>656</v>
      </c>
      <c r="G1396">
        <v>3</v>
      </c>
      <c r="H1396" t="s">
        <v>578</v>
      </c>
      <c r="I1396" t="s">
        <v>570</v>
      </c>
      <c r="J1396" t="str">
        <f t="shared" si="63"/>
        <v>July</v>
      </c>
      <c r="K1396" t="str">
        <f t="shared" si="64"/>
        <v>Q3</v>
      </c>
      <c r="L1396">
        <f t="shared" si="65"/>
        <v>2025</v>
      </c>
    </row>
    <row r="1397" spans="1:12" x14ac:dyDescent="0.3">
      <c r="A1397" t="s">
        <v>2495</v>
      </c>
      <c r="B1397" t="s">
        <v>2494</v>
      </c>
      <c r="C1397" t="s">
        <v>183</v>
      </c>
      <c r="D1397">
        <v>2</v>
      </c>
      <c r="E1397" s="1">
        <v>45867</v>
      </c>
      <c r="F1397" t="s">
        <v>656</v>
      </c>
      <c r="G1397">
        <v>3</v>
      </c>
      <c r="H1397" t="s">
        <v>578</v>
      </c>
      <c r="I1397" t="s">
        <v>570</v>
      </c>
      <c r="J1397" t="str">
        <f t="shared" si="63"/>
        <v>July</v>
      </c>
      <c r="K1397" t="str">
        <f t="shared" si="64"/>
        <v>Q3</v>
      </c>
      <c r="L1397">
        <f t="shared" si="65"/>
        <v>2025</v>
      </c>
    </row>
    <row r="1398" spans="1:12" x14ac:dyDescent="0.3">
      <c r="A1398" t="s">
        <v>2496</v>
      </c>
      <c r="B1398" t="s">
        <v>321</v>
      </c>
      <c r="C1398" t="s">
        <v>147</v>
      </c>
      <c r="D1398">
        <v>1</v>
      </c>
      <c r="E1398" s="1">
        <v>45822</v>
      </c>
      <c r="F1398" t="s">
        <v>596</v>
      </c>
      <c r="G1398">
        <v>3</v>
      </c>
      <c r="H1398" t="s">
        <v>578</v>
      </c>
      <c r="I1398" t="s">
        <v>570</v>
      </c>
      <c r="J1398" t="str">
        <f t="shared" si="63"/>
        <v>June</v>
      </c>
      <c r="K1398" t="str">
        <f t="shared" si="64"/>
        <v>Q2</v>
      </c>
      <c r="L1398">
        <f t="shared" si="65"/>
        <v>2025</v>
      </c>
    </row>
    <row r="1399" spans="1:12" x14ac:dyDescent="0.3">
      <c r="A1399" t="s">
        <v>2497</v>
      </c>
      <c r="B1399" t="s">
        <v>321</v>
      </c>
      <c r="C1399" t="s">
        <v>147</v>
      </c>
      <c r="D1399">
        <v>2</v>
      </c>
      <c r="E1399" s="1">
        <v>45831</v>
      </c>
      <c r="F1399" t="s">
        <v>568</v>
      </c>
      <c r="G1399">
        <v>3</v>
      </c>
      <c r="H1399" t="s">
        <v>578</v>
      </c>
      <c r="I1399" t="s">
        <v>570</v>
      </c>
      <c r="J1399" t="str">
        <f t="shared" si="63"/>
        <v>June</v>
      </c>
      <c r="K1399" t="str">
        <f t="shared" si="64"/>
        <v>Q2</v>
      </c>
      <c r="L1399">
        <f t="shared" si="65"/>
        <v>2025</v>
      </c>
    </row>
    <row r="1400" spans="1:12" x14ac:dyDescent="0.3">
      <c r="A1400" t="s">
        <v>2498</v>
      </c>
      <c r="B1400" t="s">
        <v>321</v>
      </c>
      <c r="C1400" t="s">
        <v>147</v>
      </c>
      <c r="D1400">
        <v>3</v>
      </c>
      <c r="E1400" s="1">
        <v>45842</v>
      </c>
      <c r="G1400">
        <v>4</v>
      </c>
      <c r="H1400" t="s">
        <v>581</v>
      </c>
      <c r="I1400" t="s">
        <v>570</v>
      </c>
      <c r="J1400" t="str">
        <f t="shared" si="63"/>
        <v>July</v>
      </c>
      <c r="K1400" t="str">
        <f t="shared" si="64"/>
        <v>Q3</v>
      </c>
      <c r="L1400">
        <f t="shared" si="65"/>
        <v>2025</v>
      </c>
    </row>
    <row r="1401" spans="1:12" x14ac:dyDescent="0.3">
      <c r="A1401" t="s">
        <v>2499</v>
      </c>
      <c r="B1401" t="s">
        <v>2500</v>
      </c>
      <c r="C1401" t="s">
        <v>156</v>
      </c>
      <c r="D1401">
        <v>1</v>
      </c>
      <c r="E1401" s="1">
        <v>45730</v>
      </c>
      <c r="F1401" t="s">
        <v>741</v>
      </c>
      <c r="G1401">
        <v>4</v>
      </c>
      <c r="H1401" t="s">
        <v>581</v>
      </c>
      <c r="I1401" t="s">
        <v>570</v>
      </c>
      <c r="J1401" t="str">
        <f t="shared" si="63"/>
        <v>March</v>
      </c>
      <c r="K1401" t="str">
        <f t="shared" si="64"/>
        <v>Q1</v>
      </c>
      <c r="L1401">
        <f t="shared" si="65"/>
        <v>2025</v>
      </c>
    </row>
    <row r="1402" spans="1:12" x14ac:dyDescent="0.3">
      <c r="A1402" t="s">
        <v>2501</v>
      </c>
      <c r="B1402" t="s">
        <v>2502</v>
      </c>
      <c r="C1402" t="s">
        <v>51</v>
      </c>
      <c r="D1402">
        <v>1</v>
      </c>
      <c r="E1402" s="1">
        <v>45950</v>
      </c>
      <c r="F1402" t="s">
        <v>586</v>
      </c>
      <c r="G1402">
        <v>2</v>
      </c>
      <c r="H1402" t="s">
        <v>569</v>
      </c>
      <c r="I1402" t="s">
        <v>570</v>
      </c>
      <c r="J1402" t="str">
        <f t="shared" si="63"/>
        <v>October</v>
      </c>
      <c r="K1402" t="str">
        <f t="shared" si="64"/>
        <v>Q4</v>
      </c>
      <c r="L1402">
        <f t="shared" si="65"/>
        <v>2025</v>
      </c>
    </row>
    <row r="1403" spans="1:12" x14ac:dyDescent="0.3">
      <c r="A1403" t="s">
        <v>2503</v>
      </c>
      <c r="B1403" t="s">
        <v>2502</v>
      </c>
      <c r="C1403" t="s">
        <v>51</v>
      </c>
      <c r="D1403">
        <v>2</v>
      </c>
      <c r="E1403" s="1">
        <v>45958</v>
      </c>
      <c r="F1403" t="s">
        <v>596</v>
      </c>
      <c r="G1403">
        <v>3</v>
      </c>
      <c r="H1403" t="s">
        <v>578</v>
      </c>
      <c r="I1403" t="s">
        <v>570</v>
      </c>
      <c r="J1403" t="str">
        <f t="shared" si="63"/>
        <v>October</v>
      </c>
      <c r="K1403" t="str">
        <f t="shared" si="64"/>
        <v>Q4</v>
      </c>
      <c r="L1403">
        <f t="shared" si="65"/>
        <v>2025</v>
      </c>
    </row>
    <row r="1404" spans="1:12" x14ac:dyDescent="0.3">
      <c r="A1404" t="s">
        <v>2504</v>
      </c>
      <c r="B1404" t="s">
        <v>2502</v>
      </c>
      <c r="C1404" t="s">
        <v>51</v>
      </c>
      <c r="D1404">
        <v>3</v>
      </c>
      <c r="E1404" s="1">
        <v>45963</v>
      </c>
      <c r="F1404" t="s">
        <v>586</v>
      </c>
      <c r="G1404">
        <v>1</v>
      </c>
      <c r="H1404" t="s">
        <v>569</v>
      </c>
      <c r="I1404" t="s">
        <v>570</v>
      </c>
      <c r="J1404" t="str">
        <f t="shared" si="63"/>
        <v>November</v>
      </c>
      <c r="K1404" t="str">
        <f t="shared" si="64"/>
        <v>Q4</v>
      </c>
      <c r="L1404">
        <f t="shared" si="65"/>
        <v>2025</v>
      </c>
    </row>
    <row r="1405" spans="1:12" x14ac:dyDescent="0.3">
      <c r="A1405" t="s">
        <v>2505</v>
      </c>
      <c r="B1405" t="s">
        <v>2506</v>
      </c>
      <c r="C1405" t="s">
        <v>78</v>
      </c>
      <c r="D1405">
        <v>1</v>
      </c>
      <c r="E1405" s="1">
        <v>45913</v>
      </c>
      <c r="F1405" t="s">
        <v>663</v>
      </c>
      <c r="G1405">
        <v>3</v>
      </c>
      <c r="H1405" t="s">
        <v>578</v>
      </c>
      <c r="I1405" t="s">
        <v>570</v>
      </c>
      <c r="J1405" t="str">
        <f t="shared" si="63"/>
        <v>September</v>
      </c>
      <c r="K1405" t="str">
        <f t="shared" si="64"/>
        <v>Q3</v>
      </c>
      <c r="L1405">
        <f t="shared" si="65"/>
        <v>2025</v>
      </c>
    </row>
    <row r="1406" spans="1:12" x14ac:dyDescent="0.3">
      <c r="A1406" t="s">
        <v>2507</v>
      </c>
      <c r="B1406" t="s">
        <v>2508</v>
      </c>
      <c r="C1406" t="s">
        <v>16</v>
      </c>
      <c r="D1406">
        <v>1</v>
      </c>
      <c r="E1406" s="1">
        <v>45755</v>
      </c>
      <c r="F1406" t="s">
        <v>600</v>
      </c>
      <c r="G1406">
        <v>3</v>
      </c>
      <c r="H1406" t="s">
        <v>578</v>
      </c>
      <c r="I1406" t="s">
        <v>570</v>
      </c>
      <c r="J1406" t="str">
        <f t="shared" si="63"/>
        <v>April</v>
      </c>
      <c r="K1406" t="str">
        <f t="shared" si="64"/>
        <v>Q2</v>
      </c>
      <c r="L1406">
        <f t="shared" si="65"/>
        <v>2025</v>
      </c>
    </row>
    <row r="1407" spans="1:12" x14ac:dyDescent="0.3">
      <c r="A1407" t="s">
        <v>2509</v>
      </c>
      <c r="B1407" t="s">
        <v>2508</v>
      </c>
      <c r="C1407" t="s">
        <v>16</v>
      </c>
      <c r="D1407">
        <v>2</v>
      </c>
      <c r="E1407" s="1">
        <v>45767</v>
      </c>
      <c r="F1407" t="s">
        <v>600</v>
      </c>
      <c r="G1407">
        <v>4</v>
      </c>
      <c r="H1407" t="s">
        <v>581</v>
      </c>
      <c r="I1407" t="s">
        <v>570</v>
      </c>
      <c r="J1407" t="str">
        <f t="shared" si="63"/>
        <v>April</v>
      </c>
      <c r="K1407" t="str">
        <f t="shared" si="64"/>
        <v>Q2</v>
      </c>
      <c r="L1407">
        <f t="shared" si="65"/>
        <v>2025</v>
      </c>
    </row>
    <row r="1408" spans="1:12" x14ac:dyDescent="0.3">
      <c r="A1408" t="s">
        <v>2510</v>
      </c>
      <c r="B1408" t="s">
        <v>2508</v>
      </c>
      <c r="C1408" t="s">
        <v>16</v>
      </c>
      <c r="D1408">
        <v>3</v>
      </c>
      <c r="E1408" s="1">
        <v>45779</v>
      </c>
      <c r="F1408" t="s">
        <v>600</v>
      </c>
      <c r="G1408">
        <v>3</v>
      </c>
      <c r="H1408" t="s">
        <v>578</v>
      </c>
      <c r="I1408" t="s">
        <v>570</v>
      </c>
      <c r="J1408" t="str">
        <f t="shared" si="63"/>
        <v>May</v>
      </c>
      <c r="K1408" t="str">
        <f t="shared" si="64"/>
        <v>Q2</v>
      </c>
      <c r="L1408">
        <f t="shared" si="65"/>
        <v>2025</v>
      </c>
    </row>
    <row r="1409" spans="1:12" x14ac:dyDescent="0.3">
      <c r="A1409" t="s">
        <v>2511</v>
      </c>
      <c r="B1409" t="s">
        <v>2508</v>
      </c>
      <c r="C1409" t="s">
        <v>16</v>
      </c>
      <c r="D1409">
        <v>4</v>
      </c>
      <c r="E1409" s="1">
        <v>45783</v>
      </c>
      <c r="F1409" t="s">
        <v>600</v>
      </c>
      <c r="G1409">
        <v>4</v>
      </c>
      <c r="H1409" t="s">
        <v>581</v>
      </c>
      <c r="I1409" t="s">
        <v>570</v>
      </c>
      <c r="J1409" t="str">
        <f t="shared" si="63"/>
        <v>May</v>
      </c>
      <c r="K1409" t="str">
        <f t="shared" si="64"/>
        <v>Q2</v>
      </c>
      <c r="L1409">
        <f t="shared" si="65"/>
        <v>2025</v>
      </c>
    </row>
    <row r="1410" spans="1:12" x14ac:dyDescent="0.3">
      <c r="A1410" t="s">
        <v>2512</v>
      </c>
      <c r="B1410" t="s">
        <v>2513</v>
      </c>
      <c r="C1410" t="s">
        <v>374</v>
      </c>
      <c r="D1410">
        <v>1</v>
      </c>
      <c r="E1410" s="1">
        <v>45757</v>
      </c>
      <c r="F1410" t="s">
        <v>706</v>
      </c>
      <c r="G1410">
        <v>2</v>
      </c>
      <c r="H1410" t="s">
        <v>569</v>
      </c>
      <c r="I1410" t="s">
        <v>570</v>
      </c>
      <c r="J1410" t="str">
        <f t="shared" ref="J1410:J1473" si="66">TEXT(E1410,"mmmm")</f>
        <v>April</v>
      </c>
      <c r="K1410" t="str">
        <f t="shared" ref="K1410:K1473" si="67">"Q"&amp;ROUNDUP(MONTH(E1410)/3,0)</f>
        <v>Q2</v>
      </c>
      <c r="L1410">
        <f t="shared" ref="L1410:L1473" si="68">YEAR(E1410)</f>
        <v>2025</v>
      </c>
    </row>
    <row r="1411" spans="1:12" x14ac:dyDescent="0.3">
      <c r="A1411" t="s">
        <v>2514</v>
      </c>
      <c r="B1411" t="s">
        <v>2515</v>
      </c>
      <c r="C1411" t="s">
        <v>58</v>
      </c>
      <c r="D1411">
        <v>1</v>
      </c>
      <c r="E1411" s="1">
        <v>45808</v>
      </c>
      <c r="F1411" t="s">
        <v>577</v>
      </c>
      <c r="G1411">
        <v>1</v>
      </c>
      <c r="H1411" t="s">
        <v>569</v>
      </c>
      <c r="I1411" t="s">
        <v>570</v>
      </c>
      <c r="J1411" t="str">
        <f t="shared" si="66"/>
        <v>May</v>
      </c>
      <c r="K1411" t="str">
        <f t="shared" si="67"/>
        <v>Q2</v>
      </c>
      <c r="L1411">
        <f t="shared" si="68"/>
        <v>2025</v>
      </c>
    </row>
    <row r="1412" spans="1:12" x14ac:dyDescent="0.3">
      <c r="A1412" t="s">
        <v>2516</v>
      </c>
      <c r="B1412" t="s">
        <v>2517</v>
      </c>
      <c r="C1412" t="s">
        <v>99</v>
      </c>
      <c r="D1412">
        <v>1</v>
      </c>
      <c r="E1412" s="1">
        <v>45854</v>
      </c>
      <c r="F1412" t="s">
        <v>625</v>
      </c>
      <c r="G1412">
        <v>2</v>
      </c>
      <c r="H1412" t="s">
        <v>569</v>
      </c>
      <c r="I1412" t="s">
        <v>570</v>
      </c>
      <c r="J1412" t="str">
        <f t="shared" si="66"/>
        <v>July</v>
      </c>
      <c r="K1412" t="str">
        <f t="shared" si="67"/>
        <v>Q3</v>
      </c>
      <c r="L1412">
        <f t="shared" si="68"/>
        <v>2025</v>
      </c>
    </row>
    <row r="1413" spans="1:12" x14ac:dyDescent="0.3">
      <c r="A1413" t="s">
        <v>2518</v>
      </c>
      <c r="B1413" t="s">
        <v>2519</v>
      </c>
      <c r="C1413" t="s">
        <v>191</v>
      </c>
      <c r="D1413">
        <v>1</v>
      </c>
      <c r="E1413" s="1">
        <v>45664</v>
      </c>
      <c r="F1413" t="s">
        <v>741</v>
      </c>
      <c r="G1413">
        <v>1</v>
      </c>
      <c r="H1413" t="s">
        <v>569</v>
      </c>
      <c r="I1413" t="s">
        <v>570</v>
      </c>
      <c r="J1413" t="str">
        <f t="shared" si="66"/>
        <v>January</v>
      </c>
      <c r="K1413" t="str">
        <f t="shared" si="67"/>
        <v>Q1</v>
      </c>
      <c r="L1413">
        <f t="shared" si="68"/>
        <v>2025</v>
      </c>
    </row>
    <row r="1414" spans="1:12" x14ac:dyDescent="0.3">
      <c r="A1414" t="s">
        <v>2520</v>
      </c>
      <c r="B1414" t="s">
        <v>2521</v>
      </c>
      <c r="C1414" t="s">
        <v>156</v>
      </c>
      <c r="D1414">
        <v>1</v>
      </c>
      <c r="E1414" s="1">
        <v>45730</v>
      </c>
      <c r="F1414" t="s">
        <v>638</v>
      </c>
      <c r="G1414">
        <v>1</v>
      </c>
      <c r="H1414" t="s">
        <v>569</v>
      </c>
      <c r="I1414" t="s">
        <v>570</v>
      </c>
      <c r="J1414" t="str">
        <f t="shared" si="66"/>
        <v>March</v>
      </c>
      <c r="K1414" t="str">
        <f t="shared" si="67"/>
        <v>Q1</v>
      </c>
      <c r="L1414">
        <f t="shared" si="68"/>
        <v>2025</v>
      </c>
    </row>
    <row r="1415" spans="1:12" x14ac:dyDescent="0.3">
      <c r="A1415" t="s">
        <v>2522</v>
      </c>
      <c r="B1415" t="s">
        <v>2521</v>
      </c>
      <c r="C1415" t="s">
        <v>156</v>
      </c>
      <c r="D1415">
        <v>2</v>
      </c>
      <c r="E1415" s="1">
        <v>45736</v>
      </c>
      <c r="F1415" t="s">
        <v>580</v>
      </c>
      <c r="G1415">
        <v>2</v>
      </c>
      <c r="H1415" t="s">
        <v>569</v>
      </c>
      <c r="I1415" t="s">
        <v>570</v>
      </c>
      <c r="J1415" t="str">
        <f t="shared" si="66"/>
        <v>March</v>
      </c>
      <c r="K1415" t="str">
        <f t="shared" si="67"/>
        <v>Q1</v>
      </c>
      <c r="L1415">
        <f t="shared" si="68"/>
        <v>2025</v>
      </c>
    </row>
    <row r="1416" spans="1:12" x14ac:dyDescent="0.3">
      <c r="A1416" t="s">
        <v>2523</v>
      </c>
      <c r="B1416" t="s">
        <v>2521</v>
      </c>
      <c r="C1416" t="s">
        <v>156</v>
      </c>
      <c r="D1416">
        <v>3</v>
      </c>
      <c r="E1416" s="1">
        <v>45747</v>
      </c>
      <c r="F1416" t="s">
        <v>592</v>
      </c>
      <c r="G1416">
        <v>2</v>
      </c>
      <c r="H1416" t="s">
        <v>569</v>
      </c>
      <c r="I1416" t="s">
        <v>597</v>
      </c>
      <c r="J1416" t="str">
        <f t="shared" si="66"/>
        <v>March</v>
      </c>
      <c r="K1416" t="str">
        <f t="shared" si="67"/>
        <v>Q1</v>
      </c>
      <c r="L1416">
        <f t="shared" si="68"/>
        <v>2025</v>
      </c>
    </row>
    <row r="1417" spans="1:12" x14ac:dyDescent="0.3">
      <c r="A1417" t="s">
        <v>2524</v>
      </c>
      <c r="B1417" t="s">
        <v>2521</v>
      </c>
      <c r="C1417" t="s">
        <v>156</v>
      </c>
      <c r="D1417">
        <v>4</v>
      </c>
      <c r="E1417" s="1">
        <v>45757</v>
      </c>
      <c r="F1417" t="s">
        <v>766</v>
      </c>
      <c r="G1417">
        <v>1</v>
      </c>
      <c r="H1417" t="s">
        <v>569</v>
      </c>
      <c r="I1417" t="s">
        <v>570</v>
      </c>
      <c r="J1417" t="str">
        <f t="shared" si="66"/>
        <v>April</v>
      </c>
      <c r="K1417" t="str">
        <f t="shared" si="67"/>
        <v>Q2</v>
      </c>
      <c r="L1417">
        <f t="shared" si="68"/>
        <v>2025</v>
      </c>
    </row>
    <row r="1418" spans="1:12" x14ac:dyDescent="0.3">
      <c r="A1418" t="s">
        <v>2525</v>
      </c>
      <c r="B1418" t="s">
        <v>2526</v>
      </c>
      <c r="C1418" t="s">
        <v>183</v>
      </c>
      <c r="D1418">
        <v>1</v>
      </c>
      <c r="E1418" s="1">
        <v>45858</v>
      </c>
      <c r="F1418" t="s">
        <v>625</v>
      </c>
      <c r="G1418">
        <v>3</v>
      </c>
      <c r="H1418" t="s">
        <v>578</v>
      </c>
      <c r="I1418" t="s">
        <v>570</v>
      </c>
      <c r="J1418" t="str">
        <f t="shared" si="66"/>
        <v>July</v>
      </c>
      <c r="K1418" t="str">
        <f t="shared" si="67"/>
        <v>Q3</v>
      </c>
      <c r="L1418">
        <f t="shared" si="68"/>
        <v>2025</v>
      </c>
    </row>
    <row r="1419" spans="1:12" x14ac:dyDescent="0.3">
      <c r="A1419" t="s">
        <v>2527</v>
      </c>
      <c r="B1419" t="s">
        <v>2526</v>
      </c>
      <c r="C1419" t="s">
        <v>183</v>
      </c>
      <c r="D1419">
        <v>2</v>
      </c>
      <c r="E1419" s="1">
        <v>45865</v>
      </c>
      <c r="F1419" t="s">
        <v>625</v>
      </c>
      <c r="G1419">
        <v>1</v>
      </c>
      <c r="H1419" t="s">
        <v>569</v>
      </c>
      <c r="I1419" t="s">
        <v>570</v>
      </c>
      <c r="J1419" t="str">
        <f t="shared" si="66"/>
        <v>July</v>
      </c>
      <c r="K1419" t="str">
        <f t="shared" si="67"/>
        <v>Q3</v>
      </c>
      <c r="L1419">
        <f t="shared" si="68"/>
        <v>2025</v>
      </c>
    </row>
    <row r="1420" spans="1:12" x14ac:dyDescent="0.3">
      <c r="A1420" t="s">
        <v>2528</v>
      </c>
      <c r="B1420" t="s">
        <v>297</v>
      </c>
      <c r="C1420" t="s">
        <v>298</v>
      </c>
      <c r="D1420">
        <v>1</v>
      </c>
      <c r="E1420" s="1">
        <v>45899</v>
      </c>
      <c r="F1420" t="s">
        <v>649</v>
      </c>
      <c r="G1420">
        <v>3</v>
      </c>
      <c r="H1420" t="s">
        <v>578</v>
      </c>
      <c r="I1420" t="s">
        <v>570</v>
      </c>
      <c r="J1420" t="str">
        <f t="shared" si="66"/>
        <v>August</v>
      </c>
      <c r="K1420" t="str">
        <f t="shared" si="67"/>
        <v>Q3</v>
      </c>
      <c r="L1420">
        <f t="shared" si="68"/>
        <v>2025</v>
      </c>
    </row>
    <row r="1421" spans="1:12" x14ac:dyDescent="0.3">
      <c r="A1421" t="s">
        <v>2529</v>
      </c>
      <c r="B1421" t="s">
        <v>297</v>
      </c>
      <c r="C1421" t="s">
        <v>298</v>
      </c>
      <c r="D1421">
        <v>2</v>
      </c>
      <c r="E1421" s="1">
        <v>45908</v>
      </c>
      <c r="F1421" t="s">
        <v>625</v>
      </c>
      <c r="G1421">
        <v>4</v>
      </c>
      <c r="H1421" t="s">
        <v>581</v>
      </c>
      <c r="I1421" t="s">
        <v>570</v>
      </c>
      <c r="J1421" t="str">
        <f t="shared" si="66"/>
        <v>September</v>
      </c>
      <c r="K1421" t="str">
        <f t="shared" si="67"/>
        <v>Q3</v>
      </c>
      <c r="L1421">
        <f t="shared" si="68"/>
        <v>2025</v>
      </c>
    </row>
    <row r="1422" spans="1:12" x14ac:dyDescent="0.3">
      <c r="A1422" t="s">
        <v>2530</v>
      </c>
      <c r="B1422" t="s">
        <v>2531</v>
      </c>
      <c r="C1422" t="s">
        <v>195</v>
      </c>
      <c r="D1422">
        <v>1</v>
      </c>
      <c r="E1422" s="1">
        <v>45858</v>
      </c>
      <c r="F1422" t="s">
        <v>632</v>
      </c>
      <c r="G1422">
        <v>4</v>
      </c>
      <c r="H1422" t="s">
        <v>581</v>
      </c>
      <c r="I1422" t="s">
        <v>597</v>
      </c>
      <c r="J1422" t="str">
        <f t="shared" si="66"/>
        <v>July</v>
      </c>
      <c r="K1422" t="str">
        <f t="shared" si="67"/>
        <v>Q3</v>
      </c>
      <c r="L1422">
        <f t="shared" si="68"/>
        <v>2025</v>
      </c>
    </row>
    <row r="1423" spans="1:12" x14ac:dyDescent="0.3">
      <c r="A1423" t="s">
        <v>2532</v>
      </c>
      <c r="B1423" t="s">
        <v>275</v>
      </c>
      <c r="C1423" t="s">
        <v>16</v>
      </c>
      <c r="D1423">
        <v>1</v>
      </c>
      <c r="E1423" s="1">
        <v>45756</v>
      </c>
      <c r="F1423" t="s">
        <v>600</v>
      </c>
      <c r="G1423">
        <v>4</v>
      </c>
      <c r="H1423" t="s">
        <v>581</v>
      </c>
      <c r="I1423" t="s">
        <v>570</v>
      </c>
      <c r="J1423" t="str">
        <f t="shared" si="66"/>
        <v>April</v>
      </c>
      <c r="K1423" t="str">
        <f t="shared" si="67"/>
        <v>Q2</v>
      </c>
      <c r="L1423">
        <f t="shared" si="68"/>
        <v>2025</v>
      </c>
    </row>
    <row r="1424" spans="1:12" x14ac:dyDescent="0.3">
      <c r="A1424" t="s">
        <v>2533</v>
      </c>
      <c r="B1424" t="s">
        <v>2534</v>
      </c>
      <c r="C1424" t="s">
        <v>292</v>
      </c>
      <c r="D1424">
        <v>1</v>
      </c>
      <c r="E1424" s="1">
        <v>45715</v>
      </c>
      <c r="F1424" t="s">
        <v>586</v>
      </c>
      <c r="G1424">
        <v>1</v>
      </c>
      <c r="H1424" t="s">
        <v>569</v>
      </c>
      <c r="I1424" t="s">
        <v>570</v>
      </c>
      <c r="J1424" t="str">
        <f t="shared" si="66"/>
        <v>February</v>
      </c>
      <c r="K1424" t="str">
        <f t="shared" si="67"/>
        <v>Q1</v>
      </c>
      <c r="L1424">
        <f t="shared" si="68"/>
        <v>2025</v>
      </c>
    </row>
    <row r="1425" spans="1:12" x14ac:dyDescent="0.3">
      <c r="A1425" t="s">
        <v>2535</v>
      </c>
      <c r="B1425" t="s">
        <v>2534</v>
      </c>
      <c r="C1425" t="s">
        <v>292</v>
      </c>
      <c r="D1425">
        <v>2</v>
      </c>
      <c r="E1425" s="1">
        <v>45726</v>
      </c>
      <c r="F1425" t="s">
        <v>572</v>
      </c>
      <c r="G1425">
        <v>2</v>
      </c>
      <c r="H1425" t="s">
        <v>569</v>
      </c>
      <c r="I1425" t="s">
        <v>570</v>
      </c>
      <c r="J1425" t="str">
        <f t="shared" si="66"/>
        <v>March</v>
      </c>
      <c r="K1425" t="str">
        <f t="shared" si="67"/>
        <v>Q1</v>
      </c>
      <c r="L1425">
        <f t="shared" si="68"/>
        <v>2025</v>
      </c>
    </row>
    <row r="1426" spans="1:12" x14ac:dyDescent="0.3">
      <c r="A1426" t="s">
        <v>2536</v>
      </c>
      <c r="B1426" t="s">
        <v>2537</v>
      </c>
      <c r="C1426" t="s">
        <v>73</v>
      </c>
      <c r="D1426">
        <v>1</v>
      </c>
      <c r="E1426" s="1">
        <v>45805</v>
      </c>
      <c r="F1426" t="s">
        <v>988</v>
      </c>
      <c r="G1426">
        <v>2</v>
      </c>
      <c r="H1426" t="s">
        <v>569</v>
      </c>
      <c r="I1426" t="s">
        <v>570</v>
      </c>
      <c r="J1426" t="str">
        <f t="shared" si="66"/>
        <v>May</v>
      </c>
      <c r="K1426" t="str">
        <f t="shared" si="67"/>
        <v>Q2</v>
      </c>
      <c r="L1426">
        <f t="shared" si="68"/>
        <v>2025</v>
      </c>
    </row>
    <row r="1427" spans="1:12" x14ac:dyDescent="0.3">
      <c r="A1427" t="s">
        <v>2538</v>
      </c>
      <c r="B1427" t="s">
        <v>2537</v>
      </c>
      <c r="C1427" t="s">
        <v>73</v>
      </c>
      <c r="D1427">
        <v>2</v>
      </c>
      <c r="E1427" s="1">
        <v>45810</v>
      </c>
      <c r="F1427" t="s">
        <v>988</v>
      </c>
      <c r="G1427">
        <v>1</v>
      </c>
      <c r="H1427" t="s">
        <v>569</v>
      </c>
      <c r="I1427" t="s">
        <v>570</v>
      </c>
      <c r="J1427" t="str">
        <f t="shared" si="66"/>
        <v>June</v>
      </c>
      <c r="K1427" t="str">
        <f t="shared" si="67"/>
        <v>Q2</v>
      </c>
      <c r="L1427">
        <f t="shared" si="68"/>
        <v>2025</v>
      </c>
    </row>
    <row r="1428" spans="1:12" x14ac:dyDescent="0.3">
      <c r="A1428" t="s">
        <v>2539</v>
      </c>
      <c r="B1428" t="s">
        <v>2540</v>
      </c>
      <c r="C1428" t="s">
        <v>88</v>
      </c>
      <c r="D1428">
        <v>1</v>
      </c>
      <c r="E1428" s="1">
        <v>45758</v>
      </c>
      <c r="F1428" t="s">
        <v>575</v>
      </c>
      <c r="G1428">
        <v>1</v>
      </c>
      <c r="H1428" t="s">
        <v>569</v>
      </c>
      <c r="I1428" t="s">
        <v>570</v>
      </c>
      <c r="J1428" t="str">
        <f t="shared" si="66"/>
        <v>April</v>
      </c>
      <c r="K1428" t="str">
        <f t="shared" si="67"/>
        <v>Q2</v>
      </c>
      <c r="L1428">
        <f t="shared" si="68"/>
        <v>2025</v>
      </c>
    </row>
    <row r="1429" spans="1:12" x14ac:dyDescent="0.3">
      <c r="A1429" t="s">
        <v>2541</v>
      </c>
      <c r="B1429" t="s">
        <v>2540</v>
      </c>
      <c r="C1429" t="s">
        <v>88</v>
      </c>
      <c r="D1429">
        <v>2</v>
      </c>
      <c r="E1429" s="1">
        <v>45764</v>
      </c>
      <c r="F1429" t="s">
        <v>638</v>
      </c>
      <c r="G1429">
        <v>1</v>
      </c>
      <c r="H1429" t="s">
        <v>569</v>
      </c>
      <c r="I1429" t="s">
        <v>570</v>
      </c>
      <c r="J1429" t="str">
        <f t="shared" si="66"/>
        <v>April</v>
      </c>
      <c r="K1429" t="str">
        <f t="shared" si="67"/>
        <v>Q2</v>
      </c>
      <c r="L1429">
        <f t="shared" si="68"/>
        <v>2025</v>
      </c>
    </row>
    <row r="1430" spans="1:12" x14ac:dyDescent="0.3">
      <c r="A1430" t="s">
        <v>2542</v>
      </c>
      <c r="B1430" t="s">
        <v>519</v>
      </c>
      <c r="C1430" t="s">
        <v>22</v>
      </c>
      <c r="D1430">
        <v>1</v>
      </c>
      <c r="E1430" s="1">
        <v>45845</v>
      </c>
      <c r="F1430" t="s">
        <v>572</v>
      </c>
      <c r="G1430">
        <v>4</v>
      </c>
      <c r="H1430" t="s">
        <v>581</v>
      </c>
      <c r="I1430" t="s">
        <v>570</v>
      </c>
      <c r="J1430" t="str">
        <f t="shared" si="66"/>
        <v>July</v>
      </c>
      <c r="K1430" t="str">
        <f t="shared" si="67"/>
        <v>Q3</v>
      </c>
      <c r="L1430">
        <f t="shared" si="68"/>
        <v>2025</v>
      </c>
    </row>
    <row r="1431" spans="1:12" x14ac:dyDescent="0.3">
      <c r="A1431" t="s">
        <v>2543</v>
      </c>
      <c r="B1431" t="s">
        <v>519</v>
      </c>
      <c r="C1431" t="s">
        <v>22</v>
      </c>
      <c r="D1431">
        <v>2</v>
      </c>
      <c r="E1431" s="1">
        <v>45849</v>
      </c>
      <c r="F1431" t="s">
        <v>612</v>
      </c>
      <c r="G1431">
        <v>2</v>
      </c>
      <c r="H1431" t="s">
        <v>569</v>
      </c>
      <c r="I1431" t="s">
        <v>570</v>
      </c>
      <c r="J1431" t="str">
        <f t="shared" si="66"/>
        <v>July</v>
      </c>
      <c r="K1431" t="str">
        <f t="shared" si="67"/>
        <v>Q3</v>
      </c>
      <c r="L1431">
        <f t="shared" si="68"/>
        <v>2025</v>
      </c>
    </row>
    <row r="1432" spans="1:12" x14ac:dyDescent="0.3">
      <c r="A1432" t="s">
        <v>2544</v>
      </c>
      <c r="B1432" t="s">
        <v>519</v>
      </c>
      <c r="C1432" t="s">
        <v>22</v>
      </c>
      <c r="D1432">
        <v>3</v>
      </c>
      <c r="E1432" s="1">
        <v>45857</v>
      </c>
      <c r="F1432" t="s">
        <v>577</v>
      </c>
      <c r="G1432">
        <v>4</v>
      </c>
      <c r="H1432" t="s">
        <v>581</v>
      </c>
      <c r="I1432" t="s">
        <v>570</v>
      </c>
      <c r="J1432" t="str">
        <f t="shared" si="66"/>
        <v>July</v>
      </c>
      <c r="K1432" t="str">
        <f t="shared" si="67"/>
        <v>Q3</v>
      </c>
      <c r="L1432">
        <f t="shared" si="68"/>
        <v>2025</v>
      </c>
    </row>
    <row r="1433" spans="1:12" x14ac:dyDescent="0.3">
      <c r="A1433" t="s">
        <v>2545</v>
      </c>
      <c r="B1433" t="s">
        <v>2546</v>
      </c>
      <c r="C1433" t="s">
        <v>41</v>
      </c>
      <c r="D1433">
        <v>1</v>
      </c>
      <c r="E1433" s="1">
        <v>45822</v>
      </c>
      <c r="F1433" t="s">
        <v>572</v>
      </c>
      <c r="G1433">
        <v>2</v>
      </c>
      <c r="H1433" t="s">
        <v>569</v>
      </c>
      <c r="I1433" t="s">
        <v>570</v>
      </c>
      <c r="J1433" t="str">
        <f t="shared" si="66"/>
        <v>June</v>
      </c>
      <c r="K1433" t="str">
        <f t="shared" si="67"/>
        <v>Q2</v>
      </c>
      <c r="L1433">
        <f t="shared" si="68"/>
        <v>2025</v>
      </c>
    </row>
    <row r="1434" spans="1:12" x14ac:dyDescent="0.3">
      <c r="A1434" t="s">
        <v>2547</v>
      </c>
      <c r="B1434" t="s">
        <v>2546</v>
      </c>
      <c r="C1434" t="s">
        <v>41</v>
      </c>
      <c r="D1434">
        <v>2</v>
      </c>
      <c r="E1434" s="1">
        <v>45828</v>
      </c>
      <c r="F1434" t="s">
        <v>572</v>
      </c>
      <c r="G1434">
        <v>1</v>
      </c>
      <c r="H1434" t="s">
        <v>569</v>
      </c>
      <c r="I1434" t="s">
        <v>570</v>
      </c>
      <c r="J1434" t="str">
        <f t="shared" si="66"/>
        <v>June</v>
      </c>
      <c r="K1434" t="str">
        <f t="shared" si="67"/>
        <v>Q2</v>
      </c>
      <c r="L1434">
        <f t="shared" si="68"/>
        <v>2025</v>
      </c>
    </row>
    <row r="1435" spans="1:12" x14ac:dyDescent="0.3">
      <c r="A1435" t="s">
        <v>2548</v>
      </c>
      <c r="B1435" t="s">
        <v>2549</v>
      </c>
      <c r="C1435" t="s">
        <v>92</v>
      </c>
      <c r="D1435">
        <v>1</v>
      </c>
      <c r="E1435" s="1">
        <v>45771</v>
      </c>
      <c r="F1435" t="s">
        <v>605</v>
      </c>
      <c r="G1435">
        <v>2</v>
      </c>
      <c r="H1435" t="s">
        <v>569</v>
      </c>
      <c r="I1435" t="s">
        <v>597</v>
      </c>
      <c r="J1435" t="str">
        <f t="shared" si="66"/>
        <v>April</v>
      </c>
      <c r="K1435" t="str">
        <f t="shared" si="67"/>
        <v>Q2</v>
      </c>
      <c r="L1435">
        <f t="shared" si="68"/>
        <v>2025</v>
      </c>
    </row>
    <row r="1436" spans="1:12" x14ac:dyDescent="0.3">
      <c r="A1436" t="s">
        <v>2550</v>
      </c>
      <c r="B1436" t="s">
        <v>2549</v>
      </c>
      <c r="C1436" t="s">
        <v>92</v>
      </c>
      <c r="D1436">
        <v>2</v>
      </c>
      <c r="E1436" s="1">
        <v>45782</v>
      </c>
      <c r="F1436" t="s">
        <v>603</v>
      </c>
      <c r="G1436">
        <v>2</v>
      </c>
      <c r="H1436" t="s">
        <v>569</v>
      </c>
      <c r="I1436" t="s">
        <v>570</v>
      </c>
      <c r="J1436" t="str">
        <f t="shared" si="66"/>
        <v>May</v>
      </c>
      <c r="K1436" t="str">
        <f t="shared" si="67"/>
        <v>Q2</v>
      </c>
      <c r="L1436">
        <f t="shared" si="68"/>
        <v>2025</v>
      </c>
    </row>
    <row r="1437" spans="1:12" x14ac:dyDescent="0.3">
      <c r="A1437" t="s">
        <v>2551</v>
      </c>
      <c r="B1437" t="s">
        <v>2549</v>
      </c>
      <c r="C1437" t="s">
        <v>92</v>
      </c>
      <c r="D1437">
        <v>3</v>
      </c>
      <c r="E1437" s="1">
        <v>45786</v>
      </c>
      <c r="F1437" t="s">
        <v>625</v>
      </c>
      <c r="G1437">
        <v>3</v>
      </c>
      <c r="H1437" t="s">
        <v>578</v>
      </c>
      <c r="I1437" t="s">
        <v>570</v>
      </c>
      <c r="J1437" t="str">
        <f t="shared" si="66"/>
        <v>May</v>
      </c>
      <c r="K1437" t="str">
        <f t="shared" si="67"/>
        <v>Q2</v>
      </c>
      <c r="L1437">
        <f t="shared" si="68"/>
        <v>2025</v>
      </c>
    </row>
    <row r="1438" spans="1:12" x14ac:dyDescent="0.3">
      <c r="A1438" t="s">
        <v>2552</v>
      </c>
      <c r="B1438" t="s">
        <v>2549</v>
      </c>
      <c r="C1438" t="s">
        <v>92</v>
      </c>
      <c r="D1438">
        <v>4</v>
      </c>
      <c r="E1438" s="1">
        <v>45792</v>
      </c>
      <c r="F1438" t="s">
        <v>612</v>
      </c>
      <c r="G1438">
        <v>5</v>
      </c>
      <c r="H1438" t="s">
        <v>581</v>
      </c>
      <c r="I1438" t="s">
        <v>608</v>
      </c>
      <c r="J1438" t="str">
        <f t="shared" si="66"/>
        <v>May</v>
      </c>
      <c r="K1438" t="str">
        <f t="shared" si="67"/>
        <v>Q2</v>
      </c>
      <c r="L1438">
        <f t="shared" si="68"/>
        <v>2025</v>
      </c>
    </row>
    <row r="1439" spans="1:12" x14ac:dyDescent="0.3">
      <c r="A1439" t="s">
        <v>2553</v>
      </c>
      <c r="B1439" t="s">
        <v>2554</v>
      </c>
      <c r="C1439" t="s">
        <v>99</v>
      </c>
      <c r="D1439">
        <v>1</v>
      </c>
      <c r="E1439" s="1">
        <v>45857</v>
      </c>
      <c r="F1439" t="s">
        <v>658</v>
      </c>
      <c r="G1439">
        <v>1</v>
      </c>
      <c r="H1439" t="s">
        <v>569</v>
      </c>
      <c r="I1439" t="s">
        <v>597</v>
      </c>
      <c r="J1439" t="str">
        <f t="shared" si="66"/>
        <v>July</v>
      </c>
      <c r="K1439" t="str">
        <f t="shared" si="67"/>
        <v>Q3</v>
      </c>
      <c r="L1439">
        <f t="shared" si="68"/>
        <v>2025</v>
      </c>
    </row>
    <row r="1440" spans="1:12" x14ac:dyDescent="0.3">
      <c r="A1440" t="s">
        <v>2555</v>
      </c>
      <c r="B1440" t="s">
        <v>2556</v>
      </c>
      <c r="C1440" t="s">
        <v>99</v>
      </c>
      <c r="D1440">
        <v>1</v>
      </c>
      <c r="E1440" s="1">
        <v>45856</v>
      </c>
      <c r="F1440" t="s">
        <v>584</v>
      </c>
      <c r="G1440">
        <v>2</v>
      </c>
      <c r="H1440" t="s">
        <v>569</v>
      </c>
      <c r="I1440" t="s">
        <v>570</v>
      </c>
      <c r="J1440" t="str">
        <f t="shared" si="66"/>
        <v>July</v>
      </c>
      <c r="K1440" t="str">
        <f t="shared" si="67"/>
        <v>Q3</v>
      </c>
      <c r="L1440">
        <f t="shared" si="68"/>
        <v>2025</v>
      </c>
    </row>
    <row r="1441" spans="1:12" x14ac:dyDescent="0.3">
      <c r="A1441" t="s">
        <v>2557</v>
      </c>
      <c r="B1441" t="s">
        <v>2556</v>
      </c>
      <c r="C1441" t="s">
        <v>99</v>
      </c>
      <c r="D1441">
        <v>2</v>
      </c>
      <c r="E1441" s="1">
        <v>45861</v>
      </c>
      <c r="F1441" t="s">
        <v>625</v>
      </c>
      <c r="G1441">
        <v>3</v>
      </c>
      <c r="H1441" t="s">
        <v>578</v>
      </c>
      <c r="I1441" t="s">
        <v>570</v>
      </c>
      <c r="J1441" t="str">
        <f t="shared" si="66"/>
        <v>July</v>
      </c>
      <c r="K1441" t="str">
        <f t="shared" si="67"/>
        <v>Q3</v>
      </c>
      <c r="L1441">
        <f t="shared" si="68"/>
        <v>2025</v>
      </c>
    </row>
    <row r="1442" spans="1:12" x14ac:dyDescent="0.3">
      <c r="A1442" t="s">
        <v>2558</v>
      </c>
      <c r="B1442" t="s">
        <v>2559</v>
      </c>
      <c r="C1442" t="s">
        <v>92</v>
      </c>
      <c r="D1442">
        <v>1</v>
      </c>
      <c r="E1442" s="1">
        <v>45765</v>
      </c>
      <c r="F1442" t="s">
        <v>625</v>
      </c>
      <c r="G1442">
        <v>2</v>
      </c>
      <c r="H1442" t="s">
        <v>569</v>
      </c>
      <c r="I1442" t="s">
        <v>570</v>
      </c>
      <c r="J1442" t="str">
        <f t="shared" si="66"/>
        <v>April</v>
      </c>
      <c r="K1442" t="str">
        <f t="shared" si="67"/>
        <v>Q2</v>
      </c>
      <c r="L1442">
        <f t="shared" si="68"/>
        <v>2025</v>
      </c>
    </row>
    <row r="1443" spans="1:12" x14ac:dyDescent="0.3">
      <c r="A1443" t="s">
        <v>2560</v>
      </c>
      <c r="B1443" t="s">
        <v>2559</v>
      </c>
      <c r="C1443" t="s">
        <v>92</v>
      </c>
      <c r="D1443">
        <v>2</v>
      </c>
      <c r="E1443" s="1">
        <v>45777</v>
      </c>
      <c r="F1443" t="s">
        <v>572</v>
      </c>
      <c r="G1443">
        <v>2</v>
      </c>
      <c r="H1443" t="s">
        <v>569</v>
      </c>
      <c r="I1443" t="s">
        <v>570</v>
      </c>
      <c r="J1443" t="str">
        <f t="shared" si="66"/>
        <v>April</v>
      </c>
      <c r="K1443" t="str">
        <f t="shared" si="67"/>
        <v>Q2</v>
      </c>
      <c r="L1443">
        <f t="shared" si="68"/>
        <v>2025</v>
      </c>
    </row>
    <row r="1444" spans="1:12" x14ac:dyDescent="0.3">
      <c r="A1444" t="s">
        <v>2561</v>
      </c>
      <c r="B1444" t="s">
        <v>2559</v>
      </c>
      <c r="C1444" t="s">
        <v>92</v>
      </c>
      <c r="D1444">
        <v>3</v>
      </c>
      <c r="E1444" s="1">
        <v>45783</v>
      </c>
      <c r="F1444" t="s">
        <v>605</v>
      </c>
      <c r="G1444">
        <v>3</v>
      </c>
      <c r="H1444" t="s">
        <v>578</v>
      </c>
      <c r="I1444" t="s">
        <v>570</v>
      </c>
      <c r="J1444" t="str">
        <f t="shared" si="66"/>
        <v>May</v>
      </c>
      <c r="K1444" t="str">
        <f t="shared" si="67"/>
        <v>Q2</v>
      </c>
      <c r="L1444">
        <f t="shared" si="68"/>
        <v>2025</v>
      </c>
    </row>
    <row r="1445" spans="1:12" x14ac:dyDescent="0.3">
      <c r="A1445" t="s">
        <v>2562</v>
      </c>
      <c r="B1445" t="s">
        <v>2563</v>
      </c>
      <c r="C1445" t="s">
        <v>62</v>
      </c>
      <c r="D1445">
        <v>1</v>
      </c>
      <c r="E1445" s="1">
        <v>45708</v>
      </c>
      <c r="F1445" t="s">
        <v>612</v>
      </c>
      <c r="G1445">
        <v>1</v>
      </c>
      <c r="H1445" t="s">
        <v>569</v>
      </c>
      <c r="I1445" t="s">
        <v>570</v>
      </c>
      <c r="J1445" t="str">
        <f t="shared" si="66"/>
        <v>February</v>
      </c>
      <c r="K1445" t="str">
        <f t="shared" si="67"/>
        <v>Q1</v>
      </c>
      <c r="L1445">
        <f t="shared" si="68"/>
        <v>2025</v>
      </c>
    </row>
    <row r="1446" spans="1:12" x14ac:dyDescent="0.3">
      <c r="A1446" t="s">
        <v>2564</v>
      </c>
      <c r="B1446" t="s">
        <v>2563</v>
      </c>
      <c r="C1446" t="s">
        <v>62</v>
      </c>
      <c r="D1446">
        <v>2</v>
      </c>
      <c r="E1446" s="1">
        <v>45717</v>
      </c>
      <c r="F1446" t="s">
        <v>577</v>
      </c>
      <c r="G1446">
        <v>2</v>
      </c>
      <c r="H1446" t="s">
        <v>569</v>
      </c>
      <c r="I1446" t="s">
        <v>608</v>
      </c>
      <c r="J1446" t="str">
        <f t="shared" si="66"/>
        <v>March</v>
      </c>
      <c r="K1446" t="str">
        <f t="shared" si="67"/>
        <v>Q1</v>
      </c>
      <c r="L1446">
        <f t="shared" si="68"/>
        <v>2025</v>
      </c>
    </row>
    <row r="1447" spans="1:12" x14ac:dyDescent="0.3">
      <c r="A1447" t="s">
        <v>2565</v>
      </c>
      <c r="B1447" t="s">
        <v>497</v>
      </c>
      <c r="C1447" t="s">
        <v>429</v>
      </c>
      <c r="D1447">
        <v>1</v>
      </c>
      <c r="E1447" s="1">
        <v>45768</v>
      </c>
      <c r="F1447" t="s">
        <v>592</v>
      </c>
      <c r="G1447">
        <v>3</v>
      </c>
      <c r="H1447" t="s">
        <v>578</v>
      </c>
      <c r="I1447" t="s">
        <v>570</v>
      </c>
      <c r="J1447" t="str">
        <f t="shared" si="66"/>
        <v>April</v>
      </c>
      <c r="K1447" t="str">
        <f t="shared" si="67"/>
        <v>Q2</v>
      </c>
      <c r="L1447">
        <f t="shared" si="68"/>
        <v>2025</v>
      </c>
    </row>
    <row r="1448" spans="1:12" x14ac:dyDescent="0.3">
      <c r="A1448" t="s">
        <v>2566</v>
      </c>
      <c r="B1448" t="s">
        <v>497</v>
      </c>
      <c r="C1448" t="s">
        <v>429</v>
      </c>
      <c r="D1448">
        <v>2</v>
      </c>
      <c r="E1448" s="1">
        <v>45779</v>
      </c>
      <c r="F1448" t="s">
        <v>766</v>
      </c>
      <c r="G1448">
        <v>4</v>
      </c>
      <c r="H1448" t="s">
        <v>581</v>
      </c>
      <c r="I1448" t="s">
        <v>570</v>
      </c>
      <c r="J1448" t="str">
        <f t="shared" si="66"/>
        <v>May</v>
      </c>
      <c r="K1448" t="str">
        <f t="shared" si="67"/>
        <v>Q2</v>
      </c>
      <c r="L1448">
        <f t="shared" si="68"/>
        <v>2025</v>
      </c>
    </row>
    <row r="1449" spans="1:12" x14ac:dyDescent="0.3">
      <c r="A1449" t="s">
        <v>2567</v>
      </c>
      <c r="B1449" t="s">
        <v>287</v>
      </c>
      <c r="C1449" t="s">
        <v>176</v>
      </c>
      <c r="D1449">
        <v>1</v>
      </c>
      <c r="E1449" s="1">
        <v>45706</v>
      </c>
      <c r="F1449" t="s">
        <v>577</v>
      </c>
      <c r="G1449">
        <v>4</v>
      </c>
      <c r="H1449" t="s">
        <v>581</v>
      </c>
      <c r="I1449" t="s">
        <v>570</v>
      </c>
      <c r="J1449" t="str">
        <f t="shared" si="66"/>
        <v>February</v>
      </c>
      <c r="K1449" t="str">
        <f t="shared" si="67"/>
        <v>Q1</v>
      </c>
      <c r="L1449">
        <f t="shared" si="68"/>
        <v>2025</v>
      </c>
    </row>
    <row r="1450" spans="1:12" x14ac:dyDescent="0.3">
      <c r="A1450" t="s">
        <v>2568</v>
      </c>
      <c r="B1450" t="s">
        <v>2569</v>
      </c>
      <c r="C1450" t="s">
        <v>127</v>
      </c>
      <c r="D1450">
        <v>1</v>
      </c>
      <c r="E1450" s="1">
        <v>45961</v>
      </c>
      <c r="F1450" t="s">
        <v>629</v>
      </c>
      <c r="G1450">
        <v>3</v>
      </c>
      <c r="H1450" t="s">
        <v>578</v>
      </c>
      <c r="I1450" t="s">
        <v>570</v>
      </c>
      <c r="J1450" t="str">
        <f t="shared" si="66"/>
        <v>October</v>
      </c>
      <c r="K1450" t="str">
        <f t="shared" si="67"/>
        <v>Q4</v>
      </c>
      <c r="L1450">
        <f t="shared" si="68"/>
        <v>2025</v>
      </c>
    </row>
    <row r="1451" spans="1:12" x14ac:dyDescent="0.3">
      <c r="A1451" t="s">
        <v>2570</v>
      </c>
      <c r="B1451" t="s">
        <v>2569</v>
      </c>
      <c r="C1451" t="s">
        <v>127</v>
      </c>
      <c r="D1451">
        <v>2</v>
      </c>
      <c r="E1451" s="1">
        <v>45966</v>
      </c>
      <c r="F1451" t="s">
        <v>625</v>
      </c>
      <c r="G1451">
        <v>3</v>
      </c>
      <c r="H1451" t="s">
        <v>578</v>
      </c>
      <c r="I1451" t="s">
        <v>570</v>
      </c>
      <c r="J1451" t="str">
        <f t="shared" si="66"/>
        <v>November</v>
      </c>
      <c r="K1451" t="str">
        <f t="shared" si="67"/>
        <v>Q4</v>
      </c>
      <c r="L1451">
        <f t="shared" si="68"/>
        <v>2025</v>
      </c>
    </row>
    <row r="1452" spans="1:12" x14ac:dyDescent="0.3">
      <c r="A1452" t="s">
        <v>2571</v>
      </c>
      <c r="B1452" t="s">
        <v>2572</v>
      </c>
      <c r="C1452" t="s">
        <v>251</v>
      </c>
      <c r="D1452">
        <v>1</v>
      </c>
      <c r="E1452" s="1">
        <v>45817</v>
      </c>
      <c r="G1452">
        <v>2</v>
      </c>
      <c r="H1452" t="s">
        <v>569</v>
      </c>
      <c r="I1452" t="s">
        <v>570</v>
      </c>
      <c r="J1452" t="str">
        <f t="shared" si="66"/>
        <v>June</v>
      </c>
      <c r="K1452" t="str">
        <f t="shared" si="67"/>
        <v>Q2</v>
      </c>
      <c r="L1452">
        <f t="shared" si="68"/>
        <v>2025</v>
      </c>
    </row>
    <row r="1453" spans="1:12" x14ac:dyDescent="0.3">
      <c r="A1453" t="s">
        <v>2573</v>
      </c>
      <c r="B1453" t="s">
        <v>2572</v>
      </c>
      <c r="C1453" t="s">
        <v>251</v>
      </c>
      <c r="D1453">
        <v>2</v>
      </c>
      <c r="E1453" s="1">
        <v>45827</v>
      </c>
      <c r="F1453" t="s">
        <v>632</v>
      </c>
      <c r="G1453">
        <v>2</v>
      </c>
      <c r="H1453" t="s">
        <v>569</v>
      </c>
      <c r="I1453" t="s">
        <v>570</v>
      </c>
      <c r="J1453" t="str">
        <f t="shared" si="66"/>
        <v>June</v>
      </c>
      <c r="K1453" t="str">
        <f t="shared" si="67"/>
        <v>Q2</v>
      </c>
      <c r="L1453">
        <f t="shared" si="68"/>
        <v>2025</v>
      </c>
    </row>
    <row r="1454" spans="1:12" x14ac:dyDescent="0.3">
      <c r="A1454" t="s">
        <v>2574</v>
      </c>
      <c r="B1454" t="s">
        <v>2572</v>
      </c>
      <c r="C1454" t="s">
        <v>251</v>
      </c>
      <c r="D1454">
        <v>3</v>
      </c>
      <c r="E1454" s="1">
        <v>45838</v>
      </c>
      <c r="F1454" t="s">
        <v>584</v>
      </c>
      <c r="G1454">
        <v>1</v>
      </c>
      <c r="H1454" t="s">
        <v>569</v>
      </c>
      <c r="I1454" t="s">
        <v>570</v>
      </c>
      <c r="J1454" t="str">
        <f t="shared" si="66"/>
        <v>June</v>
      </c>
      <c r="K1454" t="str">
        <f t="shared" si="67"/>
        <v>Q2</v>
      </c>
      <c r="L1454">
        <f t="shared" si="68"/>
        <v>2025</v>
      </c>
    </row>
    <row r="1455" spans="1:12" x14ac:dyDescent="0.3">
      <c r="A1455" t="s">
        <v>2575</v>
      </c>
      <c r="B1455" t="s">
        <v>2576</v>
      </c>
      <c r="C1455" t="s">
        <v>187</v>
      </c>
      <c r="D1455">
        <v>1</v>
      </c>
      <c r="E1455" s="1">
        <v>45831</v>
      </c>
      <c r="F1455" t="s">
        <v>572</v>
      </c>
      <c r="G1455">
        <v>2</v>
      </c>
      <c r="H1455" t="s">
        <v>569</v>
      </c>
      <c r="I1455" t="s">
        <v>570</v>
      </c>
      <c r="J1455" t="str">
        <f t="shared" si="66"/>
        <v>June</v>
      </c>
      <c r="K1455" t="str">
        <f t="shared" si="67"/>
        <v>Q2</v>
      </c>
      <c r="L1455">
        <f t="shared" si="68"/>
        <v>2025</v>
      </c>
    </row>
    <row r="1456" spans="1:12" x14ac:dyDescent="0.3">
      <c r="A1456" t="s">
        <v>2577</v>
      </c>
      <c r="B1456" t="s">
        <v>2576</v>
      </c>
      <c r="C1456" t="s">
        <v>187</v>
      </c>
      <c r="D1456">
        <v>2</v>
      </c>
      <c r="E1456" s="1">
        <v>45837</v>
      </c>
      <c r="F1456" t="s">
        <v>572</v>
      </c>
      <c r="G1456">
        <v>3</v>
      </c>
      <c r="H1456" t="s">
        <v>578</v>
      </c>
      <c r="I1456" t="s">
        <v>570</v>
      </c>
      <c r="J1456" t="str">
        <f t="shared" si="66"/>
        <v>June</v>
      </c>
      <c r="K1456" t="str">
        <f t="shared" si="67"/>
        <v>Q2</v>
      </c>
      <c r="L1456">
        <f t="shared" si="68"/>
        <v>2025</v>
      </c>
    </row>
    <row r="1457" spans="1:12" x14ac:dyDescent="0.3">
      <c r="A1457" t="s">
        <v>2578</v>
      </c>
      <c r="B1457" t="s">
        <v>2579</v>
      </c>
      <c r="C1457" t="s">
        <v>156</v>
      </c>
      <c r="D1457">
        <v>1</v>
      </c>
      <c r="E1457" s="1">
        <v>45726</v>
      </c>
      <c r="F1457" t="s">
        <v>741</v>
      </c>
      <c r="G1457">
        <v>2</v>
      </c>
      <c r="H1457" t="s">
        <v>569</v>
      </c>
      <c r="I1457" t="s">
        <v>570</v>
      </c>
      <c r="J1457" t="str">
        <f t="shared" si="66"/>
        <v>March</v>
      </c>
      <c r="K1457" t="str">
        <f t="shared" si="67"/>
        <v>Q1</v>
      </c>
      <c r="L1457">
        <f t="shared" si="68"/>
        <v>2025</v>
      </c>
    </row>
    <row r="1458" spans="1:12" x14ac:dyDescent="0.3">
      <c r="A1458" t="s">
        <v>2580</v>
      </c>
      <c r="B1458" t="s">
        <v>2581</v>
      </c>
      <c r="C1458" t="s">
        <v>195</v>
      </c>
      <c r="D1458">
        <v>1</v>
      </c>
      <c r="E1458" s="1">
        <v>45853</v>
      </c>
      <c r="F1458" t="s">
        <v>575</v>
      </c>
      <c r="G1458">
        <v>1</v>
      </c>
      <c r="H1458" t="s">
        <v>569</v>
      </c>
      <c r="I1458" t="s">
        <v>570</v>
      </c>
      <c r="J1458" t="str">
        <f t="shared" si="66"/>
        <v>July</v>
      </c>
      <c r="K1458" t="str">
        <f t="shared" si="67"/>
        <v>Q3</v>
      </c>
      <c r="L1458">
        <f t="shared" si="68"/>
        <v>2025</v>
      </c>
    </row>
    <row r="1459" spans="1:12" x14ac:dyDescent="0.3">
      <c r="A1459" t="s">
        <v>2582</v>
      </c>
      <c r="B1459" t="s">
        <v>2581</v>
      </c>
      <c r="C1459" t="s">
        <v>195</v>
      </c>
      <c r="D1459">
        <v>2</v>
      </c>
      <c r="E1459" s="1">
        <v>45862</v>
      </c>
      <c r="F1459" t="s">
        <v>586</v>
      </c>
      <c r="G1459">
        <v>2</v>
      </c>
      <c r="H1459" t="s">
        <v>569</v>
      </c>
      <c r="I1459" t="s">
        <v>597</v>
      </c>
      <c r="J1459" t="str">
        <f t="shared" si="66"/>
        <v>July</v>
      </c>
      <c r="K1459" t="str">
        <f t="shared" si="67"/>
        <v>Q3</v>
      </c>
      <c r="L1459">
        <f t="shared" si="68"/>
        <v>2025</v>
      </c>
    </row>
    <row r="1460" spans="1:12" x14ac:dyDescent="0.3">
      <c r="A1460" t="s">
        <v>2583</v>
      </c>
      <c r="B1460" t="s">
        <v>2584</v>
      </c>
      <c r="C1460" t="s">
        <v>16</v>
      </c>
      <c r="D1460">
        <v>1</v>
      </c>
      <c r="E1460" s="1">
        <v>45757</v>
      </c>
      <c r="F1460" t="s">
        <v>600</v>
      </c>
      <c r="G1460">
        <v>2</v>
      </c>
      <c r="H1460" t="s">
        <v>569</v>
      </c>
      <c r="I1460" t="s">
        <v>570</v>
      </c>
      <c r="J1460" t="str">
        <f t="shared" si="66"/>
        <v>April</v>
      </c>
      <c r="K1460" t="str">
        <f t="shared" si="67"/>
        <v>Q2</v>
      </c>
      <c r="L1460">
        <f t="shared" si="68"/>
        <v>2025</v>
      </c>
    </row>
    <row r="1461" spans="1:12" x14ac:dyDescent="0.3">
      <c r="A1461" t="s">
        <v>2585</v>
      </c>
      <c r="B1461" t="s">
        <v>2586</v>
      </c>
      <c r="C1461" t="s">
        <v>22</v>
      </c>
      <c r="D1461">
        <v>1</v>
      </c>
      <c r="E1461" s="1">
        <v>45846</v>
      </c>
      <c r="F1461" t="s">
        <v>605</v>
      </c>
      <c r="G1461">
        <v>1</v>
      </c>
      <c r="H1461" t="s">
        <v>569</v>
      </c>
      <c r="I1461" t="s">
        <v>570</v>
      </c>
      <c r="J1461" t="str">
        <f t="shared" si="66"/>
        <v>July</v>
      </c>
      <c r="K1461" t="str">
        <f t="shared" si="67"/>
        <v>Q3</v>
      </c>
      <c r="L1461">
        <f t="shared" si="68"/>
        <v>2025</v>
      </c>
    </row>
    <row r="1462" spans="1:12" x14ac:dyDescent="0.3">
      <c r="A1462" t="s">
        <v>2587</v>
      </c>
      <c r="B1462" t="s">
        <v>2588</v>
      </c>
      <c r="C1462" t="s">
        <v>27</v>
      </c>
      <c r="D1462">
        <v>1</v>
      </c>
      <c r="E1462" s="1">
        <v>45882</v>
      </c>
      <c r="F1462" t="s">
        <v>625</v>
      </c>
      <c r="G1462">
        <v>2</v>
      </c>
      <c r="H1462" t="s">
        <v>569</v>
      </c>
      <c r="I1462" t="s">
        <v>570</v>
      </c>
      <c r="J1462" t="str">
        <f t="shared" si="66"/>
        <v>August</v>
      </c>
      <c r="K1462" t="str">
        <f t="shared" si="67"/>
        <v>Q3</v>
      </c>
      <c r="L1462">
        <f t="shared" si="68"/>
        <v>2025</v>
      </c>
    </row>
    <row r="1463" spans="1:12" x14ac:dyDescent="0.3">
      <c r="A1463" t="s">
        <v>2589</v>
      </c>
      <c r="B1463" t="s">
        <v>2588</v>
      </c>
      <c r="C1463" t="s">
        <v>27</v>
      </c>
      <c r="D1463">
        <v>2</v>
      </c>
      <c r="E1463" s="1">
        <v>45893</v>
      </c>
      <c r="F1463" t="s">
        <v>629</v>
      </c>
      <c r="G1463">
        <v>2</v>
      </c>
      <c r="H1463" t="s">
        <v>569</v>
      </c>
      <c r="I1463" t="s">
        <v>570</v>
      </c>
      <c r="J1463" t="str">
        <f t="shared" si="66"/>
        <v>August</v>
      </c>
      <c r="K1463" t="str">
        <f t="shared" si="67"/>
        <v>Q3</v>
      </c>
      <c r="L1463">
        <f t="shared" si="68"/>
        <v>2025</v>
      </c>
    </row>
    <row r="1464" spans="1:12" x14ac:dyDescent="0.3">
      <c r="A1464" t="s">
        <v>2590</v>
      </c>
      <c r="B1464" t="s">
        <v>2588</v>
      </c>
      <c r="C1464" t="s">
        <v>27</v>
      </c>
      <c r="D1464">
        <v>3</v>
      </c>
      <c r="E1464" s="1">
        <v>45899</v>
      </c>
      <c r="F1464" t="s">
        <v>632</v>
      </c>
      <c r="G1464">
        <v>3</v>
      </c>
      <c r="H1464" t="s">
        <v>578</v>
      </c>
      <c r="I1464" t="s">
        <v>570</v>
      </c>
      <c r="J1464" t="str">
        <f t="shared" si="66"/>
        <v>August</v>
      </c>
      <c r="K1464" t="str">
        <f t="shared" si="67"/>
        <v>Q3</v>
      </c>
      <c r="L1464">
        <f t="shared" si="68"/>
        <v>2025</v>
      </c>
    </row>
    <row r="1465" spans="1:12" x14ac:dyDescent="0.3">
      <c r="A1465" t="s">
        <v>2591</v>
      </c>
      <c r="B1465" t="s">
        <v>2588</v>
      </c>
      <c r="C1465" t="s">
        <v>27</v>
      </c>
      <c r="D1465">
        <v>4</v>
      </c>
      <c r="E1465" s="1">
        <v>45911</v>
      </c>
      <c r="F1465" t="s">
        <v>625</v>
      </c>
      <c r="G1465">
        <v>2</v>
      </c>
      <c r="H1465" t="s">
        <v>569</v>
      </c>
      <c r="I1465" t="s">
        <v>570</v>
      </c>
      <c r="J1465" t="str">
        <f t="shared" si="66"/>
        <v>September</v>
      </c>
      <c r="K1465" t="str">
        <f t="shared" si="67"/>
        <v>Q3</v>
      </c>
      <c r="L1465">
        <f t="shared" si="68"/>
        <v>2025</v>
      </c>
    </row>
    <row r="1466" spans="1:12" x14ac:dyDescent="0.3">
      <c r="A1466" t="s">
        <v>2592</v>
      </c>
      <c r="B1466" t="s">
        <v>2593</v>
      </c>
      <c r="C1466" t="s">
        <v>45</v>
      </c>
      <c r="D1466">
        <v>1</v>
      </c>
      <c r="E1466" s="1">
        <v>45857</v>
      </c>
      <c r="F1466" t="s">
        <v>592</v>
      </c>
      <c r="G1466">
        <v>2</v>
      </c>
      <c r="H1466" t="s">
        <v>569</v>
      </c>
      <c r="I1466" t="s">
        <v>570</v>
      </c>
      <c r="J1466" t="str">
        <f t="shared" si="66"/>
        <v>July</v>
      </c>
      <c r="K1466" t="str">
        <f t="shared" si="67"/>
        <v>Q3</v>
      </c>
      <c r="L1466">
        <f t="shared" si="68"/>
        <v>2025</v>
      </c>
    </row>
    <row r="1467" spans="1:12" x14ac:dyDescent="0.3">
      <c r="A1467" t="s">
        <v>2594</v>
      </c>
      <c r="B1467" t="s">
        <v>2593</v>
      </c>
      <c r="C1467" t="s">
        <v>45</v>
      </c>
      <c r="D1467">
        <v>2</v>
      </c>
      <c r="E1467" s="1">
        <v>45867</v>
      </c>
      <c r="F1467" t="s">
        <v>590</v>
      </c>
      <c r="G1467">
        <v>3</v>
      </c>
      <c r="H1467" t="s">
        <v>578</v>
      </c>
      <c r="I1467" t="s">
        <v>570</v>
      </c>
      <c r="J1467" t="str">
        <f t="shared" si="66"/>
        <v>July</v>
      </c>
      <c r="K1467" t="str">
        <f t="shared" si="67"/>
        <v>Q3</v>
      </c>
      <c r="L1467">
        <f t="shared" si="68"/>
        <v>2025</v>
      </c>
    </row>
    <row r="1468" spans="1:12" x14ac:dyDescent="0.3">
      <c r="A1468" t="s">
        <v>2595</v>
      </c>
      <c r="B1468" t="s">
        <v>2593</v>
      </c>
      <c r="C1468" t="s">
        <v>45</v>
      </c>
      <c r="D1468">
        <v>3</v>
      </c>
      <c r="E1468" s="1">
        <v>45875</v>
      </c>
      <c r="F1468" t="s">
        <v>766</v>
      </c>
      <c r="G1468">
        <v>3</v>
      </c>
      <c r="H1468" t="s">
        <v>578</v>
      </c>
      <c r="I1468" t="s">
        <v>570</v>
      </c>
      <c r="J1468" t="str">
        <f t="shared" si="66"/>
        <v>August</v>
      </c>
      <c r="K1468" t="str">
        <f t="shared" si="67"/>
        <v>Q3</v>
      </c>
      <c r="L1468">
        <f t="shared" si="68"/>
        <v>2025</v>
      </c>
    </row>
    <row r="1469" spans="1:12" x14ac:dyDescent="0.3">
      <c r="A1469" t="s">
        <v>2596</v>
      </c>
      <c r="B1469" t="s">
        <v>2597</v>
      </c>
      <c r="C1469" t="s">
        <v>16</v>
      </c>
      <c r="D1469">
        <v>1</v>
      </c>
      <c r="E1469" s="1">
        <v>45763</v>
      </c>
      <c r="F1469" t="s">
        <v>625</v>
      </c>
      <c r="G1469">
        <v>2</v>
      </c>
      <c r="H1469" t="s">
        <v>569</v>
      </c>
      <c r="I1469" t="s">
        <v>570</v>
      </c>
      <c r="J1469" t="str">
        <f t="shared" si="66"/>
        <v>April</v>
      </c>
      <c r="K1469" t="str">
        <f t="shared" si="67"/>
        <v>Q2</v>
      </c>
      <c r="L1469">
        <f t="shared" si="68"/>
        <v>2025</v>
      </c>
    </row>
    <row r="1470" spans="1:12" x14ac:dyDescent="0.3">
      <c r="A1470" t="s">
        <v>2598</v>
      </c>
      <c r="B1470" t="s">
        <v>2597</v>
      </c>
      <c r="C1470" t="s">
        <v>16</v>
      </c>
      <c r="D1470">
        <v>2</v>
      </c>
      <c r="E1470" s="1">
        <v>45771</v>
      </c>
      <c r="F1470" t="s">
        <v>636</v>
      </c>
      <c r="G1470">
        <v>1</v>
      </c>
      <c r="H1470" t="s">
        <v>569</v>
      </c>
      <c r="I1470" t="s">
        <v>570</v>
      </c>
      <c r="J1470" t="str">
        <f t="shared" si="66"/>
        <v>April</v>
      </c>
      <c r="K1470" t="str">
        <f t="shared" si="67"/>
        <v>Q2</v>
      </c>
      <c r="L1470">
        <f t="shared" si="68"/>
        <v>2025</v>
      </c>
    </row>
    <row r="1471" spans="1:12" x14ac:dyDescent="0.3">
      <c r="A1471" t="s">
        <v>2599</v>
      </c>
      <c r="B1471" t="s">
        <v>2597</v>
      </c>
      <c r="C1471" t="s">
        <v>16</v>
      </c>
      <c r="D1471">
        <v>3</v>
      </c>
      <c r="E1471" s="1">
        <v>45776</v>
      </c>
      <c r="F1471" t="s">
        <v>575</v>
      </c>
      <c r="G1471">
        <v>1</v>
      </c>
      <c r="H1471" t="s">
        <v>569</v>
      </c>
      <c r="I1471" t="s">
        <v>570</v>
      </c>
      <c r="J1471" t="str">
        <f t="shared" si="66"/>
        <v>April</v>
      </c>
      <c r="K1471" t="str">
        <f t="shared" si="67"/>
        <v>Q2</v>
      </c>
      <c r="L1471">
        <f t="shared" si="68"/>
        <v>2025</v>
      </c>
    </row>
    <row r="1472" spans="1:12" x14ac:dyDescent="0.3">
      <c r="A1472" t="s">
        <v>2600</v>
      </c>
      <c r="B1472" t="s">
        <v>2601</v>
      </c>
      <c r="C1472" t="s">
        <v>65</v>
      </c>
      <c r="D1472">
        <v>1</v>
      </c>
      <c r="E1472" s="1">
        <v>45933</v>
      </c>
      <c r="F1472" t="s">
        <v>568</v>
      </c>
      <c r="G1472">
        <v>2</v>
      </c>
      <c r="H1472" t="s">
        <v>569</v>
      </c>
      <c r="I1472" t="s">
        <v>570</v>
      </c>
      <c r="J1472" t="str">
        <f t="shared" si="66"/>
        <v>October</v>
      </c>
      <c r="K1472" t="str">
        <f t="shared" si="67"/>
        <v>Q4</v>
      </c>
      <c r="L1472">
        <f t="shared" si="68"/>
        <v>2025</v>
      </c>
    </row>
    <row r="1473" spans="1:12" x14ac:dyDescent="0.3">
      <c r="A1473" t="s">
        <v>2602</v>
      </c>
      <c r="B1473" t="s">
        <v>2601</v>
      </c>
      <c r="C1473" t="s">
        <v>65</v>
      </c>
      <c r="D1473">
        <v>2</v>
      </c>
      <c r="E1473" s="1">
        <v>45939</v>
      </c>
      <c r="F1473" t="s">
        <v>568</v>
      </c>
      <c r="G1473">
        <v>3</v>
      </c>
      <c r="H1473" t="s">
        <v>578</v>
      </c>
      <c r="I1473" t="s">
        <v>570</v>
      </c>
      <c r="J1473" t="str">
        <f t="shared" si="66"/>
        <v>October</v>
      </c>
      <c r="K1473" t="str">
        <f t="shared" si="67"/>
        <v>Q4</v>
      </c>
      <c r="L1473">
        <f t="shared" si="68"/>
        <v>2025</v>
      </c>
    </row>
    <row r="1474" spans="1:12" x14ac:dyDescent="0.3">
      <c r="A1474" t="s">
        <v>2603</v>
      </c>
      <c r="B1474" t="s">
        <v>2601</v>
      </c>
      <c r="C1474" t="s">
        <v>65</v>
      </c>
      <c r="D1474">
        <v>3</v>
      </c>
      <c r="E1474" s="1">
        <v>45947</v>
      </c>
      <c r="F1474" t="s">
        <v>580</v>
      </c>
      <c r="G1474">
        <v>3</v>
      </c>
      <c r="H1474" t="s">
        <v>578</v>
      </c>
      <c r="I1474" t="s">
        <v>570</v>
      </c>
      <c r="J1474" t="str">
        <f t="shared" ref="J1474:J1537" si="69">TEXT(E1474,"mmmm")</f>
        <v>October</v>
      </c>
      <c r="K1474" t="str">
        <f t="shared" ref="K1474:K1537" si="70">"Q"&amp;ROUNDUP(MONTH(E1474)/3,0)</f>
        <v>Q4</v>
      </c>
      <c r="L1474">
        <f t="shared" ref="L1474:L1537" si="71">YEAR(E1474)</f>
        <v>2025</v>
      </c>
    </row>
    <row r="1475" spans="1:12" x14ac:dyDescent="0.3">
      <c r="A1475" t="s">
        <v>2604</v>
      </c>
      <c r="B1475" t="s">
        <v>2605</v>
      </c>
      <c r="C1475" t="s">
        <v>99</v>
      </c>
      <c r="D1475">
        <v>1</v>
      </c>
      <c r="E1475" s="1">
        <v>45853</v>
      </c>
      <c r="G1475">
        <v>2</v>
      </c>
      <c r="H1475" t="s">
        <v>569</v>
      </c>
      <c r="I1475" t="s">
        <v>570</v>
      </c>
      <c r="J1475" t="str">
        <f t="shared" si="69"/>
        <v>July</v>
      </c>
      <c r="K1475" t="str">
        <f t="shared" si="70"/>
        <v>Q3</v>
      </c>
      <c r="L1475">
        <f t="shared" si="71"/>
        <v>2025</v>
      </c>
    </row>
    <row r="1476" spans="1:12" x14ac:dyDescent="0.3">
      <c r="A1476" t="s">
        <v>2606</v>
      </c>
      <c r="B1476" t="s">
        <v>2605</v>
      </c>
      <c r="C1476" t="s">
        <v>99</v>
      </c>
      <c r="D1476">
        <v>2</v>
      </c>
      <c r="E1476" s="1">
        <v>45857</v>
      </c>
      <c r="F1476" t="s">
        <v>649</v>
      </c>
      <c r="G1476">
        <v>2</v>
      </c>
      <c r="H1476" t="s">
        <v>569</v>
      </c>
      <c r="I1476" t="s">
        <v>570</v>
      </c>
      <c r="J1476" t="str">
        <f t="shared" si="69"/>
        <v>July</v>
      </c>
      <c r="K1476" t="str">
        <f t="shared" si="70"/>
        <v>Q3</v>
      </c>
      <c r="L1476">
        <f t="shared" si="71"/>
        <v>2025</v>
      </c>
    </row>
    <row r="1477" spans="1:12" x14ac:dyDescent="0.3">
      <c r="A1477" t="s">
        <v>2607</v>
      </c>
      <c r="B1477" t="s">
        <v>2605</v>
      </c>
      <c r="C1477" t="s">
        <v>99</v>
      </c>
      <c r="D1477">
        <v>3</v>
      </c>
      <c r="E1477" s="1">
        <v>45863</v>
      </c>
      <c r="F1477" t="s">
        <v>656</v>
      </c>
      <c r="G1477">
        <v>2</v>
      </c>
      <c r="H1477" t="s">
        <v>569</v>
      </c>
      <c r="I1477" t="s">
        <v>570</v>
      </c>
      <c r="J1477" t="str">
        <f t="shared" si="69"/>
        <v>July</v>
      </c>
      <c r="K1477" t="str">
        <f t="shared" si="70"/>
        <v>Q3</v>
      </c>
      <c r="L1477">
        <f t="shared" si="71"/>
        <v>2025</v>
      </c>
    </row>
    <row r="1478" spans="1:12" x14ac:dyDescent="0.3">
      <c r="A1478" t="s">
        <v>2608</v>
      </c>
      <c r="B1478" t="s">
        <v>2605</v>
      </c>
      <c r="C1478" t="s">
        <v>99</v>
      </c>
      <c r="D1478">
        <v>4</v>
      </c>
      <c r="E1478" s="1">
        <v>45874</v>
      </c>
      <c r="F1478" t="s">
        <v>656</v>
      </c>
      <c r="G1478">
        <v>3</v>
      </c>
      <c r="H1478" t="s">
        <v>578</v>
      </c>
      <c r="I1478" t="s">
        <v>570</v>
      </c>
      <c r="J1478" t="str">
        <f t="shared" si="69"/>
        <v>August</v>
      </c>
      <c r="K1478" t="str">
        <f t="shared" si="70"/>
        <v>Q3</v>
      </c>
      <c r="L1478">
        <f t="shared" si="71"/>
        <v>2025</v>
      </c>
    </row>
    <row r="1479" spans="1:12" x14ac:dyDescent="0.3">
      <c r="A1479" t="s">
        <v>2609</v>
      </c>
      <c r="B1479" t="s">
        <v>2610</v>
      </c>
      <c r="C1479" t="s">
        <v>88</v>
      </c>
      <c r="D1479">
        <v>1</v>
      </c>
      <c r="E1479" s="1">
        <v>45759</v>
      </c>
      <c r="F1479" t="s">
        <v>596</v>
      </c>
      <c r="G1479">
        <v>3</v>
      </c>
      <c r="H1479" t="s">
        <v>578</v>
      </c>
      <c r="I1479" t="s">
        <v>570</v>
      </c>
      <c r="J1479" t="str">
        <f t="shared" si="69"/>
        <v>April</v>
      </c>
      <c r="K1479" t="str">
        <f t="shared" si="70"/>
        <v>Q2</v>
      </c>
      <c r="L1479">
        <f t="shared" si="71"/>
        <v>2025</v>
      </c>
    </row>
    <row r="1480" spans="1:12" x14ac:dyDescent="0.3">
      <c r="A1480" t="s">
        <v>2611</v>
      </c>
      <c r="B1480" t="s">
        <v>2612</v>
      </c>
      <c r="C1480" t="s">
        <v>240</v>
      </c>
      <c r="D1480">
        <v>1</v>
      </c>
      <c r="E1480" s="1">
        <v>45955</v>
      </c>
      <c r="F1480" t="s">
        <v>572</v>
      </c>
      <c r="G1480">
        <v>1</v>
      </c>
      <c r="H1480" t="s">
        <v>569</v>
      </c>
      <c r="I1480" t="s">
        <v>570</v>
      </c>
      <c r="J1480" t="str">
        <f t="shared" si="69"/>
        <v>October</v>
      </c>
      <c r="K1480" t="str">
        <f t="shared" si="70"/>
        <v>Q4</v>
      </c>
      <c r="L1480">
        <f t="shared" si="71"/>
        <v>2025</v>
      </c>
    </row>
    <row r="1481" spans="1:12" x14ac:dyDescent="0.3">
      <c r="A1481" t="s">
        <v>2613</v>
      </c>
      <c r="B1481" t="s">
        <v>2614</v>
      </c>
      <c r="C1481" t="s">
        <v>156</v>
      </c>
      <c r="D1481">
        <v>1</v>
      </c>
      <c r="E1481" s="1">
        <v>45740</v>
      </c>
      <c r="F1481" t="s">
        <v>580</v>
      </c>
      <c r="G1481">
        <v>2</v>
      </c>
      <c r="H1481" t="s">
        <v>569</v>
      </c>
      <c r="I1481" t="s">
        <v>570</v>
      </c>
      <c r="J1481" t="str">
        <f t="shared" si="69"/>
        <v>March</v>
      </c>
      <c r="K1481" t="str">
        <f t="shared" si="70"/>
        <v>Q1</v>
      </c>
      <c r="L1481">
        <f t="shared" si="71"/>
        <v>2025</v>
      </c>
    </row>
    <row r="1482" spans="1:12" x14ac:dyDescent="0.3">
      <c r="A1482" t="s">
        <v>2615</v>
      </c>
      <c r="B1482" t="s">
        <v>2614</v>
      </c>
      <c r="C1482" t="s">
        <v>156</v>
      </c>
      <c r="D1482">
        <v>2</v>
      </c>
      <c r="E1482" s="1">
        <v>45747</v>
      </c>
      <c r="F1482" t="s">
        <v>580</v>
      </c>
      <c r="G1482">
        <v>3</v>
      </c>
      <c r="H1482" t="s">
        <v>578</v>
      </c>
      <c r="I1482" t="s">
        <v>570</v>
      </c>
      <c r="J1482" t="str">
        <f t="shared" si="69"/>
        <v>March</v>
      </c>
      <c r="K1482" t="str">
        <f t="shared" si="70"/>
        <v>Q1</v>
      </c>
      <c r="L1482">
        <f t="shared" si="71"/>
        <v>2025</v>
      </c>
    </row>
    <row r="1483" spans="1:12" x14ac:dyDescent="0.3">
      <c r="A1483" t="s">
        <v>2616</v>
      </c>
      <c r="B1483" t="s">
        <v>2614</v>
      </c>
      <c r="C1483" t="s">
        <v>156</v>
      </c>
      <c r="D1483">
        <v>3</v>
      </c>
      <c r="E1483" s="1">
        <v>45753</v>
      </c>
      <c r="F1483" t="s">
        <v>590</v>
      </c>
      <c r="G1483">
        <v>4</v>
      </c>
      <c r="H1483" t="s">
        <v>581</v>
      </c>
      <c r="I1483" t="s">
        <v>570</v>
      </c>
      <c r="J1483" t="str">
        <f t="shared" si="69"/>
        <v>April</v>
      </c>
      <c r="K1483" t="str">
        <f t="shared" si="70"/>
        <v>Q2</v>
      </c>
      <c r="L1483">
        <f t="shared" si="71"/>
        <v>2025</v>
      </c>
    </row>
    <row r="1484" spans="1:12" x14ac:dyDescent="0.3">
      <c r="A1484" t="s">
        <v>2617</v>
      </c>
      <c r="B1484" t="s">
        <v>2614</v>
      </c>
      <c r="C1484" t="s">
        <v>156</v>
      </c>
      <c r="D1484">
        <v>4</v>
      </c>
      <c r="E1484" s="1">
        <v>45765</v>
      </c>
      <c r="F1484" t="s">
        <v>741</v>
      </c>
      <c r="G1484">
        <v>3</v>
      </c>
      <c r="H1484" t="s">
        <v>578</v>
      </c>
      <c r="I1484" t="s">
        <v>570</v>
      </c>
      <c r="J1484" t="str">
        <f t="shared" si="69"/>
        <v>April</v>
      </c>
      <c r="K1484" t="str">
        <f t="shared" si="70"/>
        <v>Q2</v>
      </c>
      <c r="L1484">
        <f t="shared" si="71"/>
        <v>2025</v>
      </c>
    </row>
    <row r="1485" spans="1:12" x14ac:dyDescent="0.3">
      <c r="A1485" t="s">
        <v>2618</v>
      </c>
      <c r="B1485" t="s">
        <v>2619</v>
      </c>
      <c r="C1485" t="s">
        <v>156</v>
      </c>
      <c r="D1485">
        <v>1</v>
      </c>
      <c r="E1485" s="1">
        <v>45728</v>
      </c>
      <c r="F1485" t="s">
        <v>580</v>
      </c>
      <c r="G1485">
        <v>2</v>
      </c>
      <c r="H1485" t="s">
        <v>569</v>
      </c>
      <c r="I1485" t="s">
        <v>570</v>
      </c>
      <c r="J1485" t="str">
        <f t="shared" si="69"/>
        <v>March</v>
      </c>
      <c r="K1485" t="str">
        <f t="shared" si="70"/>
        <v>Q1</v>
      </c>
      <c r="L1485">
        <f t="shared" si="71"/>
        <v>2025</v>
      </c>
    </row>
    <row r="1486" spans="1:12" x14ac:dyDescent="0.3">
      <c r="A1486" t="s">
        <v>2620</v>
      </c>
      <c r="B1486" t="s">
        <v>2619</v>
      </c>
      <c r="C1486" t="s">
        <v>156</v>
      </c>
      <c r="D1486">
        <v>2</v>
      </c>
      <c r="E1486" s="1">
        <v>45739</v>
      </c>
      <c r="F1486" t="s">
        <v>590</v>
      </c>
      <c r="G1486">
        <v>1</v>
      </c>
      <c r="H1486" t="s">
        <v>569</v>
      </c>
      <c r="I1486" t="s">
        <v>597</v>
      </c>
      <c r="J1486" t="str">
        <f t="shared" si="69"/>
        <v>March</v>
      </c>
      <c r="K1486" t="str">
        <f t="shared" si="70"/>
        <v>Q1</v>
      </c>
      <c r="L1486">
        <f t="shared" si="71"/>
        <v>2025</v>
      </c>
    </row>
    <row r="1487" spans="1:12" x14ac:dyDescent="0.3">
      <c r="A1487" t="s">
        <v>2621</v>
      </c>
      <c r="B1487" t="s">
        <v>2622</v>
      </c>
      <c r="C1487" t="s">
        <v>32</v>
      </c>
      <c r="D1487">
        <v>1</v>
      </c>
      <c r="E1487" s="1">
        <v>45765</v>
      </c>
      <c r="F1487" t="s">
        <v>572</v>
      </c>
      <c r="G1487">
        <v>4</v>
      </c>
      <c r="H1487" t="s">
        <v>581</v>
      </c>
      <c r="I1487" t="s">
        <v>570</v>
      </c>
      <c r="J1487" t="str">
        <f t="shared" si="69"/>
        <v>April</v>
      </c>
      <c r="K1487" t="str">
        <f t="shared" si="70"/>
        <v>Q2</v>
      </c>
      <c r="L1487">
        <f t="shared" si="71"/>
        <v>2025</v>
      </c>
    </row>
    <row r="1488" spans="1:12" x14ac:dyDescent="0.3">
      <c r="A1488" t="s">
        <v>2623</v>
      </c>
      <c r="B1488" t="s">
        <v>2622</v>
      </c>
      <c r="C1488" t="s">
        <v>32</v>
      </c>
      <c r="D1488">
        <v>2</v>
      </c>
      <c r="E1488" s="1">
        <v>45777</v>
      </c>
      <c r="F1488" t="s">
        <v>596</v>
      </c>
      <c r="G1488">
        <v>3</v>
      </c>
      <c r="H1488" t="s">
        <v>578</v>
      </c>
      <c r="I1488" t="s">
        <v>570</v>
      </c>
      <c r="J1488" t="str">
        <f t="shared" si="69"/>
        <v>April</v>
      </c>
      <c r="K1488" t="str">
        <f t="shared" si="70"/>
        <v>Q2</v>
      </c>
      <c r="L1488">
        <f t="shared" si="71"/>
        <v>2025</v>
      </c>
    </row>
    <row r="1489" spans="1:12" x14ac:dyDescent="0.3">
      <c r="A1489" t="s">
        <v>2624</v>
      </c>
      <c r="B1489" t="s">
        <v>2625</v>
      </c>
      <c r="C1489" t="s">
        <v>195</v>
      </c>
      <c r="D1489">
        <v>1</v>
      </c>
      <c r="E1489" s="1">
        <v>45848</v>
      </c>
      <c r="F1489" t="s">
        <v>575</v>
      </c>
      <c r="G1489">
        <v>4</v>
      </c>
      <c r="H1489" t="s">
        <v>581</v>
      </c>
      <c r="I1489" t="s">
        <v>570</v>
      </c>
      <c r="J1489" t="str">
        <f t="shared" si="69"/>
        <v>July</v>
      </c>
      <c r="K1489" t="str">
        <f t="shared" si="70"/>
        <v>Q3</v>
      </c>
      <c r="L1489">
        <f t="shared" si="71"/>
        <v>2025</v>
      </c>
    </row>
    <row r="1490" spans="1:12" x14ac:dyDescent="0.3">
      <c r="A1490" t="s">
        <v>2626</v>
      </c>
      <c r="B1490" t="s">
        <v>2625</v>
      </c>
      <c r="C1490" t="s">
        <v>195</v>
      </c>
      <c r="D1490">
        <v>2</v>
      </c>
      <c r="E1490" s="1">
        <v>45854</v>
      </c>
      <c r="F1490" t="s">
        <v>612</v>
      </c>
      <c r="G1490">
        <v>3</v>
      </c>
      <c r="H1490" t="s">
        <v>578</v>
      </c>
      <c r="I1490" t="s">
        <v>608</v>
      </c>
      <c r="J1490" t="str">
        <f t="shared" si="69"/>
        <v>July</v>
      </c>
      <c r="K1490" t="str">
        <f t="shared" si="70"/>
        <v>Q3</v>
      </c>
      <c r="L1490">
        <f t="shared" si="71"/>
        <v>2025</v>
      </c>
    </row>
    <row r="1491" spans="1:12" x14ac:dyDescent="0.3">
      <c r="A1491" t="s">
        <v>2627</v>
      </c>
      <c r="B1491" t="s">
        <v>2625</v>
      </c>
      <c r="C1491" t="s">
        <v>195</v>
      </c>
      <c r="D1491">
        <v>3</v>
      </c>
      <c r="E1491" s="1">
        <v>45866</v>
      </c>
      <c r="F1491" t="s">
        <v>586</v>
      </c>
      <c r="G1491">
        <v>3</v>
      </c>
      <c r="H1491" t="s">
        <v>578</v>
      </c>
      <c r="I1491" t="s">
        <v>570</v>
      </c>
      <c r="J1491" t="str">
        <f t="shared" si="69"/>
        <v>July</v>
      </c>
      <c r="K1491" t="str">
        <f t="shared" si="70"/>
        <v>Q3</v>
      </c>
      <c r="L1491">
        <f t="shared" si="71"/>
        <v>2025</v>
      </c>
    </row>
    <row r="1492" spans="1:12" x14ac:dyDescent="0.3">
      <c r="A1492" t="s">
        <v>2628</v>
      </c>
      <c r="B1492" t="s">
        <v>2629</v>
      </c>
      <c r="C1492" t="s">
        <v>73</v>
      </c>
      <c r="D1492">
        <v>1</v>
      </c>
      <c r="E1492" s="1">
        <v>45800</v>
      </c>
      <c r="F1492" t="s">
        <v>988</v>
      </c>
      <c r="G1492">
        <v>1</v>
      </c>
      <c r="H1492" t="s">
        <v>569</v>
      </c>
      <c r="I1492" t="s">
        <v>570</v>
      </c>
      <c r="J1492" t="str">
        <f t="shared" si="69"/>
        <v>May</v>
      </c>
      <c r="K1492" t="str">
        <f t="shared" si="70"/>
        <v>Q2</v>
      </c>
      <c r="L1492">
        <f t="shared" si="71"/>
        <v>2025</v>
      </c>
    </row>
    <row r="1493" spans="1:12" x14ac:dyDescent="0.3">
      <c r="A1493" t="s">
        <v>2630</v>
      </c>
      <c r="B1493" t="s">
        <v>2629</v>
      </c>
      <c r="C1493" t="s">
        <v>73</v>
      </c>
      <c r="D1493">
        <v>2</v>
      </c>
      <c r="E1493" s="1">
        <v>45810</v>
      </c>
      <c r="F1493" t="s">
        <v>621</v>
      </c>
      <c r="G1493">
        <v>1</v>
      </c>
      <c r="H1493" t="s">
        <v>569</v>
      </c>
      <c r="I1493" t="s">
        <v>570</v>
      </c>
      <c r="J1493" t="str">
        <f t="shared" si="69"/>
        <v>June</v>
      </c>
      <c r="K1493" t="str">
        <f t="shared" si="70"/>
        <v>Q2</v>
      </c>
      <c r="L1493">
        <f t="shared" si="71"/>
        <v>2025</v>
      </c>
    </row>
    <row r="1494" spans="1:12" x14ac:dyDescent="0.3">
      <c r="A1494" t="s">
        <v>2631</v>
      </c>
      <c r="B1494" t="s">
        <v>2629</v>
      </c>
      <c r="C1494" t="s">
        <v>73</v>
      </c>
      <c r="D1494">
        <v>3</v>
      </c>
      <c r="E1494" s="1">
        <v>45818</v>
      </c>
      <c r="F1494" t="s">
        <v>621</v>
      </c>
      <c r="G1494">
        <v>3</v>
      </c>
      <c r="H1494" t="s">
        <v>578</v>
      </c>
      <c r="I1494" t="s">
        <v>570</v>
      </c>
      <c r="J1494" t="str">
        <f t="shared" si="69"/>
        <v>June</v>
      </c>
      <c r="K1494" t="str">
        <f t="shared" si="70"/>
        <v>Q2</v>
      </c>
      <c r="L1494">
        <f t="shared" si="71"/>
        <v>2025</v>
      </c>
    </row>
    <row r="1495" spans="1:12" x14ac:dyDescent="0.3">
      <c r="A1495" t="s">
        <v>2632</v>
      </c>
      <c r="B1495" t="s">
        <v>2629</v>
      </c>
      <c r="C1495" t="s">
        <v>73</v>
      </c>
      <c r="D1495">
        <v>4</v>
      </c>
      <c r="E1495" s="1">
        <v>45822</v>
      </c>
      <c r="F1495" t="s">
        <v>741</v>
      </c>
      <c r="G1495">
        <v>1</v>
      </c>
      <c r="H1495" t="s">
        <v>569</v>
      </c>
      <c r="I1495" t="s">
        <v>570</v>
      </c>
      <c r="J1495" t="str">
        <f t="shared" si="69"/>
        <v>June</v>
      </c>
      <c r="K1495" t="str">
        <f t="shared" si="70"/>
        <v>Q2</v>
      </c>
      <c r="L1495">
        <f t="shared" si="71"/>
        <v>2025</v>
      </c>
    </row>
    <row r="1496" spans="1:12" x14ac:dyDescent="0.3">
      <c r="A1496" t="s">
        <v>2633</v>
      </c>
      <c r="B1496" t="s">
        <v>2634</v>
      </c>
      <c r="C1496" t="s">
        <v>41</v>
      </c>
      <c r="D1496">
        <v>1</v>
      </c>
      <c r="E1496" s="1">
        <v>45816</v>
      </c>
      <c r="F1496" t="s">
        <v>577</v>
      </c>
      <c r="G1496">
        <v>1</v>
      </c>
      <c r="H1496" t="s">
        <v>569</v>
      </c>
      <c r="I1496" t="s">
        <v>570</v>
      </c>
      <c r="J1496" t="str">
        <f t="shared" si="69"/>
        <v>June</v>
      </c>
      <c r="K1496" t="str">
        <f t="shared" si="70"/>
        <v>Q2</v>
      </c>
      <c r="L1496">
        <f t="shared" si="71"/>
        <v>2025</v>
      </c>
    </row>
    <row r="1497" spans="1:12" x14ac:dyDescent="0.3">
      <c r="A1497" t="s">
        <v>2635</v>
      </c>
      <c r="B1497" t="s">
        <v>2634</v>
      </c>
      <c r="C1497" t="s">
        <v>41</v>
      </c>
      <c r="D1497">
        <v>2</v>
      </c>
      <c r="E1497" s="1">
        <v>45826</v>
      </c>
      <c r="F1497" t="s">
        <v>603</v>
      </c>
      <c r="G1497">
        <v>1</v>
      </c>
      <c r="H1497" t="s">
        <v>569</v>
      </c>
      <c r="I1497" t="s">
        <v>570</v>
      </c>
      <c r="J1497" t="str">
        <f t="shared" si="69"/>
        <v>June</v>
      </c>
      <c r="K1497" t="str">
        <f t="shared" si="70"/>
        <v>Q2</v>
      </c>
      <c r="L1497">
        <f t="shared" si="71"/>
        <v>2025</v>
      </c>
    </row>
    <row r="1498" spans="1:12" x14ac:dyDescent="0.3">
      <c r="A1498" t="s">
        <v>2636</v>
      </c>
      <c r="B1498" t="s">
        <v>2637</v>
      </c>
      <c r="C1498" t="s">
        <v>156</v>
      </c>
      <c r="D1498">
        <v>1</v>
      </c>
      <c r="E1498" s="1">
        <v>45734</v>
      </c>
      <c r="F1498" t="s">
        <v>590</v>
      </c>
      <c r="G1498">
        <v>3</v>
      </c>
      <c r="H1498" t="s">
        <v>578</v>
      </c>
      <c r="I1498" t="s">
        <v>570</v>
      </c>
      <c r="J1498" t="str">
        <f t="shared" si="69"/>
        <v>March</v>
      </c>
      <c r="K1498" t="str">
        <f t="shared" si="70"/>
        <v>Q1</v>
      </c>
      <c r="L1498">
        <f t="shared" si="71"/>
        <v>2025</v>
      </c>
    </row>
    <row r="1499" spans="1:12" x14ac:dyDescent="0.3">
      <c r="A1499" t="s">
        <v>2638</v>
      </c>
      <c r="B1499" t="s">
        <v>2639</v>
      </c>
      <c r="C1499" t="s">
        <v>22</v>
      </c>
      <c r="D1499">
        <v>1</v>
      </c>
      <c r="E1499" s="1">
        <v>45844</v>
      </c>
      <c r="F1499" t="s">
        <v>625</v>
      </c>
      <c r="G1499">
        <v>5</v>
      </c>
      <c r="H1499" t="s">
        <v>581</v>
      </c>
      <c r="I1499" t="s">
        <v>570</v>
      </c>
      <c r="J1499" t="str">
        <f t="shared" si="69"/>
        <v>July</v>
      </c>
      <c r="K1499" t="str">
        <f t="shared" si="70"/>
        <v>Q3</v>
      </c>
      <c r="L1499">
        <f t="shared" si="71"/>
        <v>2025</v>
      </c>
    </row>
    <row r="1500" spans="1:12" x14ac:dyDescent="0.3">
      <c r="A1500" t="s">
        <v>2640</v>
      </c>
      <c r="B1500" t="s">
        <v>2639</v>
      </c>
      <c r="C1500" t="s">
        <v>22</v>
      </c>
      <c r="D1500">
        <v>2</v>
      </c>
      <c r="E1500" s="1">
        <v>45848</v>
      </c>
      <c r="G1500">
        <v>5</v>
      </c>
      <c r="H1500" t="s">
        <v>581</v>
      </c>
      <c r="I1500" t="s">
        <v>570</v>
      </c>
      <c r="J1500" t="str">
        <f t="shared" si="69"/>
        <v>July</v>
      </c>
      <c r="K1500" t="str">
        <f t="shared" si="70"/>
        <v>Q3</v>
      </c>
      <c r="L1500">
        <f t="shared" si="71"/>
        <v>2025</v>
      </c>
    </row>
    <row r="1501" spans="1:12" x14ac:dyDescent="0.3">
      <c r="A1501" t="s">
        <v>2641</v>
      </c>
      <c r="B1501" t="s">
        <v>163</v>
      </c>
      <c r="C1501" t="s">
        <v>99</v>
      </c>
      <c r="D1501">
        <v>1</v>
      </c>
      <c r="E1501" s="1">
        <v>45861</v>
      </c>
      <c r="F1501" t="s">
        <v>656</v>
      </c>
      <c r="G1501">
        <v>3</v>
      </c>
      <c r="H1501" t="s">
        <v>578</v>
      </c>
      <c r="I1501" t="s">
        <v>570</v>
      </c>
      <c r="J1501" t="str">
        <f t="shared" si="69"/>
        <v>July</v>
      </c>
      <c r="K1501" t="str">
        <f t="shared" si="70"/>
        <v>Q3</v>
      </c>
      <c r="L1501">
        <f t="shared" si="71"/>
        <v>2025</v>
      </c>
    </row>
    <row r="1502" spans="1:12" x14ac:dyDescent="0.3">
      <c r="A1502" t="s">
        <v>2642</v>
      </c>
      <c r="B1502" t="s">
        <v>163</v>
      </c>
      <c r="C1502" t="s">
        <v>99</v>
      </c>
      <c r="D1502">
        <v>2</v>
      </c>
      <c r="E1502" s="1">
        <v>45872</v>
      </c>
      <c r="G1502">
        <v>4</v>
      </c>
      <c r="H1502" t="s">
        <v>581</v>
      </c>
      <c r="I1502" t="s">
        <v>570</v>
      </c>
      <c r="J1502" t="str">
        <f t="shared" si="69"/>
        <v>August</v>
      </c>
      <c r="K1502" t="str">
        <f t="shared" si="70"/>
        <v>Q3</v>
      </c>
      <c r="L1502">
        <f t="shared" si="71"/>
        <v>2025</v>
      </c>
    </row>
    <row r="1503" spans="1:12" x14ac:dyDescent="0.3">
      <c r="A1503" t="s">
        <v>2643</v>
      </c>
      <c r="B1503" t="s">
        <v>163</v>
      </c>
      <c r="C1503" t="s">
        <v>99</v>
      </c>
      <c r="D1503">
        <v>3</v>
      </c>
      <c r="E1503" s="1">
        <v>45876</v>
      </c>
      <c r="F1503" t="s">
        <v>656</v>
      </c>
      <c r="G1503">
        <v>5</v>
      </c>
      <c r="H1503" t="s">
        <v>581</v>
      </c>
      <c r="I1503" t="s">
        <v>570</v>
      </c>
      <c r="J1503" t="str">
        <f t="shared" si="69"/>
        <v>August</v>
      </c>
      <c r="K1503" t="str">
        <f t="shared" si="70"/>
        <v>Q3</v>
      </c>
      <c r="L1503">
        <f t="shared" si="71"/>
        <v>2025</v>
      </c>
    </row>
    <row r="1504" spans="1:12" x14ac:dyDescent="0.3">
      <c r="A1504" t="s">
        <v>2644</v>
      </c>
      <c r="B1504" t="s">
        <v>491</v>
      </c>
      <c r="C1504" t="s">
        <v>51</v>
      </c>
      <c r="D1504">
        <v>1</v>
      </c>
      <c r="E1504" s="1">
        <v>45956</v>
      </c>
      <c r="F1504" t="s">
        <v>568</v>
      </c>
      <c r="G1504">
        <v>3</v>
      </c>
      <c r="H1504" t="s">
        <v>578</v>
      </c>
      <c r="I1504" t="s">
        <v>608</v>
      </c>
      <c r="J1504" t="str">
        <f t="shared" si="69"/>
        <v>October</v>
      </c>
      <c r="K1504" t="str">
        <f t="shared" si="70"/>
        <v>Q4</v>
      </c>
      <c r="L1504">
        <f t="shared" si="71"/>
        <v>2025</v>
      </c>
    </row>
    <row r="1505" spans="1:12" x14ac:dyDescent="0.3">
      <c r="A1505" t="s">
        <v>2645</v>
      </c>
      <c r="B1505" t="s">
        <v>491</v>
      </c>
      <c r="C1505" t="s">
        <v>51</v>
      </c>
      <c r="D1505">
        <v>2</v>
      </c>
      <c r="E1505" s="1">
        <v>45968</v>
      </c>
      <c r="F1505" t="s">
        <v>572</v>
      </c>
      <c r="G1505">
        <v>4</v>
      </c>
      <c r="H1505" t="s">
        <v>581</v>
      </c>
      <c r="I1505" t="s">
        <v>570</v>
      </c>
      <c r="J1505" t="str">
        <f t="shared" si="69"/>
        <v>November</v>
      </c>
      <c r="K1505" t="str">
        <f t="shared" si="70"/>
        <v>Q4</v>
      </c>
      <c r="L1505">
        <f t="shared" si="71"/>
        <v>2025</v>
      </c>
    </row>
    <row r="1506" spans="1:12" x14ac:dyDescent="0.3">
      <c r="A1506" t="s">
        <v>2646</v>
      </c>
      <c r="B1506" t="s">
        <v>2647</v>
      </c>
      <c r="C1506" t="s">
        <v>195</v>
      </c>
      <c r="D1506">
        <v>1</v>
      </c>
      <c r="E1506" s="1">
        <v>45847</v>
      </c>
      <c r="F1506" t="s">
        <v>584</v>
      </c>
      <c r="G1506">
        <v>3</v>
      </c>
      <c r="H1506" t="s">
        <v>578</v>
      </c>
      <c r="I1506" t="s">
        <v>570</v>
      </c>
      <c r="J1506" t="str">
        <f t="shared" si="69"/>
        <v>July</v>
      </c>
      <c r="K1506" t="str">
        <f t="shared" si="70"/>
        <v>Q3</v>
      </c>
      <c r="L1506">
        <f t="shared" si="71"/>
        <v>2025</v>
      </c>
    </row>
    <row r="1507" spans="1:12" x14ac:dyDescent="0.3">
      <c r="A1507" t="s">
        <v>2648</v>
      </c>
      <c r="B1507" t="s">
        <v>2649</v>
      </c>
      <c r="C1507" t="s">
        <v>99</v>
      </c>
      <c r="D1507">
        <v>1</v>
      </c>
      <c r="E1507" s="1">
        <v>45859</v>
      </c>
      <c r="F1507" t="s">
        <v>584</v>
      </c>
      <c r="G1507">
        <v>1</v>
      </c>
      <c r="H1507" t="s">
        <v>569</v>
      </c>
      <c r="I1507" t="s">
        <v>570</v>
      </c>
      <c r="J1507" t="str">
        <f t="shared" si="69"/>
        <v>July</v>
      </c>
      <c r="K1507" t="str">
        <f t="shared" si="70"/>
        <v>Q3</v>
      </c>
      <c r="L1507">
        <f t="shared" si="71"/>
        <v>2025</v>
      </c>
    </row>
    <row r="1508" spans="1:12" x14ac:dyDescent="0.3">
      <c r="A1508" t="s">
        <v>2650</v>
      </c>
      <c r="B1508" t="s">
        <v>2651</v>
      </c>
      <c r="C1508" t="s">
        <v>51</v>
      </c>
      <c r="D1508">
        <v>1</v>
      </c>
      <c r="E1508" s="1">
        <v>45947</v>
      </c>
      <c r="F1508" t="s">
        <v>596</v>
      </c>
      <c r="G1508">
        <v>2</v>
      </c>
      <c r="H1508" t="s">
        <v>569</v>
      </c>
      <c r="I1508" t="s">
        <v>570</v>
      </c>
      <c r="J1508" t="str">
        <f t="shared" si="69"/>
        <v>October</v>
      </c>
      <c r="K1508" t="str">
        <f t="shared" si="70"/>
        <v>Q4</v>
      </c>
      <c r="L1508">
        <f t="shared" si="71"/>
        <v>2025</v>
      </c>
    </row>
    <row r="1509" spans="1:12" x14ac:dyDescent="0.3">
      <c r="A1509" t="s">
        <v>2652</v>
      </c>
      <c r="B1509" t="s">
        <v>2653</v>
      </c>
      <c r="C1509" t="s">
        <v>37</v>
      </c>
      <c r="D1509">
        <v>1</v>
      </c>
      <c r="E1509" s="1">
        <v>45721</v>
      </c>
      <c r="F1509" t="s">
        <v>663</v>
      </c>
      <c r="G1509">
        <v>2</v>
      </c>
      <c r="H1509" t="s">
        <v>569</v>
      </c>
      <c r="I1509" t="s">
        <v>608</v>
      </c>
      <c r="J1509" t="str">
        <f t="shared" si="69"/>
        <v>March</v>
      </c>
      <c r="K1509" t="str">
        <f t="shared" si="70"/>
        <v>Q1</v>
      </c>
      <c r="L1509">
        <f t="shared" si="71"/>
        <v>2025</v>
      </c>
    </row>
    <row r="1510" spans="1:12" x14ac:dyDescent="0.3">
      <c r="A1510" t="s">
        <v>2654</v>
      </c>
      <c r="B1510" t="s">
        <v>2653</v>
      </c>
      <c r="C1510" t="s">
        <v>37</v>
      </c>
      <c r="D1510">
        <v>2</v>
      </c>
      <c r="E1510" s="1">
        <v>45727</v>
      </c>
      <c r="F1510" t="s">
        <v>663</v>
      </c>
      <c r="G1510">
        <v>3</v>
      </c>
      <c r="H1510" t="s">
        <v>578</v>
      </c>
      <c r="I1510" t="s">
        <v>570</v>
      </c>
      <c r="J1510" t="str">
        <f t="shared" si="69"/>
        <v>March</v>
      </c>
      <c r="K1510" t="str">
        <f t="shared" si="70"/>
        <v>Q1</v>
      </c>
      <c r="L1510">
        <f t="shared" si="71"/>
        <v>2025</v>
      </c>
    </row>
    <row r="1511" spans="1:12" x14ac:dyDescent="0.3">
      <c r="A1511" t="s">
        <v>2655</v>
      </c>
      <c r="B1511" t="s">
        <v>2656</v>
      </c>
      <c r="C1511" t="s">
        <v>240</v>
      </c>
      <c r="D1511">
        <v>1</v>
      </c>
      <c r="E1511" s="1">
        <v>45960</v>
      </c>
      <c r="F1511" t="s">
        <v>596</v>
      </c>
      <c r="G1511">
        <v>1</v>
      </c>
      <c r="H1511" t="s">
        <v>569</v>
      </c>
      <c r="I1511" t="s">
        <v>608</v>
      </c>
      <c r="J1511" t="str">
        <f t="shared" si="69"/>
        <v>October</v>
      </c>
      <c r="K1511" t="str">
        <f t="shared" si="70"/>
        <v>Q4</v>
      </c>
      <c r="L1511">
        <f t="shared" si="71"/>
        <v>2025</v>
      </c>
    </row>
    <row r="1512" spans="1:12" x14ac:dyDescent="0.3">
      <c r="A1512" t="s">
        <v>2657</v>
      </c>
      <c r="B1512" t="s">
        <v>2656</v>
      </c>
      <c r="C1512" t="s">
        <v>240</v>
      </c>
      <c r="D1512">
        <v>2</v>
      </c>
      <c r="E1512" s="1">
        <v>45970</v>
      </c>
      <c r="F1512" t="s">
        <v>580</v>
      </c>
      <c r="G1512">
        <v>2</v>
      </c>
      <c r="H1512" t="s">
        <v>569</v>
      </c>
      <c r="I1512" t="s">
        <v>570</v>
      </c>
      <c r="J1512" t="str">
        <f t="shared" si="69"/>
        <v>November</v>
      </c>
      <c r="K1512" t="str">
        <f t="shared" si="70"/>
        <v>Q4</v>
      </c>
      <c r="L1512">
        <f t="shared" si="71"/>
        <v>2025</v>
      </c>
    </row>
    <row r="1513" spans="1:12" x14ac:dyDescent="0.3">
      <c r="A1513" t="s">
        <v>2658</v>
      </c>
      <c r="B1513" t="s">
        <v>2656</v>
      </c>
      <c r="C1513" t="s">
        <v>240</v>
      </c>
      <c r="D1513">
        <v>3</v>
      </c>
      <c r="E1513" s="1">
        <v>45978</v>
      </c>
      <c r="F1513" t="s">
        <v>596</v>
      </c>
      <c r="G1513">
        <v>2</v>
      </c>
      <c r="H1513" t="s">
        <v>569</v>
      </c>
      <c r="I1513" t="s">
        <v>570</v>
      </c>
      <c r="J1513" t="str">
        <f t="shared" si="69"/>
        <v>November</v>
      </c>
      <c r="K1513" t="str">
        <f t="shared" si="70"/>
        <v>Q4</v>
      </c>
      <c r="L1513">
        <f t="shared" si="71"/>
        <v>2025</v>
      </c>
    </row>
    <row r="1514" spans="1:12" x14ac:dyDescent="0.3">
      <c r="A1514" t="s">
        <v>2659</v>
      </c>
      <c r="B1514" t="s">
        <v>2656</v>
      </c>
      <c r="C1514" t="s">
        <v>240</v>
      </c>
      <c r="D1514">
        <v>4</v>
      </c>
      <c r="E1514" s="1">
        <v>45988</v>
      </c>
      <c r="F1514" t="s">
        <v>663</v>
      </c>
      <c r="G1514">
        <v>2</v>
      </c>
      <c r="H1514" t="s">
        <v>569</v>
      </c>
      <c r="I1514" t="s">
        <v>597</v>
      </c>
      <c r="J1514" t="str">
        <f t="shared" si="69"/>
        <v>November</v>
      </c>
      <c r="K1514" t="str">
        <f t="shared" si="70"/>
        <v>Q4</v>
      </c>
      <c r="L1514">
        <f t="shared" si="71"/>
        <v>2025</v>
      </c>
    </row>
    <row r="1515" spans="1:12" x14ac:dyDescent="0.3">
      <c r="A1515" t="s">
        <v>2660</v>
      </c>
      <c r="B1515" t="s">
        <v>2661</v>
      </c>
      <c r="C1515" t="s">
        <v>85</v>
      </c>
      <c r="D1515">
        <v>1</v>
      </c>
      <c r="E1515" s="1">
        <v>45846</v>
      </c>
      <c r="F1515" t="s">
        <v>580</v>
      </c>
      <c r="G1515">
        <v>3</v>
      </c>
      <c r="H1515" t="s">
        <v>578</v>
      </c>
      <c r="I1515" t="s">
        <v>570</v>
      </c>
      <c r="J1515" t="str">
        <f t="shared" si="69"/>
        <v>July</v>
      </c>
      <c r="K1515" t="str">
        <f t="shared" si="70"/>
        <v>Q3</v>
      </c>
      <c r="L1515">
        <f t="shared" si="71"/>
        <v>2025</v>
      </c>
    </row>
    <row r="1516" spans="1:12" x14ac:dyDescent="0.3">
      <c r="A1516" t="s">
        <v>2662</v>
      </c>
      <c r="B1516" t="s">
        <v>2661</v>
      </c>
      <c r="C1516" t="s">
        <v>85</v>
      </c>
      <c r="D1516">
        <v>2</v>
      </c>
      <c r="E1516" s="1">
        <v>45854</v>
      </c>
      <c r="F1516" t="s">
        <v>586</v>
      </c>
      <c r="G1516">
        <v>3</v>
      </c>
      <c r="H1516" t="s">
        <v>578</v>
      </c>
      <c r="I1516" t="s">
        <v>570</v>
      </c>
      <c r="J1516" t="str">
        <f t="shared" si="69"/>
        <v>July</v>
      </c>
      <c r="K1516" t="str">
        <f t="shared" si="70"/>
        <v>Q3</v>
      </c>
      <c r="L1516">
        <f t="shared" si="71"/>
        <v>2025</v>
      </c>
    </row>
    <row r="1517" spans="1:12" x14ac:dyDescent="0.3">
      <c r="A1517" t="s">
        <v>2663</v>
      </c>
      <c r="B1517" t="s">
        <v>2661</v>
      </c>
      <c r="C1517" t="s">
        <v>85</v>
      </c>
      <c r="D1517">
        <v>3</v>
      </c>
      <c r="E1517" s="1">
        <v>45865</v>
      </c>
      <c r="F1517" t="s">
        <v>596</v>
      </c>
      <c r="G1517">
        <v>2</v>
      </c>
      <c r="H1517" t="s">
        <v>569</v>
      </c>
      <c r="I1517" t="s">
        <v>570</v>
      </c>
      <c r="J1517" t="str">
        <f t="shared" si="69"/>
        <v>July</v>
      </c>
      <c r="K1517" t="str">
        <f t="shared" si="70"/>
        <v>Q3</v>
      </c>
      <c r="L1517">
        <f t="shared" si="71"/>
        <v>2025</v>
      </c>
    </row>
    <row r="1518" spans="1:12" x14ac:dyDescent="0.3">
      <c r="A1518" t="s">
        <v>2664</v>
      </c>
      <c r="B1518" t="s">
        <v>2665</v>
      </c>
      <c r="C1518" t="s">
        <v>27</v>
      </c>
      <c r="D1518">
        <v>1</v>
      </c>
      <c r="E1518" s="1">
        <v>45890</v>
      </c>
      <c r="F1518" t="s">
        <v>632</v>
      </c>
      <c r="G1518">
        <v>2</v>
      </c>
      <c r="H1518" t="s">
        <v>569</v>
      </c>
      <c r="I1518" t="s">
        <v>570</v>
      </c>
      <c r="J1518" t="str">
        <f t="shared" si="69"/>
        <v>August</v>
      </c>
      <c r="K1518" t="str">
        <f t="shared" si="70"/>
        <v>Q3</v>
      </c>
      <c r="L1518">
        <f t="shared" si="71"/>
        <v>2025</v>
      </c>
    </row>
    <row r="1519" spans="1:12" x14ac:dyDescent="0.3">
      <c r="A1519" t="s">
        <v>2666</v>
      </c>
      <c r="B1519" t="s">
        <v>2665</v>
      </c>
      <c r="C1519" t="s">
        <v>27</v>
      </c>
      <c r="D1519">
        <v>2</v>
      </c>
      <c r="E1519" s="1">
        <v>45896</v>
      </c>
      <c r="F1519" t="s">
        <v>584</v>
      </c>
      <c r="G1519">
        <v>1</v>
      </c>
      <c r="H1519" t="s">
        <v>569</v>
      </c>
      <c r="I1519" t="s">
        <v>570</v>
      </c>
      <c r="J1519" t="str">
        <f t="shared" si="69"/>
        <v>August</v>
      </c>
      <c r="K1519" t="str">
        <f t="shared" si="70"/>
        <v>Q3</v>
      </c>
      <c r="L1519">
        <f t="shared" si="71"/>
        <v>2025</v>
      </c>
    </row>
    <row r="1520" spans="1:12" x14ac:dyDescent="0.3">
      <c r="A1520" t="s">
        <v>2667</v>
      </c>
      <c r="B1520" t="s">
        <v>2668</v>
      </c>
      <c r="C1520" t="s">
        <v>195</v>
      </c>
      <c r="D1520">
        <v>1</v>
      </c>
      <c r="E1520" s="1">
        <v>45854</v>
      </c>
      <c r="F1520" t="s">
        <v>575</v>
      </c>
      <c r="G1520">
        <v>3</v>
      </c>
      <c r="H1520" t="s">
        <v>578</v>
      </c>
      <c r="I1520" t="s">
        <v>570</v>
      </c>
      <c r="J1520" t="str">
        <f t="shared" si="69"/>
        <v>July</v>
      </c>
      <c r="K1520" t="str">
        <f t="shared" si="70"/>
        <v>Q3</v>
      </c>
      <c r="L1520">
        <f t="shared" si="71"/>
        <v>2025</v>
      </c>
    </row>
    <row r="1521" spans="1:12" x14ac:dyDescent="0.3">
      <c r="A1521" t="s">
        <v>2669</v>
      </c>
      <c r="B1521" t="s">
        <v>2668</v>
      </c>
      <c r="C1521" t="s">
        <v>195</v>
      </c>
      <c r="D1521">
        <v>2</v>
      </c>
      <c r="E1521" s="1">
        <v>45865</v>
      </c>
      <c r="F1521" t="s">
        <v>592</v>
      </c>
      <c r="G1521">
        <v>3</v>
      </c>
      <c r="H1521" t="s">
        <v>578</v>
      </c>
      <c r="I1521" t="s">
        <v>570</v>
      </c>
      <c r="J1521" t="str">
        <f t="shared" si="69"/>
        <v>July</v>
      </c>
      <c r="K1521" t="str">
        <f t="shared" si="70"/>
        <v>Q3</v>
      </c>
      <c r="L1521">
        <f t="shared" si="71"/>
        <v>2025</v>
      </c>
    </row>
    <row r="1522" spans="1:12" x14ac:dyDescent="0.3">
      <c r="A1522" t="s">
        <v>2670</v>
      </c>
      <c r="B1522" t="s">
        <v>2668</v>
      </c>
      <c r="C1522" t="s">
        <v>195</v>
      </c>
      <c r="D1522">
        <v>3</v>
      </c>
      <c r="E1522" s="1">
        <v>45876</v>
      </c>
      <c r="F1522" t="s">
        <v>584</v>
      </c>
      <c r="G1522">
        <v>4</v>
      </c>
      <c r="H1522" t="s">
        <v>581</v>
      </c>
      <c r="I1522" t="s">
        <v>570</v>
      </c>
      <c r="J1522" t="str">
        <f t="shared" si="69"/>
        <v>August</v>
      </c>
      <c r="K1522" t="str">
        <f t="shared" si="70"/>
        <v>Q3</v>
      </c>
      <c r="L1522">
        <f t="shared" si="71"/>
        <v>2025</v>
      </c>
    </row>
    <row r="1523" spans="1:12" x14ac:dyDescent="0.3">
      <c r="A1523" t="s">
        <v>2671</v>
      </c>
      <c r="B1523" t="s">
        <v>2668</v>
      </c>
      <c r="C1523" t="s">
        <v>195</v>
      </c>
      <c r="D1523">
        <v>4</v>
      </c>
      <c r="E1523" s="1">
        <v>45881</v>
      </c>
      <c r="F1523" t="s">
        <v>584</v>
      </c>
      <c r="G1523">
        <v>4</v>
      </c>
      <c r="H1523" t="s">
        <v>581</v>
      </c>
      <c r="I1523" t="s">
        <v>570</v>
      </c>
      <c r="J1523" t="str">
        <f t="shared" si="69"/>
        <v>August</v>
      </c>
      <c r="K1523" t="str">
        <f t="shared" si="70"/>
        <v>Q3</v>
      </c>
      <c r="L1523">
        <f t="shared" si="71"/>
        <v>2025</v>
      </c>
    </row>
    <row r="1524" spans="1:12" x14ac:dyDescent="0.3">
      <c r="A1524" t="s">
        <v>2672</v>
      </c>
      <c r="B1524" t="s">
        <v>2673</v>
      </c>
      <c r="C1524" t="s">
        <v>340</v>
      </c>
      <c r="D1524">
        <v>1</v>
      </c>
      <c r="E1524" s="1">
        <v>45689</v>
      </c>
      <c r="F1524" t="s">
        <v>577</v>
      </c>
      <c r="G1524">
        <v>2</v>
      </c>
      <c r="H1524" t="s">
        <v>569</v>
      </c>
      <c r="I1524" t="s">
        <v>570</v>
      </c>
      <c r="J1524" t="str">
        <f t="shared" si="69"/>
        <v>February</v>
      </c>
      <c r="K1524" t="str">
        <f t="shared" si="70"/>
        <v>Q1</v>
      </c>
      <c r="L1524">
        <f t="shared" si="71"/>
        <v>2025</v>
      </c>
    </row>
    <row r="1525" spans="1:12" x14ac:dyDescent="0.3">
      <c r="A1525" t="s">
        <v>2674</v>
      </c>
      <c r="B1525" t="s">
        <v>2673</v>
      </c>
      <c r="C1525" t="s">
        <v>340</v>
      </c>
      <c r="D1525">
        <v>2</v>
      </c>
      <c r="E1525" s="1">
        <v>45699</v>
      </c>
      <c r="F1525" t="s">
        <v>741</v>
      </c>
      <c r="G1525">
        <v>1</v>
      </c>
      <c r="H1525" t="s">
        <v>569</v>
      </c>
      <c r="I1525" t="s">
        <v>608</v>
      </c>
      <c r="J1525" t="str">
        <f t="shared" si="69"/>
        <v>February</v>
      </c>
      <c r="K1525" t="str">
        <f t="shared" si="70"/>
        <v>Q1</v>
      </c>
      <c r="L1525">
        <f t="shared" si="71"/>
        <v>2025</v>
      </c>
    </row>
    <row r="1526" spans="1:12" x14ac:dyDescent="0.3">
      <c r="A1526" t="s">
        <v>2675</v>
      </c>
      <c r="B1526" t="s">
        <v>155</v>
      </c>
      <c r="C1526" t="s">
        <v>156</v>
      </c>
      <c r="D1526">
        <v>1</v>
      </c>
      <c r="E1526" s="1">
        <v>45731</v>
      </c>
      <c r="F1526" t="s">
        <v>741</v>
      </c>
      <c r="G1526">
        <v>3</v>
      </c>
      <c r="H1526" t="s">
        <v>578</v>
      </c>
      <c r="I1526" t="s">
        <v>570</v>
      </c>
      <c r="J1526" t="str">
        <f t="shared" si="69"/>
        <v>March</v>
      </c>
      <c r="K1526" t="str">
        <f t="shared" si="70"/>
        <v>Q1</v>
      </c>
      <c r="L1526">
        <f t="shared" si="71"/>
        <v>2025</v>
      </c>
    </row>
    <row r="1527" spans="1:12" x14ac:dyDescent="0.3">
      <c r="A1527" t="s">
        <v>2676</v>
      </c>
      <c r="B1527" t="s">
        <v>155</v>
      </c>
      <c r="C1527" t="s">
        <v>156</v>
      </c>
      <c r="D1527">
        <v>2</v>
      </c>
      <c r="E1527" s="1">
        <v>45741</v>
      </c>
      <c r="F1527" t="s">
        <v>580</v>
      </c>
      <c r="G1527">
        <v>4</v>
      </c>
      <c r="H1527" t="s">
        <v>581</v>
      </c>
      <c r="I1527" t="s">
        <v>570</v>
      </c>
      <c r="J1527" t="str">
        <f t="shared" si="69"/>
        <v>March</v>
      </c>
      <c r="K1527" t="str">
        <f t="shared" si="70"/>
        <v>Q1</v>
      </c>
      <c r="L1527">
        <f t="shared" si="71"/>
        <v>2025</v>
      </c>
    </row>
    <row r="1528" spans="1:12" x14ac:dyDescent="0.3">
      <c r="A1528" t="s">
        <v>2677</v>
      </c>
      <c r="B1528" t="s">
        <v>155</v>
      </c>
      <c r="C1528" t="s">
        <v>156</v>
      </c>
      <c r="D1528">
        <v>3</v>
      </c>
      <c r="E1528" s="1">
        <v>45745</v>
      </c>
      <c r="F1528" t="s">
        <v>766</v>
      </c>
      <c r="G1528">
        <v>4</v>
      </c>
      <c r="H1528" t="s">
        <v>581</v>
      </c>
      <c r="I1528" t="s">
        <v>570</v>
      </c>
      <c r="J1528" t="str">
        <f t="shared" si="69"/>
        <v>March</v>
      </c>
      <c r="K1528" t="str">
        <f t="shared" si="70"/>
        <v>Q1</v>
      </c>
      <c r="L1528">
        <f t="shared" si="71"/>
        <v>2025</v>
      </c>
    </row>
    <row r="1529" spans="1:12" x14ac:dyDescent="0.3">
      <c r="A1529" t="s">
        <v>2678</v>
      </c>
      <c r="B1529" t="s">
        <v>2679</v>
      </c>
      <c r="C1529" t="s">
        <v>58</v>
      </c>
      <c r="D1529">
        <v>1</v>
      </c>
      <c r="E1529" s="1">
        <v>45817</v>
      </c>
      <c r="F1529" t="s">
        <v>577</v>
      </c>
      <c r="G1529">
        <v>2</v>
      </c>
      <c r="H1529" t="s">
        <v>569</v>
      </c>
      <c r="I1529" t="s">
        <v>570</v>
      </c>
      <c r="J1529" t="str">
        <f t="shared" si="69"/>
        <v>June</v>
      </c>
      <c r="K1529" t="str">
        <f t="shared" si="70"/>
        <v>Q2</v>
      </c>
      <c r="L1529">
        <f t="shared" si="71"/>
        <v>2025</v>
      </c>
    </row>
    <row r="1530" spans="1:12" x14ac:dyDescent="0.3">
      <c r="A1530" t="s">
        <v>2680</v>
      </c>
      <c r="B1530" t="s">
        <v>2679</v>
      </c>
      <c r="C1530" t="s">
        <v>58</v>
      </c>
      <c r="D1530">
        <v>2</v>
      </c>
      <c r="E1530" s="1">
        <v>45824</v>
      </c>
      <c r="F1530" t="s">
        <v>605</v>
      </c>
      <c r="G1530">
        <v>2</v>
      </c>
      <c r="H1530" t="s">
        <v>569</v>
      </c>
      <c r="I1530" t="s">
        <v>570</v>
      </c>
      <c r="J1530" t="str">
        <f t="shared" si="69"/>
        <v>June</v>
      </c>
      <c r="K1530" t="str">
        <f t="shared" si="70"/>
        <v>Q2</v>
      </c>
      <c r="L1530">
        <f t="shared" si="71"/>
        <v>2025</v>
      </c>
    </row>
    <row r="1531" spans="1:12" x14ac:dyDescent="0.3">
      <c r="A1531" t="s">
        <v>2681</v>
      </c>
      <c r="B1531" t="s">
        <v>2679</v>
      </c>
      <c r="C1531" t="s">
        <v>58</v>
      </c>
      <c r="D1531">
        <v>3</v>
      </c>
      <c r="E1531" s="1">
        <v>45831</v>
      </c>
      <c r="F1531" t="s">
        <v>603</v>
      </c>
      <c r="G1531">
        <v>1</v>
      </c>
      <c r="H1531" t="s">
        <v>569</v>
      </c>
      <c r="I1531" t="s">
        <v>570</v>
      </c>
      <c r="J1531" t="str">
        <f t="shared" si="69"/>
        <v>June</v>
      </c>
      <c r="K1531" t="str">
        <f t="shared" si="70"/>
        <v>Q2</v>
      </c>
      <c r="L1531">
        <f t="shared" si="71"/>
        <v>2025</v>
      </c>
    </row>
    <row r="1532" spans="1:12" x14ac:dyDescent="0.3">
      <c r="A1532" t="s">
        <v>2682</v>
      </c>
      <c r="B1532" t="s">
        <v>2683</v>
      </c>
      <c r="C1532" t="s">
        <v>429</v>
      </c>
      <c r="D1532">
        <v>1</v>
      </c>
      <c r="E1532" s="1">
        <v>45772</v>
      </c>
      <c r="F1532" t="s">
        <v>590</v>
      </c>
      <c r="G1532">
        <v>4</v>
      </c>
      <c r="H1532" t="s">
        <v>581</v>
      </c>
      <c r="I1532" t="s">
        <v>570</v>
      </c>
      <c r="J1532" t="str">
        <f t="shared" si="69"/>
        <v>April</v>
      </c>
      <c r="K1532" t="str">
        <f t="shared" si="70"/>
        <v>Q2</v>
      </c>
      <c r="L1532">
        <f t="shared" si="71"/>
        <v>2025</v>
      </c>
    </row>
    <row r="1533" spans="1:12" x14ac:dyDescent="0.3">
      <c r="A1533" t="s">
        <v>2684</v>
      </c>
      <c r="B1533" t="s">
        <v>2683</v>
      </c>
      <c r="C1533" t="s">
        <v>429</v>
      </c>
      <c r="D1533">
        <v>2</v>
      </c>
      <c r="E1533" s="1">
        <v>45784</v>
      </c>
      <c r="F1533" t="s">
        <v>592</v>
      </c>
      <c r="G1533">
        <v>5</v>
      </c>
      <c r="H1533" t="s">
        <v>581</v>
      </c>
      <c r="I1533" t="s">
        <v>570</v>
      </c>
      <c r="J1533" t="str">
        <f t="shared" si="69"/>
        <v>May</v>
      </c>
      <c r="K1533" t="str">
        <f t="shared" si="70"/>
        <v>Q2</v>
      </c>
      <c r="L1533">
        <f t="shared" si="71"/>
        <v>2025</v>
      </c>
    </row>
    <row r="1534" spans="1:12" x14ac:dyDescent="0.3">
      <c r="A1534" t="s">
        <v>2685</v>
      </c>
      <c r="B1534" t="s">
        <v>2683</v>
      </c>
      <c r="C1534" t="s">
        <v>429</v>
      </c>
      <c r="D1534">
        <v>3</v>
      </c>
      <c r="E1534" s="1">
        <v>45796</v>
      </c>
      <c r="F1534" t="s">
        <v>592</v>
      </c>
      <c r="G1534">
        <v>4</v>
      </c>
      <c r="H1534" t="s">
        <v>581</v>
      </c>
      <c r="I1534" t="s">
        <v>570</v>
      </c>
      <c r="J1534" t="str">
        <f t="shared" si="69"/>
        <v>May</v>
      </c>
      <c r="K1534" t="str">
        <f t="shared" si="70"/>
        <v>Q2</v>
      </c>
      <c r="L1534">
        <f t="shared" si="71"/>
        <v>2025</v>
      </c>
    </row>
    <row r="1535" spans="1:12" x14ac:dyDescent="0.3">
      <c r="A1535" t="s">
        <v>2686</v>
      </c>
      <c r="B1535" t="s">
        <v>2687</v>
      </c>
      <c r="C1535" t="s">
        <v>166</v>
      </c>
      <c r="D1535">
        <v>1</v>
      </c>
      <c r="E1535" s="1">
        <v>45787</v>
      </c>
      <c r="F1535" t="s">
        <v>572</v>
      </c>
      <c r="G1535">
        <v>3</v>
      </c>
      <c r="H1535" t="s">
        <v>578</v>
      </c>
      <c r="I1535" t="s">
        <v>570</v>
      </c>
      <c r="J1535" t="str">
        <f t="shared" si="69"/>
        <v>May</v>
      </c>
      <c r="K1535" t="str">
        <f t="shared" si="70"/>
        <v>Q2</v>
      </c>
      <c r="L1535">
        <f t="shared" si="71"/>
        <v>2025</v>
      </c>
    </row>
    <row r="1536" spans="1:12" x14ac:dyDescent="0.3">
      <c r="A1536" t="s">
        <v>2688</v>
      </c>
      <c r="B1536" t="s">
        <v>2687</v>
      </c>
      <c r="C1536" t="s">
        <v>166</v>
      </c>
      <c r="D1536">
        <v>2</v>
      </c>
      <c r="E1536" s="1">
        <v>45791</v>
      </c>
      <c r="F1536" t="s">
        <v>577</v>
      </c>
      <c r="G1536">
        <v>2</v>
      </c>
      <c r="H1536" t="s">
        <v>569</v>
      </c>
      <c r="I1536" t="s">
        <v>570</v>
      </c>
      <c r="J1536" t="str">
        <f t="shared" si="69"/>
        <v>May</v>
      </c>
      <c r="K1536" t="str">
        <f t="shared" si="70"/>
        <v>Q2</v>
      </c>
      <c r="L1536">
        <f t="shared" si="71"/>
        <v>2025</v>
      </c>
    </row>
    <row r="1537" spans="1:12" x14ac:dyDescent="0.3">
      <c r="A1537" t="s">
        <v>2689</v>
      </c>
      <c r="B1537" t="s">
        <v>2687</v>
      </c>
      <c r="C1537" t="s">
        <v>166</v>
      </c>
      <c r="D1537">
        <v>3</v>
      </c>
      <c r="E1537" s="1">
        <v>45796</v>
      </c>
      <c r="F1537" t="s">
        <v>575</v>
      </c>
      <c r="G1537">
        <v>1</v>
      </c>
      <c r="H1537" t="s">
        <v>569</v>
      </c>
      <c r="I1537" t="s">
        <v>570</v>
      </c>
      <c r="J1537" t="str">
        <f t="shared" si="69"/>
        <v>May</v>
      </c>
      <c r="K1537" t="str">
        <f t="shared" si="70"/>
        <v>Q2</v>
      </c>
      <c r="L1537">
        <f t="shared" si="71"/>
        <v>2025</v>
      </c>
    </row>
    <row r="1538" spans="1:12" x14ac:dyDescent="0.3">
      <c r="A1538" t="s">
        <v>2690</v>
      </c>
      <c r="B1538" t="s">
        <v>2687</v>
      </c>
      <c r="C1538" t="s">
        <v>166</v>
      </c>
      <c r="D1538">
        <v>4</v>
      </c>
      <c r="E1538" s="1">
        <v>45808</v>
      </c>
      <c r="F1538" t="s">
        <v>596</v>
      </c>
      <c r="G1538">
        <v>2</v>
      </c>
      <c r="H1538" t="s">
        <v>569</v>
      </c>
      <c r="I1538" t="s">
        <v>570</v>
      </c>
      <c r="J1538" t="str">
        <f t="shared" ref="J1538:J1601" si="72">TEXT(E1538,"mmmm")</f>
        <v>May</v>
      </c>
      <c r="K1538" t="str">
        <f t="shared" ref="K1538:K1601" si="73">"Q"&amp;ROUNDUP(MONTH(E1538)/3,0)</f>
        <v>Q2</v>
      </c>
      <c r="L1538">
        <f t="shared" ref="L1538:L1601" si="74">YEAR(E1538)</f>
        <v>2025</v>
      </c>
    </row>
    <row r="1539" spans="1:12" x14ac:dyDescent="0.3">
      <c r="A1539" t="s">
        <v>2691</v>
      </c>
      <c r="B1539" t="s">
        <v>2692</v>
      </c>
      <c r="C1539" t="s">
        <v>147</v>
      </c>
      <c r="D1539">
        <v>1</v>
      </c>
      <c r="E1539" s="1">
        <v>45827</v>
      </c>
      <c r="F1539" t="s">
        <v>580</v>
      </c>
      <c r="G1539">
        <v>3</v>
      </c>
      <c r="H1539" t="s">
        <v>578</v>
      </c>
      <c r="I1539" t="s">
        <v>597</v>
      </c>
      <c r="J1539" t="str">
        <f t="shared" si="72"/>
        <v>June</v>
      </c>
      <c r="K1539" t="str">
        <f t="shared" si="73"/>
        <v>Q2</v>
      </c>
      <c r="L1539">
        <f t="shared" si="74"/>
        <v>2025</v>
      </c>
    </row>
    <row r="1540" spans="1:12" x14ac:dyDescent="0.3">
      <c r="A1540" t="s">
        <v>2693</v>
      </c>
      <c r="B1540" t="s">
        <v>2692</v>
      </c>
      <c r="C1540" t="s">
        <v>147</v>
      </c>
      <c r="D1540">
        <v>2</v>
      </c>
      <c r="E1540" s="1">
        <v>45836</v>
      </c>
      <c r="F1540" t="s">
        <v>568</v>
      </c>
      <c r="G1540">
        <v>2</v>
      </c>
      <c r="H1540" t="s">
        <v>569</v>
      </c>
      <c r="I1540" t="s">
        <v>597</v>
      </c>
      <c r="J1540" t="str">
        <f t="shared" si="72"/>
        <v>June</v>
      </c>
      <c r="K1540" t="str">
        <f t="shared" si="73"/>
        <v>Q2</v>
      </c>
      <c r="L1540">
        <f t="shared" si="74"/>
        <v>2025</v>
      </c>
    </row>
    <row r="1541" spans="1:12" x14ac:dyDescent="0.3">
      <c r="A1541" t="s">
        <v>2694</v>
      </c>
      <c r="B1541" t="s">
        <v>2692</v>
      </c>
      <c r="C1541" t="s">
        <v>147</v>
      </c>
      <c r="D1541">
        <v>3</v>
      </c>
      <c r="E1541" s="1">
        <v>45844</v>
      </c>
      <c r="F1541" t="s">
        <v>596</v>
      </c>
      <c r="G1541">
        <v>1</v>
      </c>
      <c r="H1541" t="s">
        <v>569</v>
      </c>
      <c r="I1541" t="s">
        <v>570</v>
      </c>
      <c r="J1541" t="str">
        <f t="shared" si="72"/>
        <v>July</v>
      </c>
      <c r="K1541" t="str">
        <f t="shared" si="73"/>
        <v>Q3</v>
      </c>
      <c r="L1541">
        <f t="shared" si="74"/>
        <v>2025</v>
      </c>
    </row>
    <row r="1542" spans="1:12" x14ac:dyDescent="0.3">
      <c r="A1542" t="s">
        <v>2695</v>
      </c>
      <c r="B1542" t="s">
        <v>2696</v>
      </c>
      <c r="C1542" t="s">
        <v>27</v>
      </c>
      <c r="D1542">
        <v>1</v>
      </c>
      <c r="E1542" s="1">
        <v>45880</v>
      </c>
      <c r="F1542" t="s">
        <v>632</v>
      </c>
      <c r="G1542">
        <v>4</v>
      </c>
      <c r="H1542" t="s">
        <v>581</v>
      </c>
      <c r="I1542" t="s">
        <v>570</v>
      </c>
      <c r="J1542" t="str">
        <f t="shared" si="72"/>
        <v>August</v>
      </c>
      <c r="K1542" t="str">
        <f t="shared" si="73"/>
        <v>Q3</v>
      </c>
      <c r="L1542">
        <f t="shared" si="74"/>
        <v>2025</v>
      </c>
    </row>
    <row r="1543" spans="1:12" x14ac:dyDescent="0.3">
      <c r="A1543" t="s">
        <v>2697</v>
      </c>
      <c r="B1543" t="s">
        <v>2696</v>
      </c>
      <c r="C1543" t="s">
        <v>27</v>
      </c>
      <c r="D1543">
        <v>2</v>
      </c>
      <c r="E1543" s="1">
        <v>45884</v>
      </c>
      <c r="F1543" t="s">
        <v>584</v>
      </c>
      <c r="G1543">
        <v>4</v>
      </c>
      <c r="H1543" t="s">
        <v>581</v>
      </c>
      <c r="I1543" t="s">
        <v>570</v>
      </c>
      <c r="J1543" t="str">
        <f t="shared" si="72"/>
        <v>August</v>
      </c>
      <c r="K1543" t="str">
        <f t="shared" si="73"/>
        <v>Q3</v>
      </c>
      <c r="L1543">
        <f t="shared" si="74"/>
        <v>2025</v>
      </c>
    </row>
    <row r="1544" spans="1:12" x14ac:dyDescent="0.3">
      <c r="A1544" t="s">
        <v>2698</v>
      </c>
      <c r="B1544" t="s">
        <v>2696</v>
      </c>
      <c r="C1544" t="s">
        <v>27</v>
      </c>
      <c r="D1544">
        <v>3</v>
      </c>
      <c r="E1544" s="1">
        <v>45891</v>
      </c>
      <c r="F1544" t="s">
        <v>632</v>
      </c>
      <c r="G1544">
        <v>4</v>
      </c>
      <c r="H1544" t="s">
        <v>581</v>
      </c>
      <c r="I1544" t="s">
        <v>570</v>
      </c>
      <c r="J1544" t="str">
        <f t="shared" si="72"/>
        <v>August</v>
      </c>
      <c r="K1544" t="str">
        <f t="shared" si="73"/>
        <v>Q3</v>
      </c>
      <c r="L1544">
        <f t="shared" si="74"/>
        <v>2025</v>
      </c>
    </row>
    <row r="1545" spans="1:12" x14ac:dyDescent="0.3">
      <c r="A1545" t="s">
        <v>2699</v>
      </c>
      <c r="B1545" t="s">
        <v>2696</v>
      </c>
      <c r="C1545" t="s">
        <v>27</v>
      </c>
      <c r="D1545">
        <v>4</v>
      </c>
      <c r="E1545" s="1">
        <v>45900</v>
      </c>
      <c r="F1545" t="s">
        <v>766</v>
      </c>
      <c r="G1545">
        <v>5</v>
      </c>
      <c r="H1545" t="s">
        <v>581</v>
      </c>
      <c r="I1545" t="s">
        <v>570</v>
      </c>
      <c r="J1545" t="str">
        <f t="shared" si="72"/>
        <v>August</v>
      </c>
      <c r="K1545" t="str">
        <f t="shared" si="73"/>
        <v>Q3</v>
      </c>
      <c r="L1545">
        <f t="shared" si="74"/>
        <v>2025</v>
      </c>
    </row>
    <row r="1546" spans="1:12" x14ac:dyDescent="0.3">
      <c r="A1546" t="s">
        <v>2700</v>
      </c>
      <c r="B1546" t="s">
        <v>443</v>
      </c>
      <c r="C1546" t="s">
        <v>16</v>
      </c>
      <c r="D1546">
        <v>1</v>
      </c>
      <c r="E1546" s="1">
        <v>45764</v>
      </c>
      <c r="F1546" t="s">
        <v>596</v>
      </c>
      <c r="G1546">
        <v>3</v>
      </c>
      <c r="H1546" t="s">
        <v>578</v>
      </c>
      <c r="I1546" t="s">
        <v>570</v>
      </c>
      <c r="J1546" t="str">
        <f t="shared" si="72"/>
        <v>April</v>
      </c>
      <c r="K1546" t="str">
        <f t="shared" si="73"/>
        <v>Q2</v>
      </c>
      <c r="L1546">
        <f t="shared" si="74"/>
        <v>2025</v>
      </c>
    </row>
    <row r="1547" spans="1:12" x14ac:dyDescent="0.3">
      <c r="A1547" t="s">
        <v>2701</v>
      </c>
      <c r="B1547" t="s">
        <v>443</v>
      </c>
      <c r="C1547" t="s">
        <v>16</v>
      </c>
      <c r="D1547">
        <v>2</v>
      </c>
      <c r="E1547" s="1">
        <v>45775</v>
      </c>
      <c r="F1547" t="s">
        <v>636</v>
      </c>
      <c r="G1547">
        <v>4</v>
      </c>
      <c r="H1547" t="s">
        <v>581</v>
      </c>
      <c r="I1547" t="s">
        <v>570</v>
      </c>
      <c r="J1547" t="str">
        <f t="shared" si="72"/>
        <v>April</v>
      </c>
      <c r="K1547" t="str">
        <f t="shared" si="73"/>
        <v>Q2</v>
      </c>
      <c r="L1547">
        <f t="shared" si="74"/>
        <v>2025</v>
      </c>
    </row>
    <row r="1548" spans="1:12" x14ac:dyDescent="0.3">
      <c r="A1548" t="s">
        <v>2702</v>
      </c>
      <c r="B1548" t="s">
        <v>2703</v>
      </c>
      <c r="C1548" t="s">
        <v>37</v>
      </c>
      <c r="D1548">
        <v>1</v>
      </c>
      <c r="E1548" s="1">
        <v>45708</v>
      </c>
      <c r="F1548" t="s">
        <v>568</v>
      </c>
      <c r="G1548">
        <v>2</v>
      </c>
      <c r="H1548" t="s">
        <v>569</v>
      </c>
      <c r="I1548" t="s">
        <v>597</v>
      </c>
      <c r="J1548" t="str">
        <f t="shared" si="72"/>
        <v>February</v>
      </c>
      <c r="K1548" t="str">
        <f t="shared" si="73"/>
        <v>Q1</v>
      </c>
      <c r="L1548">
        <f t="shared" si="74"/>
        <v>2025</v>
      </c>
    </row>
    <row r="1549" spans="1:12" x14ac:dyDescent="0.3">
      <c r="A1549" t="s">
        <v>2704</v>
      </c>
      <c r="B1549" t="s">
        <v>2703</v>
      </c>
      <c r="C1549" t="s">
        <v>37</v>
      </c>
      <c r="D1549">
        <v>2</v>
      </c>
      <c r="E1549" s="1">
        <v>45712</v>
      </c>
      <c r="F1549" t="s">
        <v>580</v>
      </c>
      <c r="G1549">
        <v>2</v>
      </c>
      <c r="H1549" t="s">
        <v>569</v>
      </c>
      <c r="I1549" t="s">
        <v>570</v>
      </c>
      <c r="J1549" t="str">
        <f t="shared" si="72"/>
        <v>February</v>
      </c>
      <c r="K1549" t="str">
        <f t="shared" si="73"/>
        <v>Q1</v>
      </c>
      <c r="L1549">
        <f t="shared" si="74"/>
        <v>2025</v>
      </c>
    </row>
    <row r="1550" spans="1:12" x14ac:dyDescent="0.3">
      <c r="A1550" t="s">
        <v>2705</v>
      </c>
      <c r="B1550" t="s">
        <v>2706</v>
      </c>
      <c r="C1550" t="s">
        <v>244</v>
      </c>
      <c r="D1550">
        <v>1</v>
      </c>
      <c r="E1550" s="1">
        <v>45664</v>
      </c>
      <c r="F1550" t="s">
        <v>572</v>
      </c>
      <c r="G1550">
        <v>1</v>
      </c>
      <c r="H1550" t="s">
        <v>569</v>
      </c>
      <c r="I1550" t="s">
        <v>570</v>
      </c>
      <c r="J1550" t="str">
        <f t="shared" si="72"/>
        <v>January</v>
      </c>
      <c r="K1550" t="str">
        <f t="shared" si="73"/>
        <v>Q1</v>
      </c>
      <c r="L1550">
        <f t="shared" si="74"/>
        <v>2025</v>
      </c>
    </row>
    <row r="1551" spans="1:12" x14ac:dyDescent="0.3">
      <c r="A1551" t="s">
        <v>2707</v>
      </c>
      <c r="B1551" t="s">
        <v>2706</v>
      </c>
      <c r="C1551" t="s">
        <v>244</v>
      </c>
      <c r="D1551">
        <v>2</v>
      </c>
      <c r="E1551" s="1">
        <v>45676</v>
      </c>
      <c r="F1551" t="s">
        <v>568</v>
      </c>
      <c r="G1551">
        <v>1</v>
      </c>
      <c r="H1551" t="s">
        <v>569</v>
      </c>
      <c r="I1551" t="s">
        <v>570</v>
      </c>
      <c r="J1551" t="str">
        <f t="shared" si="72"/>
        <v>January</v>
      </c>
      <c r="K1551" t="str">
        <f t="shared" si="73"/>
        <v>Q1</v>
      </c>
      <c r="L1551">
        <f t="shared" si="74"/>
        <v>2025</v>
      </c>
    </row>
    <row r="1552" spans="1:12" x14ac:dyDescent="0.3">
      <c r="A1552" t="s">
        <v>2708</v>
      </c>
      <c r="B1552" t="s">
        <v>2709</v>
      </c>
      <c r="C1552" t="s">
        <v>58</v>
      </c>
      <c r="D1552">
        <v>1</v>
      </c>
      <c r="E1552" s="1">
        <v>45808</v>
      </c>
      <c r="F1552" t="s">
        <v>572</v>
      </c>
      <c r="G1552">
        <v>1</v>
      </c>
      <c r="H1552" t="s">
        <v>569</v>
      </c>
      <c r="I1552" t="s">
        <v>570</v>
      </c>
      <c r="J1552" t="str">
        <f t="shared" si="72"/>
        <v>May</v>
      </c>
      <c r="K1552" t="str">
        <f t="shared" si="73"/>
        <v>Q2</v>
      </c>
      <c r="L1552">
        <f t="shared" si="74"/>
        <v>2025</v>
      </c>
    </row>
    <row r="1553" spans="1:12" x14ac:dyDescent="0.3">
      <c r="A1553" t="s">
        <v>2710</v>
      </c>
      <c r="B1553" t="s">
        <v>2711</v>
      </c>
      <c r="C1553" t="s">
        <v>10</v>
      </c>
      <c r="D1553">
        <v>1</v>
      </c>
      <c r="E1553" s="1">
        <v>45929</v>
      </c>
      <c r="F1553" t="s">
        <v>568</v>
      </c>
      <c r="G1553">
        <v>4</v>
      </c>
      <c r="H1553" t="s">
        <v>581</v>
      </c>
      <c r="I1553" t="s">
        <v>570</v>
      </c>
      <c r="J1553" t="str">
        <f t="shared" si="72"/>
        <v>September</v>
      </c>
      <c r="K1553" t="str">
        <f t="shared" si="73"/>
        <v>Q3</v>
      </c>
      <c r="L1553">
        <f t="shared" si="74"/>
        <v>2025</v>
      </c>
    </row>
    <row r="1554" spans="1:12" x14ac:dyDescent="0.3">
      <c r="A1554" t="s">
        <v>2712</v>
      </c>
      <c r="B1554" t="s">
        <v>2711</v>
      </c>
      <c r="C1554" t="s">
        <v>10</v>
      </c>
      <c r="D1554">
        <v>2</v>
      </c>
      <c r="E1554" s="1">
        <v>45936</v>
      </c>
      <c r="F1554" t="s">
        <v>572</v>
      </c>
      <c r="G1554">
        <v>2</v>
      </c>
      <c r="H1554" t="s">
        <v>569</v>
      </c>
      <c r="I1554" t="s">
        <v>570</v>
      </c>
      <c r="J1554" t="str">
        <f t="shared" si="72"/>
        <v>October</v>
      </c>
      <c r="K1554" t="str">
        <f t="shared" si="73"/>
        <v>Q4</v>
      </c>
      <c r="L1554">
        <f t="shared" si="74"/>
        <v>2025</v>
      </c>
    </row>
    <row r="1555" spans="1:12" x14ac:dyDescent="0.3">
      <c r="A1555" t="s">
        <v>2713</v>
      </c>
      <c r="B1555" t="s">
        <v>2711</v>
      </c>
      <c r="C1555" t="s">
        <v>10</v>
      </c>
      <c r="D1555">
        <v>3</v>
      </c>
      <c r="E1555" s="1">
        <v>45943</v>
      </c>
      <c r="F1555" t="s">
        <v>572</v>
      </c>
      <c r="G1555">
        <v>3</v>
      </c>
      <c r="H1555" t="s">
        <v>578</v>
      </c>
      <c r="I1555" t="s">
        <v>570</v>
      </c>
      <c r="J1555" t="str">
        <f t="shared" si="72"/>
        <v>October</v>
      </c>
      <c r="K1555" t="str">
        <f t="shared" si="73"/>
        <v>Q4</v>
      </c>
      <c r="L1555">
        <f t="shared" si="74"/>
        <v>2025</v>
      </c>
    </row>
    <row r="1556" spans="1:12" x14ac:dyDescent="0.3">
      <c r="A1556" t="s">
        <v>2714</v>
      </c>
      <c r="B1556" t="s">
        <v>2715</v>
      </c>
      <c r="C1556" t="s">
        <v>99</v>
      </c>
      <c r="D1556">
        <v>1</v>
      </c>
      <c r="E1556" s="1">
        <v>45856</v>
      </c>
      <c r="F1556" t="s">
        <v>649</v>
      </c>
      <c r="G1556">
        <v>2</v>
      </c>
      <c r="H1556" t="s">
        <v>569</v>
      </c>
      <c r="I1556" t="s">
        <v>570</v>
      </c>
      <c r="J1556" t="str">
        <f t="shared" si="72"/>
        <v>July</v>
      </c>
      <c r="K1556" t="str">
        <f t="shared" si="73"/>
        <v>Q3</v>
      </c>
      <c r="L1556">
        <f t="shared" si="74"/>
        <v>2025</v>
      </c>
    </row>
    <row r="1557" spans="1:12" x14ac:dyDescent="0.3">
      <c r="A1557" t="s">
        <v>2716</v>
      </c>
      <c r="B1557" t="s">
        <v>2715</v>
      </c>
      <c r="C1557" t="s">
        <v>99</v>
      </c>
      <c r="D1557">
        <v>2</v>
      </c>
      <c r="E1557" s="1">
        <v>45868</v>
      </c>
      <c r="F1557" t="s">
        <v>625</v>
      </c>
      <c r="G1557">
        <v>2</v>
      </c>
      <c r="H1557" t="s">
        <v>569</v>
      </c>
      <c r="I1557" t="s">
        <v>570</v>
      </c>
      <c r="J1557" t="str">
        <f t="shared" si="72"/>
        <v>July</v>
      </c>
      <c r="K1557" t="str">
        <f t="shared" si="73"/>
        <v>Q3</v>
      </c>
      <c r="L1557">
        <f t="shared" si="74"/>
        <v>2025</v>
      </c>
    </row>
    <row r="1558" spans="1:12" x14ac:dyDescent="0.3">
      <c r="A1558" t="s">
        <v>2717</v>
      </c>
      <c r="B1558" t="s">
        <v>2718</v>
      </c>
      <c r="C1558" t="s">
        <v>78</v>
      </c>
      <c r="D1558">
        <v>1</v>
      </c>
      <c r="E1558" s="1">
        <v>45901</v>
      </c>
      <c r="F1558" t="s">
        <v>580</v>
      </c>
      <c r="G1558">
        <v>1</v>
      </c>
      <c r="H1558" t="s">
        <v>569</v>
      </c>
      <c r="I1558" t="s">
        <v>570</v>
      </c>
      <c r="J1558" t="str">
        <f t="shared" si="72"/>
        <v>September</v>
      </c>
      <c r="K1558" t="str">
        <f t="shared" si="73"/>
        <v>Q3</v>
      </c>
      <c r="L1558">
        <f t="shared" si="74"/>
        <v>2025</v>
      </c>
    </row>
    <row r="1559" spans="1:12" x14ac:dyDescent="0.3">
      <c r="A1559" t="s">
        <v>2719</v>
      </c>
      <c r="B1559" t="s">
        <v>2718</v>
      </c>
      <c r="C1559" t="s">
        <v>78</v>
      </c>
      <c r="D1559">
        <v>2</v>
      </c>
      <c r="E1559" s="1">
        <v>45908</v>
      </c>
      <c r="F1559" t="s">
        <v>663</v>
      </c>
      <c r="G1559">
        <v>2</v>
      </c>
      <c r="H1559" t="s">
        <v>569</v>
      </c>
      <c r="I1559" t="s">
        <v>570</v>
      </c>
      <c r="J1559" t="str">
        <f t="shared" si="72"/>
        <v>September</v>
      </c>
      <c r="K1559" t="str">
        <f t="shared" si="73"/>
        <v>Q3</v>
      </c>
      <c r="L1559">
        <f t="shared" si="74"/>
        <v>2025</v>
      </c>
    </row>
    <row r="1560" spans="1:12" x14ac:dyDescent="0.3">
      <c r="A1560" t="s">
        <v>2720</v>
      </c>
      <c r="B1560" t="s">
        <v>2718</v>
      </c>
      <c r="C1560" t="s">
        <v>78</v>
      </c>
      <c r="D1560">
        <v>3</v>
      </c>
      <c r="E1560" s="1">
        <v>45914</v>
      </c>
      <c r="F1560" t="s">
        <v>580</v>
      </c>
      <c r="G1560">
        <v>1</v>
      </c>
      <c r="H1560" t="s">
        <v>569</v>
      </c>
      <c r="I1560" t="s">
        <v>570</v>
      </c>
      <c r="J1560" t="str">
        <f t="shared" si="72"/>
        <v>September</v>
      </c>
      <c r="K1560" t="str">
        <f t="shared" si="73"/>
        <v>Q3</v>
      </c>
      <c r="L1560">
        <f t="shared" si="74"/>
        <v>2025</v>
      </c>
    </row>
    <row r="1561" spans="1:12" x14ac:dyDescent="0.3">
      <c r="A1561" t="s">
        <v>2721</v>
      </c>
      <c r="B1561" t="s">
        <v>2722</v>
      </c>
      <c r="C1561" t="s">
        <v>127</v>
      </c>
      <c r="D1561">
        <v>1</v>
      </c>
      <c r="E1561" s="1">
        <v>45963</v>
      </c>
      <c r="F1561" t="s">
        <v>766</v>
      </c>
      <c r="G1561">
        <v>1</v>
      </c>
      <c r="H1561" t="s">
        <v>569</v>
      </c>
      <c r="I1561" t="s">
        <v>570</v>
      </c>
      <c r="J1561" t="str">
        <f t="shared" si="72"/>
        <v>November</v>
      </c>
      <c r="K1561" t="str">
        <f t="shared" si="73"/>
        <v>Q4</v>
      </c>
      <c r="L1561">
        <f t="shared" si="74"/>
        <v>2025</v>
      </c>
    </row>
    <row r="1562" spans="1:12" x14ac:dyDescent="0.3">
      <c r="A1562" t="s">
        <v>2723</v>
      </c>
      <c r="B1562" t="s">
        <v>2724</v>
      </c>
      <c r="C1562" t="s">
        <v>16</v>
      </c>
      <c r="D1562">
        <v>1</v>
      </c>
      <c r="E1562" s="1">
        <v>45767</v>
      </c>
      <c r="F1562" t="s">
        <v>625</v>
      </c>
      <c r="G1562">
        <v>3</v>
      </c>
      <c r="H1562" t="s">
        <v>578</v>
      </c>
      <c r="I1562" t="s">
        <v>570</v>
      </c>
      <c r="J1562" t="str">
        <f t="shared" si="72"/>
        <v>April</v>
      </c>
      <c r="K1562" t="str">
        <f t="shared" si="73"/>
        <v>Q2</v>
      </c>
      <c r="L1562">
        <f t="shared" si="74"/>
        <v>2025</v>
      </c>
    </row>
    <row r="1563" spans="1:12" x14ac:dyDescent="0.3">
      <c r="A1563" t="s">
        <v>2725</v>
      </c>
      <c r="B1563" t="s">
        <v>2724</v>
      </c>
      <c r="C1563" t="s">
        <v>16</v>
      </c>
      <c r="D1563">
        <v>2</v>
      </c>
      <c r="E1563" s="1">
        <v>45779</v>
      </c>
      <c r="F1563" t="s">
        <v>706</v>
      </c>
      <c r="G1563">
        <v>2</v>
      </c>
      <c r="H1563" t="s">
        <v>569</v>
      </c>
      <c r="I1563" t="s">
        <v>570</v>
      </c>
      <c r="J1563" t="str">
        <f t="shared" si="72"/>
        <v>May</v>
      </c>
      <c r="K1563" t="str">
        <f t="shared" si="73"/>
        <v>Q2</v>
      </c>
      <c r="L1563">
        <f t="shared" si="74"/>
        <v>2025</v>
      </c>
    </row>
    <row r="1564" spans="1:12" x14ac:dyDescent="0.3">
      <c r="A1564" t="s">
        <v>2726</v>
      </c>
      <c r="B1564" t="s">
        <v>2724</v>
      </c>
      <c r="C1564" t="s">
        <v>16</v>
      </c>
      <c r="D1564">
        <v>3</v>
      </c>
      <c r="E1564" s="1">
        <v>45785</v>
      </c>
      <c r="F1564" t="s">
        <v>636</v>
      </c>
      <c r="G1564">
        <v>3</v>
      </c>
      <c r="H1564" t="s">
        <v>578</v>
      </c>
      <c r="I1564" t="s">
        <v>570</v>
      </c>
      <c r="J1564" t="str">
        <f t="shared" si="72"/>
        <v>May</v>
      </c>
      <c r="K1564" t="str">
        <f t="shared" si="73"/>
        <v>Q2</v>
      </c>
      <c r="L1564">
        <f t="shared" si="74"/>
        <v>2025</v>
      </c>
    </row>
    <row r="1565" spans="1:12" x14ac:dyDescent="0.3">
      <c r="A1565" t="s">
        <v>2727</v>
      </c>
      <c r="B1565" t="s">
        <v>2728</v>
      </c>
      <c r="C1565" t="s">
        <v>32</v>
      </c>
      <c r="D1565">
        <v>1</v>
      </c>
      <c r="E1565" s="1">
        <v>45763</v>
      </c>
      <c r="F1565" t="s">
        <v>638</v>
      </c>
      <c r="G1565">
        <v>2</v>
      </c>
      <c r="H1565" t="s">
        <v>569</v>
      </c>
      <c r="I1565" t="s">
        <v>570</v>
      </c>
      <c r="J1565" t="str">
        <f t="shared" si="72"/>
        <v>April</v>
      </c>
      <c r="K1565" t="str">
        <f t="shared" si="73"/>
        <v>Q2</v>
      </c>
      <c r="L1565">
        <f t="shared" si="74"/>
        <v>2025</v>
      </c>
    </row>
    <row r="1566" spans="1:12" x14ac:dyDescent="0.3">
      <c r="A1566" t="s">
        <v>2729</v>
      </c>
      <c r="B1566" t="s">
        <v>2728</v>
      </c>
      <c r="C1566" t="s">
        <v>32</v>
      </c>
      <c r="D1566">
        <v>2</v>
      </c>
      <c r="E1566" s="1">
        <v>45770</v>
      </c>
      <c r="F1566" t="s">
        <v>638</v>
      </c>
      <c r="G1566">
        <v>1</v>
      </c>
      <c r="H1566" t="s">
        <v>569</v>
      </c>
      <c r="I1566" t="s">
        <v>570</v>
      </c>
      <c r="J1566" t="str">
        <f t="shared" si="72"/>
        <v>April</v>
      </c>
      <c r="K1566" t="str">
        <f t="shared" si="73"/>
        <v>Q2</v>
      </c>
      <c r="L1566">
        <f t="shared" si="74"/>
        <v>2025</v>
      </c>
    </row>
    <row r="1567" spans="1:12" x14ac:dyDescent="0.3">
      <c r="A1567" t="s">
        <v>2730</v>
      </c>
      <c r="B1567" t="s">
        <v>2731</v>
      </c>
      <c r="C1567" t="s">
        <v>85</v>
      </c>
      <c r="D1567">
        <v>1</v>
      </c>
      <c r="E1567" s="1">
        <v>45853</v>
      </c>
      <c r="F1567" t="s">
        <v>586</v>
      </c>
      <c r="G1567">
        <v>2</v>
      </c>
      <c r="H1567" t="s">
        <v>569</v>
      </c>
      <c r="I1567" t="s">
        <v>570</v>
      </c>
      <c r="J1567" t="str">
        <f t="shared" si="72"/>
        <v>July</v>
      </c>
      <c r="K1567" t="str">
        <f t="shared" si="73"/>
        <v>Q3</v>
      </c>
      <c r="L1567">
        <f t="shared" si="74"/>
        <v>2025</v>
      </c>
    </row>
    <row r="1568" spans="1:12" x14ac:dyDescent="0.3">
      <c r="A1568" t="s">
        <v>2732</v>
      </c>
      <c r="B1568" t="s">
        <v>2731</v>
      </c>
      <c r="C1568" t="s">
        <v>85</v>
      </c>
      <c r="D1568">
        <v>2</v>
      </c>
      <c r="E1568" s="1">
        <v>45861</v>
      </c>
      <c r="F1568" t="s">
        <v>568</v>
      </c>
      <c r="G1568">
        <v>2</v>
      </c>
      <c r="H1568" t="s">
        <v>569</v>
      </c>
      <c r="I1568" t="s">
        <v>570</v>
      </c>
      <c r="J1568" t="str">
        <f t="shared" si="72"/>
        <v>July</v>
      </c>
      <c r="K1568" t="str">
        <f t="shared" si="73"/>
        <v>Q3</v>
      </c>
      <c r="L1568">
        <f t="shared" si="74"/>
        <v>2025</v>
      </c>
    </row>
    <row r="1569" spans="1:12" x14ac:dyDescent="0.3">
      <c r="A1569" t="s">
        <v>2733</v>
      </c>
      <c r="B1569" t="s">
        <v>2731</v>
      </c>
      <c r="C1569" t="s">
        <v>85</v>
      </c>
      <c r="D1569">
        <v>3</v>
      </c>
      <c r="E1569" s="1">
        <v>45867</v>
      </c>
      <c r="F1569" t="s">
        <v>580</v>
      </c>
      <c r="G1569">
        <v>1</v>
      </c>
      <c r="H1569" t="s">
        <v>569</v>
      </c>
      <c r="I1569" t="s">
        <v>570</v>
      </c>
      <c r="J1569" t="str">
        <f t="shared" si="72"/>
        <v>July</v>
      </c>
      <c r="K1569" t="str">
        <f t="shared" si="73"/>
        <v>Q3</v>
      </c>
      <c r="L1569">
        <f t="shared" si="74"/>
        <v>2025</v>
      </c>
    </row>
    <row r="1570" spans="1:12" x14ac:dyDescent="0.3">
      <c r="A1570" t="s">
        <v>2734</v>
      </c>
      <c r="B1570" t="s">
        <v>2735</v>
      </c>
      <c r="C1570" t="s">
        <v>133</v>
      </c>
      <c r="D1570">
        <v>1</v>
      </c>
      <c r="E1570" s="1">
        <v>45703</v>
      </c>
      <c r="F1570" t="s">
        <v>625</v>
      </c>
      <c r="G1570">
        <v>1</v>
      </c>
      <c r="H1570" t="s">
        <v>569</v>
      </c>
      <c r="I1570" t="s">
        <v>597</v>
      </c>
      <c r="J1570" t="str">
        <f t="shared" si="72"/>
        <v>February</v>
      </c>
      <c r="K1570" t="str">
        <f t="shared" si="73"/>
        <v>Q1</v>
      </c>
      <c r="L1570">
        <f t="shared" si="74"/>
        <v>2025</v>
      </c>
    </row>
    <row r="1571" spans="1:12" x14ac:dyDescent="0.3">
      <c r="A1571" t="s">
        <v>2736</v>
      </c>
      <c r="B1571" t="s">
        <v>2735</v>
      </c>
      <c r="C1571" t="s">
        <v>133</v>
      </c>
      <c r="D1571">
        <v>2</v>
      </c>
      <c r="E1571" s="1">
        <v>45712</v>
      </c>
      <c r="F1571" t="s">
        <v>766</v>
      </c>
      <c r="G1571">
        <v>1</v>
      </c>
      <c r="H1571" t="s">
        <v>569</v>
      </c>
      <c r="I1571" t="s">
        <v>570</v>
      </c>
      <c r="J1571" t="str">
        <f t="shared" si="72"/>
        <v>February</v>
      </c>
      <c r="K1571" t="str">
        <f t="shared" si="73"/>
        <v>Q1</v>
      </c>
      <c r="L1571">
        <f t="shared" si="74"/>
        <v>2025</v>
      </c>
    </row>
    <row r="1572" spans="1:12" x14ac:dyDescent="0.3">
      <c r="A1572" t="s">
        <v>2737</v>
      </c>
      <c r="B1572" t="s">
        <v>198</v>
      </c>
      <c r="C1572" t="s">
        <v>85</v>
      </c>
      <c r="D1572">
        <v>1</v>
      </c>
      <c r="E1572" s="1">
        <v>45857</v>
      </c>
      <c r="F1572" t="s">
        <v>586</v>
      </c>
      <c r="G1572">
        <v>5</v>
      </c>
      <c r="H1572" t="s">
        <v>581</v>
      </c>
      <c r="I1572" t="s">
        <v>570</v>
      </c>
      <c r="J1572" t="str">
        <f t="shared" si="72"/>
        <v>July</v>
      </c>
      <c r="K1572" t="str">
        <f t="shared" si="73"/>
        <v>Q3</v>
      </c>
      <c r="L1572">
        <f t="shared" si="74"/>
        <v>2025</v>
      </c>
    </row>
    <row r="1573" spans="1:12" x14ac:dyDescent="0.3">
      <c r="A1573" t="s">
        <v>2738</v>
      </c>
      <c r="B1573" t="s">
        <v>198</v>
      </c>
      <c r="C1573" t="s">
        <v>85</v>
      </c>
      <c r="D1573">
        <v>2</v>
      </c>
      <c r="E1573" s="1">
        <v>45861</v>
      </c>
      <c r="F1573" t="s">
        <v>586</v>
      </c>
      <c r="G1573">
        <v>4</v>
      </c>
      <c r="H1573" t="s">
        <v>581</v>
      </c>
      <c r="I1573" t="s">
        <v>570</v>
      </c>
      <c r="J1573" t="str">
        <f t="shared" si="72"/>
        <v>July</v>
      </c>
      <c r="K1573" t="str">
        <f t="shared" si="73"/>
        <v>Q3</v>
      </c>
      <c r="L1573">
        <f t="shared" si="74"/>
        <v>2025</v>
      </c>
    </row>
    <row r="1574" spans="1:12" x14ac:dyDescent="0.3">
      <c r="A1574" t="s">
        <v>2739</v>
      </c>
      <c r="B1574" t="s">
        <v>98</v>
      </c>
      <c r="C1574" t="s">
        <v>99</v>
      </c>
      <c r="D1574">
        <v>1</v>
      </c>
      <c r="E1574" s="1">
        <v>45855</v>
      </c>
      <c r="F1574" t="s">
        <v>584</v>
      </c>
      <c r="G1574">
        <v>4</v>
      </c>
      <c r="H1574" t="s">
        <v>581</v>
      </c>
      <c r="I1574" t="s">
        <v>570</v>
      </c>
      <c r="J1574" t="str">
        <f t="shared" si="72"/>
        <v>July</v>
      </c>
      <c r="K1574" t="str">
        <f t="shared" si="73"/>
        <v>Q3</v>
      </c>
      <c r="L1574">
        <f t="shared" si="74"/>
        <v>2025</v>
      </c>
    </row>
    <row r="1575" spans="1:12" x14ac:dyDescent="0.3">
      <c r="A1575" t="s">
        <v>2740</v>
      </c>
      <c r="B1575" t="s">
        <v>353</v>
      </c>
      <c r="C1575" t="s">
        <v>73</v>
      </c>
      <c r="D1575">
        <v>1</v>
      </c>
      <c r="E1575" s="1">
        <v>45810</v>
      </c>
      <c r="F1575" t="s">
        <v>988</v>
      </c>
      <c r="G1575">
        <v>3</v>
      </c>
      <c r="H1575" t="s">
        <v>578</v>
      </c>
      <c r="I1575" t="s">
        <v>570</v>
      </c>
      <c r="J1575" t="str">
        <f t="shared" si="72"/>
        <v>June</v>
      </c>
      <c r="K1575" t="str">
        <f t="shared" si="73"/>
        <v>Q2</v>
      </c>
      <c r="L1575">
        <f t="shared" si="74"/>
        <v>2025</v>
      </c>
    </row>
    <row r="1576" spans="1:12" x14ac:dyDescent="0.3">
      <c r="A1576" t="s">
        <v>2741</v>
      </c>
      <c r="B1576" t="s">
        <v>353</v>
      </c>
      <c r="C1576" t="s">
        <v>73</v>
      </c>
      <c r="D1576">
        <v>2</v>
      </c>
      <c r="E1576" s="1">
        <v>45822</v>
      </c>
      <c r="F1576" t="s">
        <v>600</v>
      </c>
      <c r="G1576">
        <v>4</v>
      </c>
      <c r="H1576" t="s">
        <v>581</v>
      </c>
      <c r="I1576" t="s">
        <v>570</v>
      </c>
      <c r="J1576" t="str">
        <f t="shared" si="72"/>
        <v>June</v>
      </c>
      <c r="K1576" t="str">
        <f t="shared" si="73"/>
        <v>Q2</v>
      </c>
      <c r="L1576">
        <f t="shared" si="74"/>
        <v>2025</v>
      </c>
    </row>
    <row r="1577" spans="1:12" x14ac:dyDescent="0.3">
      <c r="A1577" t="s">
        <v>2742</v>
      </c>
      <c r="B1577" t="s">
        <v>2743</v>
      </c>
      <c r="C1577" t="s">
        <v>429</v>
      </c>
      <c r="D1577">
        <v>1</v>
      </c>
      <c r="E1577" s="1">
        <v>45776</v>
      </c>
      <c r="G1577">
        <v>2</v>
      </c>
      <c r="H1577" t="s">
        <v>569</v>
      </c>
      <c r="I1577" t="s">
        <v>570</v>
      </c>
      <c r="J1577" t="str">
        <f t="shared" si="72"/>
        <v>April</v>
      </c>
      <c r="K1577" t="str">
        <f t="shared" si="73"/>
        <v>Q2</v>
      </c>
      <c r="L1577">
        <f t="shared" si="74"/>
        <v>2025</v>
      </c>
    </row>
    <row r="1578" spans="1:12" x14ac:dyDescent="0.3">
      <c r="A1578" t="s">
        <v>2744</v>
      </c>
      <c r="B1578" t="s">
        <v>2743</v>
      </c>
      <c r="C1578" t="s">
        <v>429</v>
      </c>
      <c r="D1578">
        <v>2</v>
      </c>
      <c r="E1578" s="1">
        <v>45784</v>
      </c>
      <c r="F1578" t="s">
        <v>590</v>
      </c>
      <c r="G1578">
        <v>5</v>
      </c>
      <c r="H1578" t="s">
        <v>581</v>
      </c>
      <c r="I1578" t="s">
        <v>570</v>
      </c>
      <c r="J1578" t="str">
        <f t="shared" si="72"/>
        <v>May</v>
      </c>
      <c r="K1578" t="str">
        <f t="shared" si="73"/>
        <v>Q2</v>
      </c>
      <c r="L1578">
        <f t="shared" si="74"/>
        <v>2025</v>
      </c>
    </row>
    <row r="1579" spans="1:12" x14ac:dyDescent="0.3">
      <c r="A1579" t="s">
        <v>2745</v>
      </c>
      <c r="B1579" t="s">
        <v>2743</v>
      </c>
      <c r="C1579" t="s">
        <v>429</v>
      </c>
      <c r="D1579">
        <v>3</v>
      </c>
      <c r="E1579" s="1">
        <v>45791</v>
      </c>
      <c r="F1579" t="s">
        <v>638</v>
      </c>
      <c r="G1579">
        <v>3</v>
      </c>
      <c r="H1579" t="s">
        <v>578</v>
      </c>
      <c r="I1579" t="s">
        <v>570</v>
      </c>
      <c r="J1579" t="str">
        <f t="shared" si="72"/>
        <v>May</v>
      </c>
      <c r="K1579" t="str">
        <f t="shared" si="73"/>
        <v>Q2</v>
      </c>
      <c r="L1579">
        <f t="shared" si="74"/>
        <v>2025</v>
      </c>
    </row>
    <row r="1580" spans="1:12" x14ac:dyDescent="0.3">
      <c r="A1580" t="s">
        <v>2746</v>
      </c>
      <c r="B1580" t="s">
        <v>2743</v>
      </c>
      <c r="C1580" t="s">
        <v>429</v>
      </c>
      <c r="D1580">
        <v>4</v>
      </c>
      <c r="E1580" s="1">
        <v>45801</v>
      </c>
      <c r="F1580" t="s">
        <v>638</v>
      </c>
      <c r="G1580">
        <v>4</v>
      </c>
      <c r="H1580" t="s">
        <v>581</v>
      </c>
      <c r="I1580" t="s">
        <v>597</v>
      </c>
      <c r="J1580" t="str">
        <f t="shared" si="72"/>
        <v>May</v>
      </c>
      <c r="K1580" t="str">
        <f t="shared" si="73"/>
        <v>Q2</v>
      </c>
      <c r="L1580">
        <f t="shared" si="74"/>
        <v>2025</v>
      </c>
    </row>
    <row r="1581" spans="1:12" x14ac:dyDescent="0.3">
      <c r="A1581" t="s">
        <v>2747</v>
      </c>
      <c r="B1581" t="s">
        <v>2748</v>
      </c>
      <c r="C1581" t="s">
        <v>292</v>
      </c>
      <c r="D1581">
        <v>1</v>
      </c>
      <c r="E1581" s="1">
        <v>45726</v>
      </c>
      <c r="F1581" t="s">
        <v>580</v>
      </c>
      <c r="G1581">
        <v>3</v>
      </c>
      <c r="H1581" t="s">
        <v>578</v>
      </c>
      <c r="I1581" t="s">
        <v>570</v>
      </c>
      <c r="J1581" t="str">
        <f t="shared" si="72"/>
        <v>March</v>
      </c>
      <c r="K1581" t="str">
        <f t="shared" si="73"/>
        <v>Q1</v>
      </c>
      <c r="L1581">
        <f t="shared" si="74"/>
        <v>2025</v>
      </c>
    </row>
    <row r="1582" spans="1:12" x14ac:dyDescent="0.3">
      <c r="A1582" t="s">
        <v>2749</v>
      </c>
      <c r="B1582" t="s">
        <v>2748</v>
      </c>
      <c r="C1582" t="s">
        <v>292</v>
      </c>
      <c r="D1582">
        <v>2</v>
      </c>
      <c r="E1582" s="1">
        <v>45734</v>
      </c>
      <c r="F1582" t="s">
        <v>663</v>
      </c>
      <c r="G1582">
        <v>1</v>
      </c>
      <c r="H1582" t="s">
        <v>569</v>
      </c>
      <c r="I1582" t="s">
        <v>570</v>
      </c>
      <c r="J1582" t="str">
        <f t="shared" si="72"/>
        <v>March</v>
      </c>
      <c r="K1582" t="str">
        <f t="shared" si="73"/>
        <v>Q1</v>
      </c>
      <c r="L1582">
        <f t="shared" si="74"/>
        <v>2025</v>
      </c>
    </row>
    <row r="1583" spans="1:12" x14ac:dyDescent="0.3">
      <c r="A1583" t="s">
        <v>2750</v>
      </c>
      <c r="B1583" t="s">
        <v>2751</v>
      </c>
      <c r="C1583" t="s">
        <v>183</v>
      </c>
      <c r="D1583">
        <v>1</v>
      </c>
      <c r="E1583" s="1">
        <v>45860</v>
      </c>
      <c r="F1583" t="s">
        <v>656</v>
      </c>
      <c r="G1583">
        <v>2</v>
      </c>
      <c r="H1583" t="s">
        <v>569</v>
      </c>
      <c r="I1583" t="s">
        <v>570</v>
      </c>
      <c r="J1583" t="str">
        <f t="shared" si="72"/>
        <v>July</v>
      </c>
      <c r="K1583" t="str">
        <f t="shared" si="73"/>
        <v>Q3</v>
      </c>
      <c r="L1583">
        <f t="shared" si="74"/>
        <v>2025</v>
      </c>
    </row>
    <row r="1584" spans="1:12" x14ac:dyDescent="0.3">
      <c r="A1584" t="s">
        <v>2752</v>
      </c>
      <c r="B1584" t="s">
        <v>2751</v>
      </c>
      <c r="C1584" t="s">
        <v>183</v>
      </c>
      <c r="D1584">
        <v>2</v>
      </c>
      <c r="E1584" s="1">
        <v>45865</v>
      </c>
      <c r="F1584" t="s">
        <v>625</v>
      </c>
      <c r="G1584">
        <v>1</v>
      </c>
      <c r="H1584" t="s">
        <v>569</v>
      </c>
      <c r="I1584" t="s">
        <v>570</v>
      </c>
      <c r="J1584" t="str">
        <f t="shared" si="72"/>
        <v>July</v>
      </c>
      <c r="K1584" t="str">
        <f t="shared" si="73"/>
        <v>Q3</v>
      </c>
      <c r="L1584">
        <f t="shared" si="74"/>
        <v>2025</v>
      </c>
    </row>
    <row r="1585" spans="1:12" x14ac:dyDescent="0.3">
      <c r="A1585" t="s">
        <v>2753</v>
      </c>
      <c r="B1585" t="s">
        <v>2751</v>
      </c>
      <c r="C1585" t="s">
        <v>183</v>
      </c>
      <c r="D1585">
        <v>3</v>
      </c>
      <c r="E1585" s="1">
        <v>45876</v>
      </c>
      <c r="F1585" t="s">
        <v>656</v>
      </c>
      <c r="G1585">
        <v>1</v>
      </c>
      <c r="H1585" t="s">
        <v>569</v>
      </c>
      <c r="I1585" t="s">
        <v>570</v>
      </c>
      <c r="J1585" t="str">
        <f t="shared" si="72"/>
        <v>August</v>
      </c>
      <c r="K1585" t="str">
        <f t="shared" si="73"/>
        <v>Q3</v>
      </c>
      <c r="L1585">
        <f t="shared" si="74"/>
        <v>2025</v>
      </c>
    </row>
    <row r="1586" spans="1:12" x14ac:dyDescent="0.3">
      <c r="A1586" t="s">
        <v>2754</v>
      </c>
      <c r="B1586" t="s">
        <v>2751</v>
      </c>
      <c r="C1586" t="s">
        <v>183</v>
      </c>
      <c r="D1586">
        <v>4</v>
      </c>
      <c r="E1586" s="1">
        <v>45888</v>
      </c>
      <c r="F1586" t="s">
        <v>656</v>
      </c>
      <c r="G1586">
        <v>3</v>
      </c>
      <c r="H1586" t="s">
        <v>578</v>
      </c>
      <c r="I1586" t="s">
        <v>570</v>
      </c>
      <c r="J1586" t="str">
        <f t="shared" si="72"/>
        <v>August</v>
      </c>
      <c r="K1586" t="str">
        <f t="shared" si="73"/>
        <v>Q3</v>
      </c>
      <c r="L1586">
        <f t="shared" si="74"/>
        <v>2025</v>
      </c>
    </row>
    <row r="1587" spans="1:12" x14ac:dyDescent="0.3">
      <c r="A1587" t="s">
        <v>2755</v>
      </c>
      <c r="B1587" t="s">
        <v>2756</v>
      </c>
      <c r="C1587" t="s">
        <v>133</v>
      </c>
      <c r="D1587">
        <v>1</v>
      </c>
      <c r="E1587" s="1">
        <v>45695</v>
      </c>
      <c r="F1587" t="s">
        <v>625</v>
      </c>
      <c r="G1587">
        <v>2</v>
      </c>
      <c r="H1587" t="s">
        <v>569</v>
      </c>
      <c r="I1587" t="s">
        <v>570</v>
      </c>
      <c r="J1587" t="str">
        <f t="shared" si="72"/>
        <v>February</v>
      </c>
      <c r="K1587" t="str">
        <f t="shared" si="73"/>
        <v>Q1</v>
      </c>
      <c r="L1587">
        <f t="shared" si="74"/>
        <v>2025</v>
      </c>
    </row>
    <row r="1588" spans="1:12" x14ac:dyDescent="0.3">
      <c r="A1588" t="s">
        <v>2757</v>
      </c>
      <c r="B1588" t="s">
        <v>2758</v>
      </c>
      <c r="C1588" t="s">
        <v>156</v>
      </c>
      <c r="D1588">
        <v>1</v>
      </c>
      <c r="E1588" s="1">
        <v>45733</v>
      </c>
      <c r="F1588" t="s">
        <v>638</v>
      </c>
      <c r="G1588">
        <v>2</v>
      </c>
      <c r="H1588" t="s">
        <v>569</v>
      </c>
      <c r="I1588" t="s">
        <v>570</v>
      </c>
      <c r="J1588" t="str">
        <f t="shared" si="72"/>
        <v>March</v>
      </c>
      <c r="K1588" t="str">
        <f t="shared" si="73"/>
        <v>Q1</v>
      </c>
      <c r="L1588">
        <f t="shared" si="74"/>
        <v>2025</v>
      </c>
    </row>
    <row r="1589" spans="1:12" x14ac:dyDescent="0.3">
      <c r="A1589" t="s">
        <v>2759</v>
      </c>
      <c r="B1589" t="s">
        <v>2758</v>
      </c>
      <c r="C1589" t="s">
        <v>156</v>
      </c>
      <c r="D1589">
        <v>2</v>
      </c>
      <c r="E1589" s="1">
        <v>45742</v>
      </c>
      <c r="F1589" t="s">
        <v>590</v>
      </c>
      <c r="G1589">
        <v>2</v>
      </c>
      <c r="H1589" t="s">
        <v>569</v>
      </c>
      <c r="I1589" t="s">
        <v>570</v>
      </c>
      <c r="J1589" t="str">
        <f t="shared" si="72"/>
        <v>March</v>
      </c>
      <c r="K1589" t="str">
        <f t="shared" si="73"/>
        <v>Q1</v>
      </c>
      <c r="L1589">
        <f t="shared" si="74"/>
        <v>2025</v>
      </c>
    </row>
    <row r="1590" spans="1:12" x14ac:dyDescent="0.3">
      <c r="A1590" t="s">
        <v>2760</v>
      </c>
      <c r="B1590" t="s">
        <v>2758</v>
      </c>
      <c r="C1590" t="s">
        <v>156</v>
      </c>
      <c r="D1590">
        <v>3</v>
      </c>
      <c r="E1590" s="1">
        <v>45754</v>
      </c>
      <c r="F1590" t="s">
        <v>741</v>
      </c>
      <c r="G1590">
        <v>1</v>
      </c>
      <c r="H1590" t="s">
        <v>569</v>
      </c>
      <c r="I1590" t="s">
        <v>570</v>
      </c>
      <c r="J1590" t="str">
        <f t="shared" si="72"/>
        <v>April</v>
      </c>
      <c r="K1590" t="str">
        <f t="shared" si="73"/>
        <v>Q2</v>
      </c>
      <c r="L1590">
        <f t="shared" si="74"/>
        <v>2025</v>
      </c>
    </row>
    <row r="1591" spans="1:12" x14ac:dyDescent="0.3">
      <c r="A1591" t="s">
        <v>2761</v>
      </c>
      <c r="B1591" t="s">
        <v>2762</v>
      </c>
      <c r="C1591" t="s">
        <v>260</v>
      </c>
      <c r="D1591">
        <v>1</v>
      </c>
      <c r="E1591" s="1">
        <v>45744</v>
      </c>
      <c r="F1591" t="s">
        <v>605</v>
      </c>
      <c r="G1591">
        <v>2</v>
      </c>
      <c r="H1591" t="s">
        <v>569</v>
      </c>
      <c r="I1591" t="s">
        <v>570</v>
      </c>
      <c r="J1591" t="str">
        <f t="shared" si="72"/>
        <v>March</v>
      </c>
      <c r="K1591" t="str">
        <f t="shared" si="73"/>
        <v>Q1</v>
      </c>
      <c r="L1591">
        <f t="shared" si="74"/>
        <v>2025</v>
      </c>
    </row>
    <row r="1592" spans="1:12" x14ac:dyDescent="0.3">
      <c r="A1592" t="s">
        <v>2763</v>
      </c>
      <c r="B1592" t="s">
        <v>2762</v>
      </c>
      <c r="C1592" t="s">
        <v>260</v>
      </c>
      <c r="D1592">
        <v>2</v>
      </c>
      <c r="E1592" s="1">
        <v>45748</v>
      </c>
      <c r="F1592" t="s">
        <v>572</v>
      </c>
      <c r="G1592">
        <v>3</v>
      </c>
      <c r="H1592" t="s">
        <v>578</v>
      </c>
      <c r="I1592" t="s">
        <v>570</v>
      </c>
      <c r="J1592" t="str">
        <f t="shared" si="72"/>
        <v>April</v>
      </c>
      <c r="K1592" t="str">
        <f t="shared" si="73"/>
        <v>Q2</v>
      </c>
      <c r="L1592">
        <f t="shared" si="74"/>
        <v>2025</v>
      </c>
    </row>
    <row r="1593" spans="1:12" x14ac:dyDescent="0.3">
      <c r="A1593" t="s">
        <v>2764</v>
      </c>
      <c r="B1593" t="s">
        <v>2765</v>
      </c>
      <c r="C1593" t="s">
        <v>195</v>
      </c>
      <c r="D1593">
        <v>1</v>
      </c>
      <c r="E1593" s="1">
        <v>45857</v>
      </c>
      <c r="F1593" t="s">
        <v>612</v>
      </c>
      <c r="G1593">
        <v>1</v>
      </c>
      <c r="H1593" t="s">
        <v>569</v>
      </c>
      <c r="I1593" t="s">
        <v>570</v>
      </c>
      <c r="J1593" t="str">
        <f t="shared" si="72"/>
        <v>July</v>
      </c>
      <c r="K1593" t="str">
        <f t="shared" si="73"/>
        <v>Q3</v>
      </c>
      <c r="L1593">
        <f t="shared" si="74"/>
        <v>2025</v>
      </c>
    </row>
    <row r="1594" spans="1:12" x14ac:dyDescent="0.3">
      <c r="A1594" t="s">
        <v>2766</v>
      </c>
      <c r="B1594" t="s">
        <v>2767</v>
      </c>
      <c r="C1594" t="s">
        <v>195</v>
      </c>
      <c r="D1594">
        <v>1</v>
      </c>
      <c r="E1594" s="1">
        <v>45851</v>
      </c>
      <c r="F1594" t="s">
        <v>592</v>
      </c>
      <c r="G1594">
        <v>1</v>
      </c>
      <c r="H1594" t="s">
        <v>569</v>
      </c>
      <c r="I1594" t="s">
        <v>570</v>
      </c>
      <c r="J1594" t="str">
        <f t="shared" si="72"/>
        <v>July</v>
      </c>
      <c r="K1594" t="str">
        <f t="shared" si="73"/>
        <v>Q3</v>
      </c>
      <c r="L1594">
        <f t="shared" si="74"/>
        <v>2025</v>
      </c>
    </row>
    <row r="1595" spans="1:12" x14ac:dyDescent="0.3">
      <c r="A1595" t="s">
        <v>2768</v>
      </c>
      <c r="B1595" t="s">
        <v>2767</v>
      </c>
      <c r="C1595" t="s">
        <v>195</v>
      </c>
      <c r="D1595">
        <v>2</v>
      </c>
      <c r="E1595" s="1">
        <v>45856</v>
      </c>
      <c r="F1595" t="s">
        <v>584</v>
      </c>
      <c r="G1595">
        <v>3</v>
      </c>
      <c r="H1595" t="s">
        <v>578</v>
      </c>
      <c r="I1595" t="s">
        <v>570</v>
      </c>
      <c r="J1595" t="str">
        <f t="shared" si="72"/>
        <v>July</v>
      </c>
      <c r="K1595" t="str">
        <f t="shared" si="73"/>
        <v>Q3</v>
      </c>
      <c r="L1595">
        <f t="shared" si="74"/>
        <v>2025</v>
      </c>
    </row>
    <row r="1596" spans="1:12" x14ac:dyDescent="0.3">
      <c r="A1596" t="s">
        <v>2769</v>
      </c>
      <c r="B1596" t="s">
        <v>2770</v>
      </c>
      <c r="C1596" t="s">
        <v>65</v>
      </c>
      <c r="D1596">
        <v>1</v>
      </c>
      <c r="E1596" s="1">
        <v>45933</v>
      </c>
      <c r="F1596" t="s">
        <v>568</v>
      </c>
      <c r="G1596">
        <v>1</v>
      </c>
      <c r="H1596" t="s">
        <v>569</v>
      </c>
      <c r="I1596" t="s">
        <v>570</v>
      </c>
      <c r="J1596" t="str">
        <f t="shared" si="72"/>
        <v>October</v>
      </c>
      <c r="K1596" t="str">
        <f t="shared" si="73"/>
        <v>Q4</v>
      </c>
      <c r="L1596">
        <f t="shared" si="74"/>
        <v>2025</v>
      </c>
    </row>
    <row r="1597" spans="1:12" x14ac:dyDescent="0.3">
      <c r="A1597" t="s">
        <v>2771</v>
      </c>
      <c r="B1597" t="s">
        <v>2772</v>
      </c>
      <c r="C1597" t="s">
        <v>92</v>
      </c>
      <c r="D1597">
        <v>1</v>
      </c>
      <c r="E1597" s="1">
        <v>45777</v>
      </c>
      <c r="F1597" t="s">
        <v>625</v>
      </c>
      <c r="G1597">
        <v>2</v>
      </c>
      <c r="H1597" t="s">
        <v>569</v>
      </c>
      <c r="I1597" t="s">
        <v>570</v>
      </c>
      <c r="J1597" t="str">
        <f t="shared" si="72"/>
        <v>April</v>
      </c>
      <c r="K1597" t="str">
        <f t="shared" si="73"/>
        <v>Q2</v>
      </c>
      <c r="L1597">
        <f t="shared" si="74"/>
        <v>2025</v>
      </c>
    </row>
    <row r="1598" spans="1:12" x14ac:dyDescent="0.3">
      <c r="A1598" t="s">
        <v>2773</v>
      </c>
      <c r="B1598" t="s">
        <v>2772</v>
      </c>
      <c r="C1598" t="s">
        <v>92</v>
      </c>
      <c r="D1598">
        <v>2</v>
      </c>
      <c r="E1598" s="1">
        <v>45788</v>
      </c>
      <c r="F1598" t="s">
        <v>572</v>
      </c>
      <c r="G1598">
        <v>2</v>
      </c>
      <c r="H1598" t="s">
        <v>569</v>
      </c>
      <c r="I1598" t="s">
        <v>570</v>
      </c>
      <c r="J1598" t="str">
        <f t="shared" si="72"/>
        <v>May</v>
      </c>
      <c r="K1598" t="str">
        <f t="shared" si="73"/>
        <v>Q2</v>
      </c>
      <c r="L1598">
        <f t="shared" si="74"/>
        <v>2025</v>
      </c>
    </row>
    <row r="1599" spans="1:12" x14ac:dyDescent="0.3">
      <c r="A1599" t="s">
        <v>2774</v>
      </c>
      <c r="B1599" t="s">
        <v>2775</v>
      </c>
      <c r="C1599" t="s">
        <v>58</v>
      </c>
      <c r="D1599">
        <v>1</v>
      </c>
      <c r="E1599" s="1">
        <v>45813</v>
      </c>
      <c r="F1599" t="s">
        <v>612</v>
      </c>
      <c r="G1599">
        <v>1</v>
      </c>
      <c r="H1599" t="s">
        <v>569</v>
      </c>
      <c r="I1599" t="s">
        <v>597</v>
      </c>
      <c r="J1599" t="str">
        <f t="shared" si="72"/>
        <v>June</v>
      </c>
      <c r="K1599" t="str">
        <f t="shared" si="73"/>
        <v>Q2</v>
      </c>
      <c r="L1599">
        <f t="shared" si="74"/>
        <v>2025</v>
      </c>
    </row>
    <row r="1600" spans="1:12" x14ac:dyDescent="0.3">
      <c r="A1600" t="s">
        <v>2776</v>
      </c>
      <c r="B1600" t="s">
        <v>2775</v>
      </c>
      <c r="C1600" t="s">
        <v>58</v>
      </c>
      <c r="D1600">
        <v>2</v>
      </c>
      <c r="E1600" s="1">
        <v>45822</v>
      </c>
      <c r="F1600" t="s">
        <v>603</v>
      </c>
      <c r="G1600">
        <v>1</v>
      </c>
      <c r="H1600" t="s">
        <v>569</v>
      </c>
      <c r="I1600" t="s">
        <v>570</v>
      </c>
      <c r="J1600" t="str">
        <f t="shared" si="72"/>
        <v>June</v>
      </c>
      <c r="K1600" t="str">
        <f t="shared" si="73"/>
        <v>Q2</v>
      </c>
      <c r="L1600">
        <f t="shared" si="74"/>
        <v>2025</v>
      </c>
    </row>
    <row r="1601" spans="1:12" x14ac:dyDescent="0.3">
      <c r="A1601" t="s">
        <v>2777</v>
      </c>
      <c r="B1601" t="s">
        <v>2775</v>
      </c>
      <c r="C1601" t="s">
        <v>58</v>
      </c>
      <c r="D1601">
        <v>3</v>
      </c>
      <c r="E1601" s="1">
        <v>45826</v>
      </c>
      <c r="F1601" t="s">
        <v>605</v>
      </c>
      <c r="G1601">
        <v>3</v>
      </c>
      <c r="H1601" t="s">
        <v>578</v>
      </c>
      <c r="I1601" t="s">
        <v>570</v>
      </c>
      <c r="J1601" t="str">
        <f t="shared" si="72"/>
        <v>June</v>
      </c>
      <c r="K1601" t="str">
        <f t="shared" si="73"/>
        <v>Q2</v>
      </c>
      <c r="L1601">
        <f t="shared" si="74"/>
        <v>2025</v>
      </c>
    </row>
    <row r="1602" spans="1:12" x14ac:dyDescent="0.3">
      <c r="A1602" t="s">
        <v>2778</v>
      </c>
      <c r="B1602" t="s">
        <v>2779</v>
      </c>
      <c r="C1602" t="s">
        <v>45</v>
      </c>
      <c r="D1602">
        <v>1</v>
      </c>
      <c r="E1602" s="1">
        <v>45850</v>
      </c>
      <c r="F1602" t="s">
        <v>766</v>
      </c>
      <c r="G1602">
        <v>1</v>
      </c>
      <c r="H1602" t="s">
        <v>569</v>
      </c>
      <c r="I1602" t="s">
        <v>570</v>
      </c>
      <c r="J1602" t="str">
        <f t="shared" ref="J1602:J1665" si="75">TEXT(E1602,"mmmm")</f>
        <v>July</v>
      </c>
      <c r="K1602" t="str">
        <f t="shared" ref="K1602:K1665" si="76">"Q"&amp;ROUNDUP(MONTH(E1602)/3,0)</f>
        <v>Q3</v>
      </c>
      <c r="L1602">
        <f t="shared" ref="L1602:L1665" si="77">YEAR(E1602)</f>
        <v>2025</v>
      </c>
    </row>
    <row r="1603" spans="1:12" x14ac:dyDescent="0.3">
      <c r="A1603" t="s">
        <v>2780</v>
      </c>
      <c r="B1603" t="s">
        <v>2781</v>
      </c>
      <c r="C1603" t="s">
        <v>92</v>
      </c>
      <c r="D1603">
        <v>1</v>
      </c>
      <c r="E1603" s="1">
        <v>45777</v>
      </c>
      <c r="F1603" t="s">
        <v>605</v>
      </c>
      <c r="G1603">
        <v>3</v>
      </c>
      <c r="H1603" t="s">
        <v>578</v>
      </c>
      <c r="I1603" t="s">
        <v>570</v>
      </c>
      <c r="J1603" t="str">
        <f t="shared" si="75"/>
        <v>April</v>
      </c>
      <c r="K1603" t="str">
        <f t="shared" si="76"/>
        <v>Q2</v>
      </c>
      <c r="L1603">
        <f t="shared" si="77"/>
        <v>2025</v>
      </c>
    </row>
    <row r="1604" spans="1:12" x14ac:dyDescent="0.3">
      <c r="A1604" t="s">
        <v>2782</v>
      </c>
      <c r="B1604" t="s">
        <v>2781</v>
      </c>
      <c r="C1604" t="s">
        <v>92</v>
      </c>
      <c r="D1604">
        <v>2</v>
      </c>
      <c r="E1604" s="1">
        <v>45782</v>
      </c>
      <c r="G1604">
        <v>2</v>
      </c>
      <c r="H1604" t="s">
        <v>569</v>
      </c>
      <c r="I1604" t="s">
        <v>570</v>
      </c>
      <c r="J1604" t="str">
        <f t="shared" si="75"/>
        <v>May</v>
      </c>
      <c r="K1604" t="str">
        <f t="shared" si="76"/>
        <v>Q2</v>
      </c>
      <c r="L1604">
        <f t="shared" si="77"/>
        <v>2025</v>
      </c>
    </row>
    <row r="1605" spans="1:12" x14ac:dyDescent="0.3">
      <c r="A1605" t="s">
        <v>2783</v>
      </c>
      <c r="B1605" t="s">
        <v>2784</v>
      </c>
      <c r="C1605" t="s">
        <v>187</v>
      </c>
      <c r="D1605">
        <v>1</v>
      </c>
      <c r="E1605" s="1">
        <v>45835</v>
      </c>
      <c r="F1605" t="s">
        <v>575</v>
      </c>
      <c r="G1605">
        <v>2</v>
      </c>
      <c r="H1605" t="s">
        <v>569</v>
      </c>
      <c r="I1605" t="s">
        <v>597</v>
      </c>
      <c r="J1605" t="str">
        <f t="shared" si="75"/>
        <v>June</v>
      </c>
      <c r="K1605" t="str">
        <f t="shared" si="76"/>
        <v>Q2</v>
      </c>
      <c r="L1605">
        <f t="shared" si="77"/>
        <v>2025</v>
      </c>
    </row>
    <row r="1606" spans="1:12" x14ac:dyDescent="0.3">
      <c r="A1606" t="s">
        <v>2785</v>
      </c>
      <c r="B1606" t="s">
        <v>2784</v>
      </c>
      <c r="C1606" t="s">
        <v>187</v>
      </c>
      <c r="D1606">
        <v>2</v>
      </c>
      <c r="E1606" s="1">
        <v>45842</v>
      </c>
      <c r="F1606" t="s">
        <v>638</v>
      </c>
      <c r="G1606">
        <v>1</v>
      </c>
      <c r="H1606" t="s">
        <v>569</v>
      </c>
      <c r="I1606" t="s">
        <v>570</v>
      </c>
      <c r="J1606" t="str">
        <f t="shared" si="75"/>
        <v>July</v>
      </c>
      <c r="K1606" t="str">
        <f t="shared" si="76"/>
        <v>Q3</v>
      </c>
      <c r="L1606">
        <f t="shared" si="77"/>
        <v>2025</v>
      </c>
    </row>
    <row r="1607" spans="1:12" x14ac:dyDescent="0.3">
      <c r="A1607" t="s">
        <v>2786</v>
      </c>
      <c r="B1607" t="s">
        <v>255</v>
      </c>
      <c r="C1607" t="s">
        <v>27</v>
      </c>
      <c r="D1607">
        <v>1</v>
      </c>
      <c r="E1607" s="1">
        <v>45883</v>
      </c>
      <c r="F1607" t="s">
        <v>584</v>
      </c>
      <c r="G1607">
        <v>3</v>
      </c>
      <c r="H1607" t="s">
        <v>578</v>
      </c>
      <c r="I1607" t="s">
        <v>570</v>
      </c>
      <c r="J1607" t="str">
        <f t="shared" si="75"/>
        <v>August</v>
      </c>
      <c r="K1607" t="str">
        <f t="shared" si="76"/>
        <v>Q3</v>
      </c>
      <c r="L1607">
        <f t="shared" si="77"/>
        <v>2025</v>
      </c>
    </row>
    <row r="1608" spans="1:12" x14ac:dyDescent="0.3">
      <c r="A1608" t="s">
        <v>2787</v>
      </c>
      <c r="B1608" t="s">
        <v>255</v>
      </c>
      <c r="C1608" t="s">
        <v>27</v>
      </c>
      <c r="D1608">
        <v>2</v>
      </c>
      <c r="E1608" s="1">
        <v>45895</v>
      </c>
      <c r="F1608" t="s">
        <v>632</v>
      </c>
      <c r="G1608">
        <v>3</v>
      </c>
      <c r="H1608" t="s">
        <v>578</v>
      </c>
      <c r="I1608" t="s">
        <v>570</v>
      </c>
      <c r="J1608" t="str">
        <f t="shared" si="75"/>
        <v>August</v>
      </c>
      <c r="K1608" t="str">
        <f t="shared" si="76"/>
        <v>Q3</v>
      </c>
      <c r="L1608">
        <f t="shared" si="77"/>
        <v>2025</v>
      </c>
    </row>
    <row r="1609" spans="1:12" x14ac:dyDescent="0.3">
      <c r="A1609" t="s">
        <v>2788</v>
      </c>
      <c r="B1609" t="s">
        <v>255</v>
      </c>
      <c r="C1609" t="s">
        <v>27</v>
      </c>
      <c r="D1609">
        <v>3</v>
      </c>
      <c r="E1609" s="1">
        <v>45899</v>
      </c>
      <c r="F1609" t="s">
        <v>625</v>
      </c>
      <c r="G1609">
        <v>3</v>
      </c>
      <c r="H1609" t="s">
        <v>578</v>
      </c>
      <c r="I1609" t="s">
        <v>570</v>
      </c>
      <c r="J1609" t="str">
        <f t="shared" si="75"/>
        <v>August</v>
      </c>
      <c r="K1609" t="str">
        <f t="shared" si="76"/>
        <v>Q3</v>
      </c>
      <c r="L1609">
        <f t="shared" si="77"/>
        <v>2025</v>
      </c>
    </row>
    <row r="1610" spans="1:12" x14ac:dyDescent="0.3">
      <c r="A1610" t="s">
        <v>2789</v>
      </c>
      <c r="B1610" t="s">
        <v>255</v>
      </c>
      <c r="C1610" t="s">
        <v>27</v>
      </c>
      <c r="D1610">
        <v>4</v>
      </c>
      <c r="E1610" s="1">
        <v>45904</v>
      </c>
      <c r="F1610" t="s">
        <v>584</v>
      </c>
      <c r="G1610">
        <v>4</v>
      </c>
      <c r="H1610" t="s">
        <v>581</v>
      </c>
      <c r="I1610" t="s">
        <v>570</v>
      </c>
      <c r="J1610" t="str">
        <f t="shared" si="75"/>
        <v>September</v>
      </c>
      <c r="K1610" t="str">
        <f t="shared" si="76"/>
        <v>Q3</v>
      </c>
      <c r="L1610">
        <f t="shared" si="77"/>
        <v>2025</v>
      </c>
    </row>
    <row r="1611" spans="1:12" x14ac:dyDescent="0.3">
      <c r="A1611" t="s">
        <v>2790</v>
      </c>
      <c r="B1611" t="s">
        <v>2791</v>
      </c>
      <c r="C1611" t="s">
        <v>429</v>
      </c>
      <c r="D1611">
        <v>1</v>
      </c>
      <c r="E1611" s="1">
        <v>45777</v>
      </c>
      <c r="F1611" t="s">
        <v>766</v>
      </c>
      <c r="G1611">
        <v>2</v>
      </c>
      <c r="H1611" t="s">
        <v>569</v>
      </c>
      <c r="I1611" t="s">
        <v>570</v>
      </c>
      <c r="J1611" t="str">
        <f t="shared" si="75"/>
        <v>April</v>
      </c>
      <c r="K1611" t="str">
        <f t="shared" si="76"/>
        <v>Q2</v>
      </c>
      <c r="L1611">
        <f t="shared" si="77"/>
        <v>2025</v>
      </c>
    </row>
    <row r="1612" spans="1:12" x14ac:dyDescent="0.3">
      <c r="A1612" t="s">
        <v>2792</v>
      </c>
      <c r="B1612" t="s">
        <v>2791</v>
      </c>
      <c r="C1612" t="s">
        <v>429</v>
      </c>
      <c r="D1612">
        <v>2</v>
      </c>
      <c r="E1612" s="1">
        <v>45785</v>
      </c>
      <c r="F1612" t="s">
        <v>590</v>
      </c>
      <c r="G1612">
        <v>2</v>
      </c>
      <c r="H1612" t="s">
        <v>569</v>
      </c>
      <c r="I1612" t="s">
        <v>570</v>
      </c>
      <c r="J1612" t="str">
        <f t="shared" si="75"/>
        <v>May</v>
      </c>
      <c r="K1612" t="str">
        <f t="shared" si="76"/>
        <v>Q2</v>
      </c>
      <c r="L1612">
        <f t="shared" si="77"/>
        <v>2025</v>
      </c>
    </row>
    <row r="1613" spans="1:12" x14ac:dyDescent="0.3">
      <c r="A1613" t="s">
        <v>2793</v>
      </c>
      <c r="B1613" t="s">
        <v>205</v>
      </c>
      <c r="C1613" t="s">
        <v>92</v>
      </c>
      <c r="D1613">
        <v>1</v>
      </c>
      <c r="E1613" s="1">
        <v>45770</v>
      </c>
      <c r="F1613" t="s">
        <v>625</v>
      </c>
      <c r="G1613">
        <v>3</v>
      </c>
      <c r="H1613" t="s">
        <v>578</v>
      </c>
      <c r="I1613" t="s">
        <v>570</v>
      </c>
      <c r="J1613" t="str">
        <f t="shared" si="75"/>
        <v>April</v>
      </c>
      <c r="K1613" t="str">
        <f t="shared" si="76"/>
        <v>Q2</v>
      </c>
      <c r="L1613">
        <f t="shared" si="77"/>
        <v>2025</v>
      </c>
    </row>
    <row r="1614" spans="1:12" x14ac:dyDescent="0.3">
      <c r="A1614" t="s">
        <v>2794</v>
      </c>
      <c r="B1614" t="s">
        <v>205</v>
      </c>
      <c r="C1614" t="s">
        <v>92</v>
      </c>
      <c r="D1614">
        <v>2</v>
      </c>
      <c r="E1614" s="1">
        <v>45782</v>
      </c>
      <c r="F1614" t="s">
        <v>612</v>
      </c>
      <c r="G1614">
        <v>2</v>
      </c>
      <c r="H1614" t="s">
        <v>569</v>
      </c>
      <c r="I1614" t="s">
        <v>570</v>
      </c>
      <c r="J1614" t="str">
        <f t="shared" si="75"/>
        <v>May</v>
      </c>
      <c r="K1614" t="str">
        <f t="shared" si="76"/>
        <v>Q2</v>
      </c>
      <c r="L1614">
        <f t="shared" si="77"/>
        <v>2025</v>
      </c>
    </row>
    <row r="1615" spans="1:12" x14ac:dyDescent="0.3">
      <c r="A1615" t="s">
        <v>2795</v>
      </c>
      <c r="B1615" t="s">
        <v>205</v>
      </c>
      <c r="C1615" t="s">
        <v>92</v>
      </c>
      <c r="D1615">
        <v>3</v>
      </c>
      <c r="E1615" s="1">
        <v>45790</v>
      </c>
      <c r="F1615" t="s">
        <v>577</v>
      </c>
      <c r="G1615">
        <v>3</v>
      </c>
      <c r="H1615" t="s">
        <v>578</v>
      </c>
      <c r="I1615" t="s">
        <v>570</v>
      </c>
      <c r="J1615" t="str">
        <f t="shared" si="75"/>
        <v>May</v>
      </c>
      <c r="K1615" t="str">
        <f t="shared" si="76"/>
        <v>Q2</v>
      </c>
      <c r="L1615">
        <f t="shared" si="77"/>
        <v>2025</v>
      </c>
    </row>
    <row r="1616" spans="1:12" x14ac:dyDescent="0.3">
      <c r="A1616" t="s">
        <v>2796</v>
      </c>
      <c r="B1616" t="s">
        <v>205</v>
      </c>
      <c r="C1616" t="s">
        <v>92</v>
      </c>
      <c r="D1616">
        <v>4</v>
      </c>
      <c r="E1616" s="1">
        <v>45798</v>
      </c>
      <c r="F1616" t="s">
        <v>577</v>
      </c>
      <c r="G1616">
        <v>4</v>
      </c>
      <c r="H1616" t="s">
        <v>581</v>
      </c>
      <c r="I1616" t="s">
        <v>570</v>
      </c>
      <c r="J1616" t="str">
        <f t="shared" si="75"/>
        <v>May</v>
      </c>
      <c r="K1616" t="str">
        <f t="shared" si="76"/>
        <v>Q2</v>
      </c>
      <c r="L1616">
        <f t="shared" si="77"/>
        <v>2025</v>
      </c>
    </row>
    <row r="1617" spans="1:12" x14ac:dyDescent="0.3">
      <c r="A1617" t="s">
        <v>2797</v>
      </c>
      <c r="B1617" t="s">
        <v>2798</v>
      </c>
      <c r="C1617" t="s">
        <v>65</v>
      </c>
      <c r="D1617">
        <v>1</v>
      </c>
      <c r="E1617" s="1">
        <v>45936</v>
      </c>
      <c r="F1617" t="s">
        <v>596</v>
      </c>
      <c r="G1617">
        <v>2</v>
      </c>
      <c r="H1617" t="s">
        <v>569</v>
      </c>
      <c r="I1617" t="s">
        <v>570</v>
      </c>
      <c r="J1617" t="str">
        <f t="shared" si="75"/>
        <v>October</v>
      </c>
      <c r="K1617" t="str">
        <f t="shared" si="76"/>
        <v>Q4</v>
      </c>
      <c r="L1617">
        <f t="shared" si="77"/>
        <v>2025</v>
      </c>
    </row>
    <row r="1618" spans="1:12" x14ac:dyDescent="0.3">
      <c r="A1618" t="s">
        <v>2799</v>
      </c>
      <c r="B1618" t="s">
        <v>2798</v>
      </c>
      <c r="C1618" t="s">
        <v>65</v>
      </c>
      <c r="D1618">
        <v>2</v>
      </c>
      <c r="E1618" s="1">
        <v>45946</v>
      </c>
      <c r="F1618" t="s">
        <v>586</v>
      </c>
      <c r="G1618">
        <v>2</v>
      </c>
      <c r="H1618" t="s">
        <v>569</v>
      </c>
      <c r="I1618" t="s">
        <v>570</v>
      </c>
      <c r="J1618" t="str">
        <f t="shared" si="75"/>
        <v>October</v>
      </c>
      <c r="K1618" t="str">
        <f t="shared" si="76"/>
        <v>Q4</v>
      </c>
      <c r="L1618">
        <f t="shared" si="77"/>
        <v>2025</v>
      </c>
    </row>
    <row r="1619" spans="1:12" x14ac:dyDescent="0.3">
      <c r="A1619" t="s">
        <v>2800</v>
      </c>
      <c r="B1619" t="s">
        <v>2798</v>
      </c>
      <c r="C1619" t="s">
        <v>65</v>
      </c>
      <c r="D1619">
        <v>3</v>
      </c>
      <c r="E1619" s="1">
        <v>45958</v>
      </c>
      <c r="F1619" t="s">
        <v>568</v>
      </c>
      <c r="G1619">
        <v>3</v>
      </c>
      <c r="H1619" t="s">
        <v>578</v>
      </c>
      <c r="I1619" t="s">
        <v>570</v>
      </c>
      <c r="J1619" t="str">
        <f t="shared" si="75"/>
        <v>October</v>
      </c>
      <c r="K1619" t="str">
        <f t="shared" si="76"/>
        <v>Q4</v>
      </c>
      <c r="L1619">
        <f t="shared" si="77"/>
        <v>2025</v>
      </c>
    </row>
    <row r="1620" spans="1:12" x14ac:dyDescent="0.3">
      <c r="A1620" t="s">
        <v>2801</v>
      </c>
      <c r="B1620" t="s">
        <v>80</v>
      </c>
      <c r="C1620" t="s">
        <v>78</v>
      </c>
      <c r="D1620">
        <v>1</v>
      </c>
      <c r="E1620" s="1">
        <v>45903</v>
      </c>
      <c r="F1620" t="s">
        <v>596</v>
      </c>
      <c r="G1620">
        <v>4</v>
      </c>
      <c r="H1620" t="s">
        <v>581</v>
      </c>
      <c r="I1620" t="s">
        <v>570</v>
      </c>
      <c r="J1620" t="str">
        <f t="shared" si="75"/>
        <v>September</v>
      </c>
      <c r="K1620" t="str">
        <f t="shared" si="76"/>
        <v>Q3</v>
      </c>
      <c r="L1620">
        <f t="shared" si="77"/>
        <v>2025</v>
      </c>
    </row>
    <row r="1621" spans="1:12" x14ac:dyDescent="0.3">
      <c r="A1621" t="s">
        <v>2802</v>
      </c>
      <c r="B1621" t="s">
        <v>80</v>
      </c>
      <c r="C1621" t="s">
        <v>78</v>
      </c>
      <c r="D1621">
        <v>2</v>
      </c>
      <c r="E1621" s="1">
        <v>45912</v>
      </c>
      <c r="F1621" t="s">
        <v>663</v>
      </c>
      <c r="G1621">
        <v>4</v>
      </c>
      <c r="H1621" t="s">
        <v>581</v>
      </c>
      <c r="I1621" t="s">
        <v>570</v>
      </c>
      <c r="J1621" t="str">
        <f t="shared" si="75"/>
        <v>September</v>
      </c>
      <c r="K1621" t="str">
        <f t="shared" si="76"/>
        <v>Q3</v>
      </c>
      <c r="L1621">
        <f t="shared" si="77"/>
        <v>2025</v>
      </c>
    </row>
    <row r="1622" spans="1:12" x14ac:dyDescent="0.3">
      <c r="A1622" t="s">
        <v>2803</v>
      </c>
      <c r="B1622" t="s">
        <v>2804</v>
      </c>
      <c r="C1622" t="s">
        <v>96</v>
      </c>
      <c r="D1622">
        <v>1</v>
      </c>
      <c r="E1622" s="1">
        <v>45879</v>
      </c>
      <c r="F1622" t="s">
        <v>577</v>
      </c>
      <c r="G1622">
        <v>1</v>
      </c>
      <c r="H1622" t="s">
        <v>569</v>
      </c>
      <c r="I1622" t="s">
        <v>570</v>
      </c>
      <c r="J1622" t="str">
        <f t="shared" si="75"/>
        <v>August</v>
      </c>
      <c r="K1622" t="str">
        <f t="shared" si="76"/>
        <v>Q3</v>
      </c>
      <c r="L1622">
        <f t="shared" si="77"/>
        <v>2025</v>
      </c>
    </row>
    <row r="1623" spans="1:12" x14ac:dyDescent="0.3">
      <c r="A1623" t="s">
        <v>2805</v>
      </c>
      <c r="B1623" t="s">
        <v>2806</v>
      </c>
      <c r="C1623" t="s">
        <v>240</v>
      </c>
      <c r="D1623">
        <v>1</v>
      </c>
      <c r="E1623" s="1">
        <v>45959</v>
      </c>
      <c r="F1623" t="s">
        <v>596</v>
      </c>
      <c r="G1623">
        <v>2</v>
      </c>
      <c r="H1623" t="s">
        <v>569</v>
      </c>
      <c r="I1623" t="s">
        <v>570</v>
      </c>
      <c r="J1623" t="str">
        <f t="shared" si="75"/>
        <v>October</v>
      </c>
      <c r="K1623" t="str">
        <f t="shared" si="76"/>
        <v>Q4</v>
      </c>
      <c r="L1623">
        <f t="shared" si="77"/>
        <v>2025</v>
      </c>
    </row>
    <row r="1624" spans="1:12" x14ac:dyDescent="0.3">
      <c r="A1624" t="s">
        <v>2807</v>
      </c>
      <c r="B1624" t="s">
        <v>173</v>
      </c>
      <c r="C1624" t="s">
        <v>37</v>
      </c>
      <c r="D1624">
        <v>1</v>
      </c>
      <c r="E1624" s="1">
        <v>45712</v>
      </c>
      <c r="F1624" t="s">
        <v>572</v>
      </c>
      <c r="G1624">
        <v>5</v>
      </c>
      <c r="H1624" t="s">
        <v>581</v>
      </c>
      <c r="I1624" t="s">
        <v>597</v>
      </c>
      <c r="J1624" t="str">
        <f t="shared" si="75"/>
        <v>February</v>
      </c>
      <c r="K1624" t="str">
        <f t="shared" si="76"/>
        <v>Q1</v>
      </c>
      <c r="L1624">
        <f t="shared" si="77"/>
        <v>2025</v>
      </c>
    </row>
    <row r="1625" spans="1:12" x14ac:dyDescent="0.3">
      <c r="A1625" t="s">
        <v>2808</v>
      </c>
      <c r="B1625" t="s">
        <v>173</v>
      </c>
      <c r="C1625" t="s">
        <v>37</v>
      </c>
      <c r="D1625">
        <v>2</v>
      </c>
      <c r="E1625" s="1">
        <v>45721</v>
      </c>
      <c r="F1625" t="s">
        <v>596</v>
      </c>
      <c r="G1625">
        <v>4</v>
      </c>
      <c r="H1625" t="s">
        <v>581</v>
      </c>
      <c r="I1625" t="s">
        <v>570</v>
      </c>
      <c r="J1625" t="str">
        <f t="shared" si="75"/>
        <v>March</v>
      </c>
      <c r="K1625" t="str">
        <f t="shared" si="76"/>
        <v>Q1</v>
      </c>
      <c r="L1625">
        <f t="shared" si="77"/>
        <v>2025</v>
      </c>
    </row>
    <row r="1626" spans="1:12" x14ac:dyDescent="0.3">
      <c r="A1626" t="s">
        <v>2809</v>
      </c>
      <c r="B1626" t="s">
        <v>2810</v>
      </c>
      <c r="C1626" t="s">
        <v>45</v>
      </c>
      <c r="D1626">
        <v>1</v>
      </c>
      <c r="E1626" s="1">
        <v>45862</v>
      </c>
      <c r="F1626" t="s">
        <v>580</v>
      </c>
      <c r="G1626">
        <v>4</v>
      </c>
      <c r="H1626" t="s">
        <v>581</v>
      </c>
      <c r="I1626" t="s">
        <v>570</v>
      </c>
      <c r="J1626" t="str">
        <f t="shared" si="75"/>
        <v>July</v>
      </c>
      <c r="K1626" t="str">
        <f t="shared" si="76"/>
        <v>Q3</v>
      </c>
      <c r="L1626">
        <f t="shared" si="77"/>
        <v>2025</v>
      </c>
    </row>
    <row r="1627" spans="1:12" x14ac:dyDescent="0.3">
      <c r="A1627" t="s">
        <v>2811</v>
      </c>
      <c r="B1627" t="s">
        <v>2810</v>
      </c>
      <c r="C1627" t="s">
        <v>45</v>
      </c>
      <c r="D1627">
        <v>2</v>
      </c>
      <c r="E1627" s="1">
        <v>45872</v>
      </c>
      <c r="F1627" t="s">
        <v>638</v>
      </c>
      <c r="G1627">
        <v>2</v>
      </c>
      <c r="H1627" t="s">
        <v>569</v>
      </c>
      <c r="I1627" t="s">
        <v>570</v>
      </c>
      <c r="J1627" t="str">
        <f t="shared" si="75"/>
        <v>August</v>
      </c>
      <c r="K1627" t="str">
        <f t="shared" si="76"/>
        <v>Q3</v>
      </c>
      <c r="L1627">
        <f t="shared" si="77"/>
        <v>2025</v>
      </c>
    </row>
    <row r="1628" spans="1:12" x14ac:dyDescent="0.3">
      <c r="A1628" t="s">
        <v>2812</v>
      </c>
      <c r="B1628" t="s">
        <v>2810</v>
      </c>
      <c r="C1628" t="s">
        <v>45</v>
      </c>
      <c r="D1628">
        <v>3</v>
      </c>
      <c r="E1628" s="1">
        <v>45877</v>
      </c>
      <c r="F1628" t="s">
        <v>766</v>
      </c>
      <c r="G1628">
        <v>1</v>
      </c>
      <c r="H1628" t="s">
        <v>569</v>
      </c>
      <c r="I1628" t="s">
        <v>570</v>
      </c>
      <c r="J1628" t="str">
        <f t="shared" si="75"/>
        <v>August</v>
      </c>
      <c r="K1628" t="str">
        <f t="shared" si="76"/>
        <v>Q3</v>
      </c>
      <c r="L1628">
        <f t="shared" si="77"/>
        <v>2025</v>
      </c>
    </row>
    <row r="1629" spans="1:12" x14ac:dyDescent="0.3">
      <c r="A1629" t="s">
        <v>2813</v>
      </c>
      <c r="B1629" t="s">
        <v>2810</v>
      </c>
      <c r="C1629" t="s">
        <v>45</v>
      </c>
      <c r="D1629">
        <v>4</v>
      </c>
      <c r="E1629" s="1">
        <v>45886</v>
      </c>
      <c r="F1629" t="s">
        <v>580</v>
      </c>
      <c r="G1629">
        <v>1</v>
      </c>
      <c r="H1629" t="s">
        <v>569</v>
      </c>
      <c r="I1629" t="s">
        <v>570</v>
      </c>
      <c r="J1629" t="str">
        <f t="shared" si="75"/>
        <v>August</v>
      </c>
      <c r="K1629" t="str">
        <f t="shared" si="76"/>
        <v>Q3</v>
      </c>
      <c r="L1629">
        <f t="shared" si="77"/>
        <v>2025</v>
      </c>
    </row>
    <row r="1630" spans="1:12" x14ac:dyDescent="0.3">
      <c r="A1630" t="s">
        <v>2814</v>
      </c>
      <c r="B1630" t="s">
        <v>537</v>
      </c>
      <c r="C1630" t="s">
        <v>22</v>
      </c>
      <c r="D1630">
        <v>1</v>
      </c>
      <c r="E1630" s="1">
        <v>45849</v>
      </c>
      <c r="F1630" t="s">
        <v>625</v>
      </c>
      <c r="G1630">
        <v>4</v>
      </c>
      <c r="H1630" t="s">
        <v>581</v>
      </c>
      <c r="I1630" t="s">
        <v>570</v>
      </c>
      <c r="J1630" t="str">
        <f t="shared" si="75"/>
        <v>July</v>
      </c>
      <c r="K1630" t="str">
        <f t="shared" si="76"/>
        <v>Q3</v>
      </c>
      <c r="L1630">
        <f t="shared" si="77"/>
        <v>2025</v>
      </c>
    </row>
    <row r="1631" spans="1:12" x14ac:dyDescent="0.3">
      <c r="A1631" t="s">
        <v>2815</v>
      </c>
      <c r="B1631" t="s">
        <v>537</v>
      </c>
      <c r="C1631" t="s">
        <v>22</v>
      </c>
      <c r="D1631">
        <v>2</v>
      </c>
      <c r="E1631" s="1">
        <v>45856</v>
      </c>
      <c r="F1631" t="s">
        <v>625</v>
      </c>
      <c r="G1631">
        <v>3</v>
      </c>
      <c r="H1631" t="s">
        <v>578</v>
      </c>
      <c r="I1631" t="s">
        <v>570</v>
      </c>
      <c r="J1631" t="str">
        <f t="shared" si="75"/>
        <v>July</v>
      </c>
      <c r="K1631" t="str">
        <f t="shared" si="76"/>
        <v>Q3</v>
      </c>
      <c r="L1631">
        <f t="shared" si="77"/>
        <v>2025</v>
      </c>
    </row>
    <row r="1632" spans="1:12" x14ac:dyDescent="0.3">
      <c r="A1632" t="s">
        <v>2816</v>
      </c>
      <c r="B1632" t="s">
        <v>537</v>
      </c>
      <c r="C1632" t="s">
        <v>22</v>
      </c>
      <c r="D1632">
        <v>3</v>
      </c>
      <c r="E1632" s="1">
        <v>45867</v>
      </c>
      <c r="F1632" t="s">
        <v>625</v>
      </c>
      <c r="G1632">
        <v>3</v>
      </c>
      <c r="H1632" t="s">
        <v>578</v>
      </c>
      <c r="I1632" t="s">
        <v>570</v>
      </c>
      <c r="J1632" t="str">
        <f t="shared" si="75"/>
        <v>July</v>
      </c>
      <c r="K1632" t="str">
        <f t="shared" si="76"/>
        <v>Q3</v>
      </c>
      <c r="L1632">
        <f t="shared" si="77"/>
        <v>2025</v>
      </c>
    </row>
    <row r="1633" spans="1:12" x14ac:dyDescent="0.3">
      <c r="A1633" t="s">
        <v>2817</v>
      </c>
      <c r="B1633" t="s">
        <v>537</v>
      </c>
      <c r="C1633" t="s">
        <v>22</v>
      </c>
      <c r="D1633">
        <v>4</v>
      </c>
      <c r="E1633" s="1">
        <v>45874</v>
      </c>
      <c r="F1633" t="s">
        <v>625</v>
      </c>
      <c r="G1633">
        <v>5</v>
      </c>
      <c r="H1633" t="s">
        <v>581</v>
      </c>
      <c r="I1633" t="s">
        <v>570</v>
      </c>
      <c r="J1633" t="str">
        <f t="shared" si="75"/>
        <v>August</v>
      </c>
      <c r="K1633" t="str">
        <f t="shared" si="76"/>
        <v>Q3</v>
      </c>
      <c r="L1633">
        <f t="shared" si="77"/>
        <v>2025</v>
      </c>
    </row>
    <row r="1634" spans="1:12" x14ac:dyDescent="0.3">
      <c r="A1634" t="s">
        <v>2818</v>
      </c>
      <c r="B1634" t="s">
        <v>394</v>
      </c>
      <c r="C1634" t="s">
        <v>108</v>
      </c>
      <c r="D1634">
        <v>1</v>
      </c>
      <c r="E1634" s="1">
        <v>45748</v>
      </c>
      <c r="F1634" t="s">
        <v>638</v>
      </c>
      <c r="G1634">
        <v>4</v>
      </c>
      <c r="H1634" t="s">
        <v>581</v>
      </c>
      <c r="I1634" t="s">
        <v>570</v>
      </c>
      <c r="J1634" t="str">
        <f t="shared" si="75"/>
        <v>April</v>
      </c>
      <c r="K1634" t="str">
        <f t="shared" si="76"/>
        <v>Q2</v>
      </c>
      <c r="L1634">
        <f t="shared" si="77"/>
        <v>2025</v>
      </c>
    </row>
    <row r="1635" spans="1:12" x14ac:dyDescent="0.3">
      <c r="A1635" t="s">
        <v>2819</v>
      </c>
      <c r="B1635" t="s">
        <v>394</v>
      </c>
      <c r="C1635" t="s">
        <v>108</v>
      </c>
      <c r="D1635">
        <v>2</v>
      </c>
      <c r="E1635" s="1">
        <v>45754</v>
      </c>
      <c r="F1635" t="s">
        <v>638</v>
      </c>
      <c r="G1635">
        <v>5</v>
      </c>
      <c r="H1635" t="s">
        <v>581</v>
      </c>
      <c r="I1635" t="s">
        <v>570</v>
      </c>
      <c r="J1635" t="str">
        <f t="shared" si="75"/>
        <v>April</v>
      </c>
      <c r="K1635" t="str">
        <f t="shared" si="76"/>
        <v>Q2</v>
      </c>
      <c r="L1635">
        <f t="shared" si="77"/>
        <v>2025</v>
      </c>
    </row>
    <row r="1636" spans="1:12" x14ac:dyDescent="0.3">
      <c r="A1636" t="s">
        <v>2820</v>
      </c>
      <c r="B1636" t="s">
        <v>394</v>
      </c>
      <c r="C1636" t="s">
        <v>108</v>
      </c>
      <c r="D1636">
        <v>3</v>
      </c>
      <c r="E1636" s="1">
        <v>45765</v>
      </c>
      <c r="F1636" t="s">
        <v>621</v>
      </c>
      <c r="G1636">
        <v>2</v>
      </c>
      <c r="H1636" t="s">
        <v>569</v>
      </c>
      <c r="I1636" t="s">
        <v>570</v>
      </c>
      <c r="J1636" t="str">
        <f t="shared" si="75"/>
        <v>April</v>
      </c>
      <c r="K1636" t="str">
        <f t="shared" si="76"/>
        <v>Q2</v>
      </c>
      <c r="L1636">
        <f t="shared" si="77"/>
        <v>2025</v>
      </c>
    </row>
    <row r="1637" spans="1:12" x14ac:dyDescent="0.3">
      <c r="A1637" t="s">
        <v>2821</v>
      </c>
      <c r="B1637" t="s">
        <v>394</v>
      </c>
      <c r="C1637" t="s">
        <v>108</v>
      </c>
      <c r="D1637">
        <v>4</v>
      </c>
      <c r="E1637" s="1">
        <v>45774</v>
      </c>
      <c r="F1637" t="s">
        <v>577</v>
      </c>
      <c r="G1637">
        <v>4</v>
      </c>
      <c r="H1637" t="s">
        <v>581</v>
      </c>
      <c r="I1637" t="s">
        <v>570</v>
      </c>
      <c r="J1637" t="str">
        <f t="shared" si="75"/>
        <v>April</v>
      </c>
      <c r="K1637" t="str">
        <f t="shared" si="76"/>
        <v>Q2</v>
      </c>
      <c r="L1637">
        <f t="shared" si="77"/>
        <v>2025</v>
      </c>
    </row>
    <row r="1638" spans="1:12" x14ac:dyDescent="0.3">
      <c r="A1638" t="s">
        <v>2822</v>
      </c>
      <c r="B1638" t="s">
        <v>2823</v>
      </c>
      <c r="C1638" t="s">
        <v>260</v>
      </c>
      <c r="D1638">
        <v>1</v>
      </c>
      <c r="E1638" s="1">
        <v>45740</v>
      </c>
      <c r="F1638" t="s">
        <v>577</v>
      </c>
      <c r="G1638">
        <v>1</v>
      </c>
      <c r="H1638" t="s">
        <v>569</v>
      </c>
      <c r="I1638" t="s">
        <v>570</v>
      </c>
      <c r="J1638" t="str">
        <f t="shared" si="75"/>
        <v>March</v>
      </c>
      <c r="K1638" t="str">
        <f t="shared" si="76"/>
        <v>Q1</v>
      </c>
      <c r="L1638">
        <f t="shared" si="77"/>
        <v>2025</v>
      </c>
    </row>
    <row r="1639" spans="1:12" x14ac:dyDescent="0.3">
      <c r="A1639" t="s">
        <v>2824</v>
      </c>
      <c r="B1639" t="s">
        <v>2825</v>
      </c>
      <c r="C1639" t="s">
        <v>340</v>
      </c>
      <c r="D1639">
        <v>1</v>
      </c>
      <c r="E1639" s="1">
        <v>45680</v>
      </c>
      <c r="F1639" t="s">
        <v>741</v>
      </c>
      <c r="G1639">
        <v>1</v>
      </c>
      <c r="H1639" t="s">
        <v>569</v>
      </c>
      <c r="I1639" t="s">
        <v>570</v>
      </c>
      <c r="J1639" t="str">
        <f t="shared" si="75"/>
        <v>January</v>
      </c>
      <c r="K1639" t="str">
        <f t="shared" si="76"/>
        <v>Q1</v>
      </c>
      <c r="L1639">
        <f t="shared" si="77"/>
        <v>2025</v>
      </c>
    </row>
    <row r="1640" spans="1:12" x14ac:dyDescent="0.3">
      <c r="A1640" t="s">
        <v>2826</v>
      </c>
      <c r="B1640" t="s">
        <v>2825</v>
      </c>
      <c r="C1640" t="s">
        <v>340</v>
      </c>
      <c r="D1640">
        <v>2</v>
      </c>
      <c r="E1640" s="1">
        <v>45685</v>
      </c>
      <c r="F1640" t="s">
        <v>577</v>
      </c>
      <c r="G1640">
        <v>2</v>
      </c>
      <c r="H1640" t="s">
        <v>569</v>
      </c>
      <c r="I1640" t="s">
        <v>570</v>
      </c>
      <c r="J1640" t="str">
        <f t="shared" si="75"/>
        <v>January</v>
      </c>
      <c r="K1640" t="str">
        <f t="shared" si="76"/>
        <v>Q1</v>
      </c>
      <c r="L1640">
        <f t="shared" si="77"/>
        <v>2025</v>
      </c>
    </row>
    <row r="1641" spans="1:12" x14ac:dyDescent="0.3">
      <c r="A1641" t="s">
        <v>2827</v>
      </c>
      <c r="B1641" t="s">
        <v>2825</v>
      </c>
      <c r="C1641" t="s">
        <v>340</v>
      </c>
      <c r="D1641">
        <v>3</v>
      </c>
      <c r="E1641" s="1">
        <v>45694</v>
      </c>
      <c r="F1641" t="s">
        <v>621</v>
      </c>
      <c r="G1641">
        <v>1</v>
      </c>
      <c r="H1641" t="s">
        <v>569</v>
      </c>
      <c r="I1641" t="s">
        <v>570</v>
      </c>
      <c r="J1641" t="str">
        <f t="shared" si="75"/>
        <v>February</v>
      </c>
      <c r="K1641" t="str">
        <f t="shared" si="76"/>
        <v>Q1</v>
      </c>
      <c r="L1641">
        <f t="shared" si="77"/>
        <v>2025</v>
      </c>
    </row>
    <row r="1642" spans="1:12" x14ac:dyDescent="0.3">
      <c r="A1642" t="s">
        <v>2828</v>
      </c>
      <c r="B1642" t="s">
        <v>54</v>
      </c>
      <c r="C1642" t="s">
        <v>55</v>
      </c>
      <c r="D1642">
        <v>1</v>
      </c>
      <c r="E1642" s="1">
        <v>45931</v>
      </c>
      <c r="F1642" t="s">
        <v>596</v>
      </c>
      <c r="G1642">
        <v>4</v>
      </c>
      <c r="H1642" t="s">
        <v>581</v>
      </c>
      <c r="I1642" t="s">
        <v>570</v>
      </c>
      <c r="J1642" t="str">
        <f t="shared" si="75"/>
        <v>October</v>
      </c>
      <c r="K1642" t="str">
        <f t="shared" si="76"/>
        <v>Q4</v>
      </c>
      <c r="L1642">
        <f t="shared" si="77"/>
        <v>2025</v>
      </c>
    </row>
    <row r="1643" spans="1:12" x14ac:dyDescent="0.3">
      <c r="A1643" t="s">
        <v>2829</v>
      </c>
      <c r="B1643" t="s">
        <v>2830</v>
      </c>
      <c r="C1643" t="s">
        <v>973</v>
      </c>
      <c r="D1643">
        <v>1</v>
      </c>
      <c r="E1643" s="1">
        <v>45924</v>
      </c>
      <c r="F1643" t="s">
        <v>706</v>
      </c>
      <c r="G1643">
        <v>3</v>
      </c>
      <c r="H1643" t="s">
        <v>578</v>
      </c>
      <c r="I1643" t="s">
        <v>597</v>
      </c>
      <c r="J1643" t="str">
        <f t="shared" si="75"/>
        <v>September</v>
      </c>
      <c r="K1643" t="str">
        <f t="shared" si="76"/>
        <v>Q3</v>
      </c>
      <c r="L1643">
        <f t="shared" si="77"/>
        <v>2025</v>
      </c>
    </row>
    <row r="1644" spans="1:12" x14ac:dyDescent="0.3">
      <c r="A1644" t="s">
        <v>2831</v>
      </c>
      <c r="B1644" t="s">
        <v>336</v>
      </c>
      <c r="C1644" t="s">
        <v>337</v>
      </c>
      <c r="D1644">
        <v>1</v>
      </c>
      <c r="E1644" s="1">
        <v>45843</v>
      </c>
      <c r="F1644" t="s">
        <v>575</v>
      </c>
      <c r="G1644">
        <v>3</v>
      </c>
      <c r="H1644" t="s">
        <v>578</v>
      </c>
      <c r="I1644" t="s">
        <v>570</v>
      </c>
      <c r="J1644" t="str">
        <f t="shared" si="75"/>
        <v>July</v>
      </c>
      <c r="K1644" t="str">
        <f t="shared" si="76"/>
        <v>Q3</v>
      </c>
      <c r="L1644">
        <f t="shared" si="77"/>
        <v>2025</v>
      </c>
    </row>
    <row r="1645" spans="1:12" x14ac:dyDescent="0.3">
      <c r="A1645" t="s">
        <v>2832</v>
      </c>
      <c r="B1645" t="s">
        <v>336</v>
      </c>
      <c r="C1645" t="s">
        <v>337</v>
      </c>
      <c r="D1645">
        <v>2</v>
      </c>
      <c r="E1645" s="1">
        <v>45853</v>
      </c>
      <c r="F1645" t="s">
        <v>577</v>
      </c>
      <c r="G1645">
        <v>3</v>
      </c>
      <c r="H1645" t="s">
        <v>578</v>
      </c>
      <c r="I1645" t="s">
        <v>570</v>
      </c>
      <c r="J1645" t="str">
        <f t="shared" si="75"/>
        <v>July</v>
      </c>
      <c r="K1645" t="str">
        <f t="shared" si="76"/>
        <v>Q3</v>
      </c>
      <c r="L1645">
        <f t="shared" si="77"/>
        <v>2025</v>
      </c>
    </row>
    <row r="1646" spans="1:12" x14ac:dyDescent="0.3">
      <c r="A1646" t="s">
        <v>2833</v>
      </c>
      <c r="B1646" t="s">
        <v>336</v>
      </c>
      <c r="C1646" t="s">
        <v>337</v>
      </c>
      <c r="D1646">
        <v>3</v>
      </c>
      <c r="E1646" s="1">
        <v>45857</v>
      </c>
      <c r="F1646" t="s">
        <v>596</v>
      </c>
      <c r="G1646">
        <v>2</v>
      </c>
      <c r="H1646" t="s">
        <v>569</v>
      </c>
      <c r="I1646" t="s">
        <v>570</v>
      </c>
      <c r="J1646" t="str">
        <f t="shared" si="75"/>
        <v>July</v>
      </c>
      <c r="K1646" t="str">
        <f t="shared" si="76"/>
        <v>Q3</v>
      </c>
      <c r="L1646">
        <f t="shared" si="77"/>
        <v>2025</v>
      </c>
    </row>
    <row r="1647" spans="1:12" x14ac:dyDescent="0.3">
      <c r="A1647" t="s">
        <v>2834</v>
      </c>
      <c r="B1647" t="s">
        <v>336</v>
      </c>
      <c r="C1647" t="s">
        <v>337</v>
      </c>
      <c r="D1647">
        <v>4</v>
      </c>
      <c r="E1647" s="1">
        <v>45864</v>
      </c>
      <c r="F1647" t="s">
        <v>596</v>
      </c>
      <c r="G1647">
        <v>4</v>
      </c>
      <c r="H1647" t="s">
        <v>581</v>
      </c>
      <c r="I1647" t="s">
        <v>570</v>
      </c>
      <c r="J1647" t="str">
        <f t="shared" si="75"/>
        <v>July</v>
      </c>
      <c r="K1647" t="str">
        <f t="shared" si="76"/>
        <v>Q3</v>
      </c>
      <c r="L1647">
        <f t="shared" si="77"/>
        <v>2025</v>
      </c>
    </row>
    <row r="1648" spans="1:12" x14ac:dyDescent="0.3">
      <c r="A1648" t="s">
        <v>2835</v>
      </c>
      <c r="B1648" t="s">
        <v>2836</v>
      </c>
      <c r="C1648" t="s">
        <v>99</v>
      </c>
      <c r="D1648">
        <v>1</v>
      </c>
      <c r="E1648" s="1">
        <v>45858</v>
      </c>
      <c r="F1648" t="s">
        <v>670</v>
      </c>
      <c r="G1648">
        <v>4</v>
      </c>
      <c r="H1648" t="s">
        <v>581</v>
      </c>
      <c r="I1648" t="s">
        <v>570</v>
      </c>
      <c r="J1648" t="str">
        <f t="shared" si="75"/>
        <v>July</v>
      </c>
      <c r="K1648" t="str">
        <f t="shared" si="76"/>
        <v>Q3</v>
      </c>
      <c r="L1648">
        <f t="shared" si="77"/>
        <v>2025</v>
      </c>
    </row>
    <row r="1649" spans="1:12" x14ac:dyDescent="0.3">
      <c r="A1649" t="s">
        <v>2837</v>
      </c>
      <c r="B1649" t="s">
        <v>2836</v>
      </c>
      <c r="C1649" t="s">
        <v>99</v>
      </c>
      <c r="D1649">
        <v>2</v>
      </c>
      <c r="E1649" s="1">
        <v>45866</v>
      </c>
      <c r="F1649" t="s">
        <v>649</v>
      </c>
      <c r="G1649">
        <v>4</v>
      </c>
      <c r="H1649" t="s">
        <v>581</v>
      </c>
      <c r="I1649" t="s">
        <v>570</v>
      </c>
      <c r="J1649" t="str">
        <f t="shared" si="75"/>
        <v>July</v>
      </c>
      <c r="K1649" t="str">
        <f t="shared" si="76"/>
        <v>Q3</v>
      </c>
      <c r="L1649">
        <f t="shared" si="77"/>
        <v>2025</v>
      </c>
    </row>
    <row r="1650" spans="1:12" x14ac:dyDescent="0.3">
      <c r="A1650" t="s">
        <v>2838</v>
      </c>
      <c r="B1650" t="s">
        <v>2839</v>
      </c>
      <c r="C1650" t="s">
        <v>32</v>
      </c>
      <c r="D1650">
        <v>1</v>
      </c>
      <c r="E1650" s="1">
        <v>45763</v>
      </c>
      <c r="F1650" t="s">
        <v>621</v>
      </c>
      <c r="G1650">
        <v>1</v>
      </c>
      <c r="H1650" t="s">
        <v>569</v>
      </c>
      <c r="I1650" t="s">
        <v>570</v>
      </c>
      <c r="J1650" t="str">
        <f t="shared" si="75"/>
        <v>April</v>
      </c>
      <c r="K1650" t="str">
        <f t="shared" si="76"/>
        <v>Q2</v>
      </c>
      <c r="L1650">
        <f t="shared" si="77"/>
        <v>2025</v>
      </c>
    </row>
    <row r="1651" spans="1:12" x14ac:dyDescent="0.3">
      <c r="A1651" t="s">
        <v>2840</v>
      </c>
      <c r="B1651" t="s">
        <v>2839</v>
      </c>
      <c r="C1651" t="s">
        <v>32</v>
      </c>
      <c r="D1651">
        <v>2</v>
      </c>
      <c r="E1651" s="1">
        <v>45772</v>
      </c>
      <c r="F1651" t="s">
        <v>621</v>
      </c>
      <c r="G1651">
        <v>1</v>
      </c>
      <c r="H1651" t="s">
        <v>569</v>
      </c>
      <c r="I1651" t="s">
        <v>570</v>
      </c>
      <c r="J1651" t="str">
        <f t="shared" si="75"/>
        <v>April</v>
      </c>
      <c r="K1651" t="str">
        <f t="shared" si="76"/>
        <v>Q2</v>
      </c>
      <c r="L1651">
        <f t="shared" si="77"/>
        <v>2025</v>
      </c>
    </row>
    <row r="1652" spans="1:12" x14ac:dyDescent="0.3">
      <c r="A1652" t="s">
        <v>2841</v>
      </c>
      <c r="B1652" t="s">
        <v>2839</v>
      </c>
      <c r="C1652" t="s">
        <v>32</v>
      </c>
      <c r="D1652">
        <v>3</v>
      </c>
      <c r="E1652" s="1">
        <v>45779</v>
      </c>
      <c r="F1652" t="s">
        <v>575</v>
      </c>
      <c r="G1652">
        <v>3</v>
      </c>
      <c r="H1652" t="s">
        <v>578</v>
      </c>
      <c r="I1652" t="s">
        <v>570</v>
      </c>
      <c r="J1652" t="str">
        <f t="shared" si="75"/>
        <v>May</v>
      </c>
      <c r="K1652" t="str">
        <f t="shared" si="76"/>
        <v>Q2</v>
      </c>
      <c r="L1652">
        <f t="shared" si="77"/>
        <v>2025</v>
      </c>
    </row>
    <row r="1653" spans="1:12" x14ac:dyDescent="0.3">
      <c r="A1653" t="s">
        <v>2842</v>
      </c>
      <c r="B1653" t="s">
        <v>2839</v>
      </c>
      <c r="C1653" t="s">
        <v>32</v>
      </c>
      <c r="D1653">
        <v>4</v>
      </c>
      <c r="E1653" s="1">
        <v>45784</v>
      </c>
      <c r="F1653" t="s">
        <v>572</v>
      </c>
      <c r="G1653">
        <v>2</v>
      </c>
      <c r="H1653" t="s">
        <v>569</v>
      </c>
      <c r="I1653" t="s">
        <v>570</v>
      </c>
      <c r="J1653" t="str">
        <f t="shared" si="75"/>
        <v>May</v>
      </c>
      <c r="K1653" t="str">
        <f t="shared" si="76"/>
        <v>Q2</v>
      </c>
      <c r="L1653">
        <f t="shared" si="77"/>
        <v>2025</v>
      </c>
    </row>
    <row r="1654" spans="1:12" x14ac:dyDescent="0.3">
      <c r="A1654" t="s">
        <v>2843</v>
      </c>
      <c r="B1654" t="s">
        <v>2844</v>
      </c>
      <c r="C1654" t="s">
        <v>147</v>
      </c>
      <c r="D1654">
        <v>1</v>
      </c>
      <c r="E1654" s="1">
        <v>45830</v>
      </c>
      <c r="F1654" t="s">
        <v>580</v>
      </c>
      <c r="G1654">
        <v>2</v>
      </c>
      <c r="H1654" t="s">
        <v>569</v>
      </c>
      <c r="I1654" t="s">
        <v>570</v>
      </c>
      <c r="J1654" t="str">
        <f t="shared" si="75"/>
        <v>June</v>
      </c>
      <c r="K1654" t="str">
        <f t="shared" si="76"/>
        <v>Q2</v>
      </c>
      <c r="L1654">
        <f t="shared" si="77"/>
        <v>2025</v>
      </c>
    </row>
    <row r="1655" spans="1:12" x14ac:dyDescent="0.3">
      <c r="A1655" t="s">
        <v>2845</v>
      </c>
      <c r="B1655" t="s">
        <v>2844</v>
      </c>
      <c r="C1655" t="s">
        <v>147</v>
      </c>
      <c r="D1655">
        <v>2</v>
      </c>
      <c r="E1655" s="1">
        <v>45837</v>
      </c>
      <c r="F1655" t="s">
        <v>596</v>
      </c>
      <c r="G1655">
        <v>1</v>
      </c>
      <c r="H1655" t="s">
        <v>569</v>
      </c>
      <c r="I1655" t="s">
        <v>570</v>
      </c>
      <c r="J1655" t="str">
        <f t="shared" si="75"/>
        <v>June</v>
      </c>
      <c r="K1655" t="str">
        <f t="shared" si="76"/>
        <v>Q2</v>
      </c>
      <c r="L1655">
        <f t="shared" si="77"/>
        <v>2025</v>
      </c>
    </row>
    <row r="1656" spans="1:12" x14ac:dyDescent="0.3">
      <c r="A1656" t="s">
        <v>2846</v>
      </c>
      <c r="B1656" t="s">
        <v>2847</v>
      </c>
      <c r="C1656" t="s">
        <v>147</v>
      </c>
      <c r="D1656">
        <v>1</v>
      </c>
      <c r="E1656" s="1">
        <v>45831</v>
      </c>
      <c r="G1656">
        <v>4</v>
      </c>
      <c r="H1656" t="s">
        <v>581</v>
      </c>
      <c r="I1656" t="s">
        <v>570</v>
      </c>
      <c r="J1656" t="str">
        <f t="shared" si="75"/>
        <v>June</v>
      </c>
      <c r="K1656" t="str">
        <f t="shared" si="76"/>
        <v>Q2</v>
      </c>
      <c r="L1656">
        <f t="shared" si="77"/>
        <v>2025</v>
      </c>
    </row>
    <row r="1657" spans="1:12" x14ac:dyDescent="0.3">
      <c r="A1657" t="s">
        <v>2848</v>
      </c>
      <c r="B1657" t="s">
        <v>2849</v>
      </c>
      <c r="C1657" t="s">
        <v>51</v>
      </c>
      <c r="D1657">
        <v>1</v>
      </c>
      <c r="E1657" s="1">
        <v>45957</v>
      </c>
      <c r="F1657" t="s">
        <v>663</v>
      </c>
      <c r="G1657">
        <v>4</v>
      </c>
      <c r="H1657" t="s">
        <v>581</v>
      </c>
      <c r="I1657" t="s">
        <v>570</v>
      </c>
      <c r="J1657" t="str">
        <f t="shared" si="75"/>
        <v>October</v>
      </c>
      <c r="K1657" t="str">
        <f t="shared" si="76"/>
        <v>Q4</v>
      </c>
      <c r="L1657">
        <f t="shared" si="77"/>
        <v>2025</v>
      </c>
    </row>
    <row r="1658" spans="1:12" x14ac:dyDescent="0.3">
      <c r="A1658" t="s">
        <v>2850</v>
      </c>
      <c r="B1658" t="s">
        <v>2849</v>
      </c>
      <c r="C1658" t="s">
        <v>51</v>
      </c>
      <c r="D1658">
        <v>2</v>
      </c>
      <c r="E1658" s="1">
        <v>45963</v>
      </c>
      <c r="F1658" t="s">
        <v>596</v>
      </c>
      <c r="G1658">
        <v>4</v>
      </c>
      <c r="H1658" t="s">
        <v>581</v>
      </c>
      <c r="I1658" t="s">
        <v>570</v>
      </c>
      <c r="J1658" t="str">
        <f t="shared" si="75"/>
        <v>November</v>
      </c>
      <c r="K1658" t="str">
        <f t="shared" si="76"/>
        <v>Q4</v>
      </c>
      <c r="L1658">
        <f t="shared" si="77"/>
        <v>2025</v>
      </c>
    </row>
    <row r="1659" spans="1:12" x14ac:dyDescent="0.3">
      <c r="A1659" t="s">
        <v>2851</v>
      </c>
      <c r="B1659" t="s">
        <v>2849</v>
      </c>
      <c r="C1659" t="s">
        <v>51</v>
      </c>
      <c r="D1659">
        <v>3</v>
      </c>
      <c r="E1659" s="1">
        <v>45972</v>
      </c>
      <c r="F1659" t="s">
        <v>586</v>
      </c>
      <c r="G1659">
        <v>5</v>
      </c>
      <c r="H1659" t="s">
        <v>581</v>
      </c>
      <c r="I1659" t="s">
        <v>570</v>
      </c>
      <c r="J1659" t="str">
        <f t="shared" si="75"/>
        <v>November</v>
      </c>
      <c r="K1659" t="str">
        <f t="shared" si="76"/>
        <v>Q4</v>
      </c>
      <c r="L1659">
        <f t="shared" si="77"/>
        <v>2025</v>
      </c>
    </row>
    <row r="1660" spans="1:12" x14ac:dyDescent="0.3">
      <c r="A1660" t="s">
        <v>2852</v>
      </c>
      <c r="B1660" t="s">
        <v>2849</v>
      </c>
      <c r="C1660" t="s">
        <v>51</v>
      </c>
      <c r="D1660">
        <v>4</v>
      </c>
      <c r="E1660" s="1">
        <v>45983</v>
      </c>
      <c r="F1660" t="s">
        <v>572</v>
      </c>
      <c r="G1660">
        <v>5</v>
      </c>
      <c r="H1660" t="s">
        <v>581</v>
      </c>
      <c r="I1660" t="s">
        <v>597</v>
      </c>
      <c r="J1660" t="str">
        <f t="shared" si="75"/>
        <v>November</v>
      </c>
      <c r="K1660" t="str">
        <f t="shared" si="76"/>
        <v>Q4</v>
      </c>
      <c r="L1660">
        <f t="shared" si="77"/>
        <v>2025</v>
      </c>
    </row>
    <row r="1661" spans="1:12" x14ac:dyDescent="0.3">
      <c r="A1661" t="s">
        <v>2853</v>
      </c>
      <c r="B1661" t="s">
        <v>463</v>
      </c>
      <c r="C1661" t="s">
        <v>429</v>
      </c>
      <c r="D1661">
        <v>1</v>
      </c>
      <c r="E1661" s="1">
        <v>45774</v>
      </c>
      <c r="F1661" t="s">
        <v>592</v>
      </c>
      <c r="G1661">
        <v>5</v>
      </c>
      <c r="H1661" t="s">
        <v>581</v>
      </c>
      <c r="I1661" t="s">
        <v>570</v>
      </c>
      <c r="J1661" t="str">
        <f t="shared" si="75"/>
        <v>April</v>
      </c>
      <c r="K1661" t="str">
        <f t="shared" si="76"/>
        <v>Q2</v>
      </c>
      <c r="L1661">
        <f t="shared" si="77"/>
        <v>2025</v>
      </c>
    </row>
    <row r="1662" spans="1:12" x14ac:dyDescent="0.3">
      <c r="A1662" t="s">
        <v>2854</v>
      </c>
      <c r="B1662" t="s">
        <v>2855</v>
      </c>
      <c r="C1662" t="s">
        <v>96</v>
      </c>
      <c r="D1662">
        <v>1</v>
      </c>
      <c r="E1662" s="1">
        <v>45890</v>
      </c>
      <c r="F1662" t="s">
        <v>577</v>
      </c>
      <c r="G1662">
        <v>3</v>
      </c>
      <c r="H1662" t="s">
        <v>578</v>
      </c>
      <c r="I1662" t="s">
        <v>570</v>
      </c>
      <c r="J1662" t="str">
        <f t="shared" si="75"/>
        <v>August</v>
      </c>
      <c r="K1662" t="str">
        <f t="shared" si="76"/>
        <v>Q3</v>
      </c>
      <c r="L1662">
        <f t="shared" si="77"/>
        <v>2025</v>
      </c>
    </row>
    <row r="1663" spans="1:12" x14ac:dyDescent="0.3">
      <c r="A1663" t="s">
        <v>2856</v>
      </c>
      <c r="B1663" t="s">
        <v>2855</v>
      </c>
      <c r="C1663" t="s">
        <v>96</v>
      </c>
      <c r="D1663">
        <v>2</v>
      </c>
      <c r="E1663" s="1">
        <v>45900</v>
      </c>
      <c r="F1663" t="s">
        <v>612</v>
      </c>
      <c r="G1663">
        <v>3</v>
      </c>
      <c r="H1663" t="s">
        <v>578</v>
      </c>
      <c r="I1663" t="s">
        <v>570</v>
      </c>
      <c r="J1663" t="str">
        <f t="shared" si="75"/>
        <v>August</v>
      </c>
      <c r="K1663" t="str">
        <f t="shared" si="76"/>
        <v>Q3</v>
      </c>
      <c r="L1663">
        <f t="shared" si="77"/>
        <v>2025</v>
      </c>
    </row>
    <row r="1664" spans="1:12" x14ac:dyDescent="0.3">
      <c r="A1664" t="s">
        <v>2857</v>
      </c>
      <c r="B1664" t="s">
        <v>2858</v>
      </c>
      <c r="C1664" t="s">
        <v>195</v>
      </c>
      <c r="D1664">
        <v>1</v>
      </c>
      <c r="E1664" s="1">
        <v>45845</v>
      </c>
      <c r="F1664" t="s">
        <v>592</v>
      </c>
      <c r="G1664">
        <v>2</v>
      </c>
      <c r="H1664" t="s">
        <v>569</v>
      </c>
      <c r="I1664" t="s">
        <v>570</v>
      </c>
      <c r="J1664" t="str">
        <f t="shared" si="75"/>
        <v>July</v>
      </c>
      <c r="K1664" t="str">
        <f t="shared" si="76"/>
        <v>Q3</v>
      </c>
      <c r="L1664">
        <f t="shared" si="77"/>
        <v>2025</v>
      </c>
    </row>
    <row r="1665" spans="1:12" x14ac:dyDescent="0.3">
      <c r="A1665" t="s">
        <v>2859</v>
      </c>
      <c r="B1665" t="s">
        <v>2858</v>
      </c>
      <c r="C1665" t="s">
        <v>195</v>
      </c>
      <c r="D1665">
        <v>2</v>
      </c>
      <c r="E1665" s="1">
        <v>45854</v>
      </c>
      <c r="F1665" t="s">
        <v>584</v>
      </c>
      <c r="G1665">
        <v>1</v>
      </c>
      <c r="H1665" t="s">
        <v>569</v>
      </c>
      <c r="I1665" t="s">
        <v>570</v>
      </c>
      <c r="J1665" t="str">
        <f t="shared" si="75"/>
        <v>July</v>
      </c>
      <c r="K1665" t="str">
        <f t="shared" si="76"/>
        <v>Q3</v>
      </c>
      <c r="L1665">
        <f t="shared" si="77"/>
        <v>2025</v>
      </c>
    </row>
    <row r="1666" spans="1:12" x14ac:dyDescent="0.3">
      <c r="A1666" t="s">
        <v>2860</v>
      </c>
      <c r="B1666" t="s">
        <v>382</v>
      </c>
      <c r="C1666" t="s">
        <v>147</v>
      </c>
      <c r="D1666">
        <v>1</v>
      </c>
      <c r="E1666" s="1">
        <v>45821</v>
      </c>
      <c r="F1666" t="s">
        <v>586</v>
      </c>
      <c r="G1666">
        <v>4</v>
      </c>
      <c r="H1666" t="s">
        <v>581</v>
      </c>
      <c r="I1666" t="s">
        <v>570</v>
      </c>
      <c r="J1666" t="str">
        <f t="shared" ref="J1666:J1729" si="78">TEXT(E1666,"mmmm")</f>
        <v>June</v>
      </c>
      <c r="K1666" t="str">
        <f t="shared" ref="K1666:K1729" si="79">"Q"&amp;ROUNDUP(MONTH(E1666)/3,0)</f>
        <v>Q2</v>
      </c>
      <c r="L1666">
        <f t="shared" ref="L1666:L1729" si="80">YEAR(E1666)</f>
        <v>2025</v>
      </c>
    </row>
    <row r="1667" spans="1:12" x14ac:dyDescent="0.3">
      <c r="A1667" t="s">
        <v>2861</v>
      </c>
      <c r="B1667" t="s">
        <v>382</v>
      </c>
      <c r="C1667" t="s">
        <v>147</v>
      </c>
      <c r="D1667">
        <v>2</v>
      </c>
      <c r="E1667" s="1">
        <v>45828</v>
      </c>
      <c r="F1667" t="s">
        <v>596</v>
      </c>
      <c r="G1667">
        <v>4</v>
      </c>
      <c r="H1667" t="s">
        <v>581</v>
      </c>
      <c r="I1667" t="s">
        <v>570</v>
      </c>
      <c r="J1667" t="str">
        <f t="shared" si="78"/>
        <v>June</v>
      </c>
      <c r="K1667" t="str">
        <f t="shared" si="79"/>
        <v>Q2</v>
      </c>
      <c r="L1667">
        <f t="shared" si="80"/>
        <v>2025</v>
      </c>
    </row>
    <row r="1668" spans="1:12" x14ac:dyDescent="0.3">
      <c r="A1668" t="s">
        <v>2862</v>
      </c>
      <c r="B1668" t="s">
        <v>382</v>
      </c>
      <c r="C1668" t="s">
        <v>147</v>
      </c>
      <c r="D1668">
        <v>3</v>
      </c>
      <c r="E1668" s="1">
        <v>45839</v>
      </c>
      <c r="F1668" t="s">
        <v>572</v>
      </c>
      <c r="G1668">
        <v>4</v>
      </c>
      <c r="H1668" t="s">
        <v>581</v>
      </c>
      <c r="I1668" t="s">
        <v>570</v>
      </c>
      <c r="J1668" t="str">
        <f t="shared" si="78"/>
        <v>July</v>
      </c>
      <c r="K1668" t="str">
        <f t="shared" si="79"/>
        <v>Q3</v>
      </c>
      <c r="L1668">
        <f t="shared" si="80"/>
        <v>2025</v>
      </c>
    </row>
    <row r="1669" spans="1:12" x14ac:dyDescent="0.3">
      <c r="A1669" t="s">
        <v>2863</v>
      </c>
      <c r="B1669" t="s">
        <v>2864</v>
      </c>
      <c r="C1669" t="s">
        <v>176</v>
      </c>
      <c r="D1669">
        <v>1</v>
      </c>
      <c r="E1669" s="1">
        <v>45708</v>
      </c>
      <c r="F1669" t="s">
        <v>596</v>
      </c>
      <c r="G1669">
        <v>3</v>
      </c>
      <c r="H1669" t="s">
        <v>578</v>
      </c>
      <c r="I1669" t="s">
        <v>570</v>
      </c>
      <c r="J1669" t="str">
        <f t="shared" si="78"/>
        <v>February</v>
      </c>
      <c r="K1669" t="str">
        <f t="shared" si="79"/>
        <v>Q1</v>
      </c>
      <c r="L1669">
        <f t="shared" si="80"/>
        <v>2025</v>
      </c>
    </row>
    <row r="1670" spans="1:12" x14ac:dyDescent="0.3">
      <c r="A1670" t="s">
        <v>2865</v>
      </c>
      <c r="B1670" t="s">
        <v>2866</v>
      </c>
      <c r="C1670" t="s">
        <v>201</v>
      </c>
      <c r="D1670">
        <v>1</v>
      </c>
      <c r="E1670" s="1">
        <v>45966</v>
      </c>
      <c r="F1670" t="s">
        <v>603</v>
      </c>
      <c r="G1670">
        <v>2</v>
      </c>
      <c r="H1670" t="s">
        <v>569</v>
      </c>
      <c r="I1670" t="s">
        <v>597</v>
      </c>
      <c r="J1670" t="str">
        <f t="shared" si="78"/>
        <v>November</v>
      </c>
      <c r="K1670" t="str">
        <f t="shared" si="79"/>
        <v>Q4</v>
      </c>
      <c r="L1670">
        <f t="shared" si="80"/>
        <v>2025</v>
      </c>
    </row>
    <row r="1671" spans="1:12" x14ac:dyDescent="0.3">
      <c r="A1671" t="s">
        <v>2867</v>
      </c>
      <c r="B1671" t="s">
        <v>2866</v>
      </c>
      <c r="C1671" t="s">
        <v>201</v>
      </c>
      <c r="D1671">
        <v>2</v>
      </c>
      <c r="E1671" s="1">
        <v>45976</v>
      </c>
      <c r="F1671" t="s">
        <v>625</v>
      </c>
      <c r="G1671">
        <v>2</v>
      </c>
      <c r="H1671" t="s">
        <v>569</v>
      </c>
      <c r="I1671" t="s">
        <v>570</v>
      </c>
      <c r="J1671" t="str">
        <f t="shared" si="78"/>
        <v>November</v>
      </c>
      <c r="K1671" t="str">
        <f t="shared" si="79"/>
        <v>Q4</v>
      </c>
      <c r="L1671">
        <f t="shared" si="80"/>
        <v>2025</v>
      </c>
    </row>
    <row r="1672" spans="1:12" x14ac:dyDescent="0.3">
      <c r="A1672" t="s">
        <v>2868</v>
      </c>
      <c r="B1672" t="s">
        <v>2869</v>
      </c>
      <c r="C1672" t="s">
        <v>176</v>
      </c>
      <c r="D1672">
        <v>1</v>
      </c>
      <c r="E1672" s="1">
        <v>45703</v>
      </c>
      <c r="G1672">
        <v>1</v>
      </c>
      <c r="H1672" t="s">
        <v>569</v>
      </c>
      <c r="I1672" t="s">
        <v>570</v>
      </c>
      <c r="J1672" t="str">
        <f t="shared" si="78"/>
        <v>February</v>
      </c>
      <c r="K1672" t="str">
        <f t="shared" si="79"/>
        <v>Q1</v>
      </c>
      <c r="L1672">
        <f t="shared" si="80"/>
        <v>2025</v>
      </c>
    </row>
    <row r="1673" spans="1:12" x14ac:dyDescent="0.3">
      <c r="A1673" t="s">
        <v>2870</v>
      </c>
      <c r="B1673" t="s">
        <v>2869</v>
      </c>
      <c r="C1673" t="s">
        <v>176</v>
      </c>
      <c r="D1673">
        <v>2</v>
      </c>
      <c r="E1673" s="1">
        <v>45708</v>
      </c>
      <c r="F1673" t="s">
        <v>572</v>
      </c>
      <c r="G1673">
        <v>1</v>
      </c>
      <c r="H1673" t="s">
        <v>569</v>
      </c>
      <c r="I1673" t="s">
        <v>570</v>
      </c>
      <c r="J1673" t="str">
        <f t="shared" si="78"/>
        <v>February</v>
      </c>
      <c r="K1673" t="str">
        <f t="shared" si="79"/>
        <v>Q1</v>
      </c>
      <c r="L1673">
        <f t="shared" si="80"/>
        <v>2025</v>
      </c>
    </row>
    <row r="1674" spans="1:12" x14ac:dyDescent="0.3">
      <c r="A1674" t="s">
        <v>2871</v>
      </c>
      <c r="B1674" t="s">
        <v>2872</v>
      </c>
      <c r="C1674" t="s">
        <v>298</v>
      </c>
      <c r="D1674">
        <v>1</v>
      </c>
      <c r="E1674" s="1">
        <v>45901</v>
      </c>
      <c r="F1674" t="s">
        <v>658</v>
      </c>
      <c r="G1674">
        <v>2</v>
      </c>
      <c r="H1674" t="s">
        <v>569</v>
      </c>
      <c r="I1674" t="s">
        <v>570</v>
      </c>
      <c r="J1674" t="str">
        <f t="shared" si="78"/>
        <v>September</v>
      </c>
      <c r="K1674" t="str">
        <f t="shared" si="79"/>
        <v>Q3</v>
      </c>
      <c r="L1674">
        <f t="shared" si="80"/>
        <v>2025</v>
      </c>
    </row>
    <row r="1675" spans="1:12" x14ac:dyDescent="0.3">
      <c r="A1675" t="s">
        <v>2873</v>
      </c>
      <c r="B1675" t="s">
        <v>2872</v>
      </c>
      <c r="C1675" t="s">
        <v>298</v>
      </c>
      <c r="D1675">
        <v>2</v>
      </c>
      <c r="E1675" s="1">
        <v>45909</v>
      </c>
      <c r="F1675" t="s">
        <v>625</v>
      </c>
      <c r="G1675">
        <v>2</v>
      </c>
      <c r="H1675" t="s">
        <v>569</v>
      </c>
      <c r="I1675" t="s">
        <v>570</v>
      </c>
      <c r="J1675" t="str">
        <f t="shared" si="78"/>
        <v>September</v>
      </c>
      <c r="K1675" t="str">
        <f t="shared" si="79"/>
        <v>Q3</v>
      </c>
      <c r="L1675">
        <f t="shared" si="80"/>
        <v>2025</v>
      </c>
    </row>
    <row r="1676" spans="1:12" x14ac:dyDescent="0.3">
      <c r="A1676" t="s">
        <v>2874</v>
      </c>
      <c r="B1676" t="s">
        <v>2875</v>
      </c>
      <c r="C1676" t="s">
        <v>96</v>
      </c>
      <c r="D1676">
        <v>1</v>
      </c>
      <c r="E1676" s="1">
        <v>45881</v>
      </c>
      <c r="F1676" t="s">
        <v>625</v>
      </c>
      <c r="G1676">
        <v>2</v>
      </c>
      <c r="H1676" t="s">
        <v>569</v>
      </c>
      <c r="I1676" t="s">
        <v>570</v>
      </c>
      <c r="J1676" t="str">
        <f t="shared" si="78"/>
        <v>August</v>
      </c>
      <c r="K1676" t="str">
        <f t="shared" si="79"/>
        <v>Q3</v>
      </c>
      <c r="L1676">
        <f t="shared" si="80"/>
        <v>2025</v>
      </c>
    </row>
    <row r="1677" spans="1:12" x14ac:dyDescent="0.3">
      <c r="A1677" t="s">
        <v>2876</v>
      </c>
      <c r="B1677" t="s">
        <v>2877</v>
      </c>
      <c r="C1677" t="s">
        <v>85</v>
      </c>
      <c r="D1677">
        <v>1</v>
      </c>
      <c r="E1677" s="1">
        <v>45852</v>
      </c>
      <c r="F1677" t="s">
        <v>572</v>
      </c>
      <c r="G1677">
        <v>4</v>
      </c>
      <c r="H1677" t="s">
        <v>581</v>
      </c>
      <c r="I1677" t="s">
        <v>570</v>
      </c>
      <c r="J1677" t="str">
        <f t="shared" si="78"/>
        <v>July</v>
      </c>
      <c r="K1677" t="str">
        <f t="shared" si="79"/>
        <v>Q3</v>
      </c>
      <c r="L1677">
        <f t="shared" si="80"/>
        <v>2025</v>
      </c>
    </row>
    <row r="1678" spans="1:12" x14ac:dyDescent="0.3">
      <c r="A1678" t="s">
        <v>2878</v>
      </c>
      <c r="B1678" t="s">
        <v>2877</v>
      </c>
      <c r="C1678" t="s">
        <v>85</v>
      </c>
      <c r="D1678">
        <v>2</v>
      </c>
      <c r="E1678" s="1">
        <v>45859</v>
      </c>
      <c r="F1678" t="s">
        <v>663</v>
      </c>
      <c r="G1678">
        <v>3</v>
      </c>
      <c r="H1678" t="s">
        <v>578</v>
      </c>
      <c r="I1678" t="s">
        <v>570</v>
      </c>
      <c r="J1678" t="str">
        <f t="shared" si="78"/>
        <v>July</v>
      </c>
      <c r="K1678" t="str">
        <f t="shared" si="79"/>
        <v>Q3</v>
      </c>
      <c r="L1678">
        <f t="shared" si="80"/>
        <v>2025</v>
      </c>
    </row>
    <row r="1679" spans="1:12" x14ac:dyDescent="0.3">
      <c r="A1679" t="s">
        <v>2879</v>
      </c>
      <c r="B1679" t="s">
        <v>2877</v>
      </c>
      <c r="C1679" t="s">
        <v>85</v>
      </c>
      <c r="D1679">
        <v>3</v>
      </c>
      <c r="E1679" s="1">
        <v>45868</v>
      </c>
      <c r="F1679" t="s">
        <v>572</v>
      </c>
      <c r="G1679">
        <v>4</v>
      </c>
      <c r="H1679" t="s">
        <v>581</v>
      </c>
      <c r="I1679" t="s">
        <v>608</v>
      </c>
      <c r="J1679" t="str">
        <f t="shared" si="78"/>
        <v>July</v>
      </c>
      <c r="K1679" t="str">
        <f t="shared" si="79"/>
        <v>Q3</v>
      </c>
      <c r="L1679">
        <f t="shared" si="80"/>
        <v>2025</v>
      </c>
    </row>
    <row r="1680" spans="1:12" x14ac:dyDescent="0.3">
      <c r="A1680" t="s">
        <v>2880</v>
      </c>
      <c r="B1680" t="s">
        <v>2881</v>
      </c>
      <c r="C1680" t="s">
        <v>99</v>
      </c>
      <c r="D1680">
        <v>1</v>
      </c>
      <c r="E1680" s="1">
        <v>45851</v>
      </c>
      <c r="F1680" t="s">
        <v>649</v>
      </c>
      <c r="G1680">
        <v>1</v>
      </c>
      <c r="H1680" t="s">
        <v>569</v>
      </c>
      <c r="I1680" t="s">
        <v>597</v>
      </c>
      <c r="J1680" t="str">
        <f t="shared" si="78"/>
        <v>July</v>
      </c>
      <c r="K1680" t="str">
        <f t="shared" si="79"/>
        <v>Q3</v>
      </c>
      <c r="L1680">
        <f t="shared" si="80"/>
        <v>2025</v>
      </c>
    </row>
    <row r="1681" spans="1:12" x14ac:dyDescent="0.3">
      <c r="A1681" t="s">
        <v>2882</v>
      </c>
      <c r="B1681" t="s">
        <v>2883</v>
      </c>
      <c r="C1681" t="s">
        <v>58</v>
      </c>
      <c r="D1681">
        <v>1</v>
      </c>
      <c r="E1681" s="1">
        <v>45812</v>
      </c>
      <c r="F1681" t="s">
        <v>625</v>
      </c>
      <c r="G1681">
        <v>3</v>
      </c>
      <c r="H1681" t="s">
        <v>578</v>
      </c>
      <c r="I1681" t="s">
        <v>570</v>
      </c>
      <c r="J1681" t="str">
        <f t="shared" si="78"/>
        <v>June</v>
      </c>
      <c r="K1681" t="str">
        <f t="shared" si="79"/>
        <v>Q2</v>
      </c>
      <c r="L1681">
        <f t="shared" si="80"/>
        <v>2025</v>
      </c>
    </row>
    <row r="1682" spans="1:12" x14ac:dyDescent="0.3">
      <c r="A1682" t="s">
        <v>2884</v>
      </c>
      <c r="B1682" t="s">
        <v>2883</v>
      </c>
      <c r="C1682" t="s">
        <v>58</v>
      </c>
      <c r="D1682">
        <v>2</v>
      </c>
      <c r="E1682" s="1">
        <v>45824</v>
      </c>
      <c r="F1682" t="s">
        <v>577</v>
      </c>
      <c r="G1682">
        <v>3</v>
      </c>
      <c r="H1682" t="s">
        <v>578</v>
      </c>
      <c r="I1682" t="s">
        <v>570</v>
      </c>
      <c r="J1682" t="str">
        <f t="shared" si="78"/>
        <v>June</v>
      </c>
      <c r="K1682" t="str">
        <f t="shared" si="79"/>
        <v>Q2</v>
      </c>
      <c r="L1682">
        <f t="shared" si="80"/>
        <v>2025</v>
      </c>
    </row>
    <row r="1683" spans="1:12" x14ac:dyDescent="0.3">
      <c r="A1683" t="s">
        <v>2885</v>
      </c>
      <c r="B1683" t="s">
        <v>2883</v>
      </c>
      <c r="C1683" t="s">
        <v>58</v>
      </c>
      <c r="D1683">
        <v>3</v>
      </c>
      <c r="E1683" s="1">
        <v>45831</v>
      </c>
      <c r="F1683" t="s">
        <v>625</v>
      </c>
      <c r="G1683">
        <v>3</v>
      </c>
      <c r="H1683" t="s">
        <v>578</v>
      </c>
      <c r="I1683" t="s">
        <v>570</v>
      </c>
      <c r="J1683" t="str">
        <f t="shared" si="78"/>
        <v>June</v>
      </c>
      <c r="K1683" t="str">
        <f t="shared" si="79"/>
        <v>Q2</v>
      </c>
      <c r="L1683">
        <f t="shared" si="80"/>
        <v>2025</v>
      </c>
    </row>
    <row r="1684" spans="1:12" x14ac:dyDescent="0.3">
      <c r="A1684" t="s">
        <v>2886</v>
      </c>
      <c r="B1684" t="s">
        <v>416</v>
      </c>
      <c r="C1684" t="s">
        <v>41</v>
      </c>
      <c r="D1684">
        <v>1</v>
      </c>
      <c r="E1684" s="1">
        <v>45817</v>
      </c>
      <c r="F1684" t="s">
        <v>603</v>
      </c>
      <c r="G1684">
        <v>4</v>
      </c>
      <c r="H1684" t="s">
        <v>581</v>
      </c>
      <c r="I1684" t="s">
        <v>570</v>
      </c>
      <c r="J1684" t="str">
        <f t="shared" si="78"/>
        <v>June</v>
      </c>
      <c r="K1684" t="str">
        <f t="shared" si="79"/>
        <v>Q2</v>
      </c>
      <c r="L1684">
        <f t="shared" si="80"/>
        <v>2025</v>
      </c>
    </row>
    <row r="1685" spans="1:12" x14ac:dyDescent="0.3">
      <c r="A1685" t="s">
        <v>2887</v>
      </c>
      <c r="B1685" t="s">
        <v>416</v>
      </c>
      <c r="C1685" t="s">
        <v>41</v>
      </c>
      <c r="D1685">
        <v>2</v>
      </c>
      <c r="E1685" s="1">
        <v>45828</v>
      </c>
      <c r="F1685" t="s">
        <v>625</v>
      </c>
      <c r="G1685">
        <v>3</v>
      </c>
      <c r="H1685" t="s">
        <v>578</v>
      </c>
      <c r="I1685" t="s">
        <v>570</v>
      </c>
      <c r="J1685" t="str">
        <f t="shared" si="78"/>
        <v>June</v>
      </c>
      <c r="K1685" t="str">
        <f t="shared" si="79"/>
        <v>Q2</v>
      </c>
      <c r="L1685">
        <f t="shared" si="80"/>
        <v>2025</v>
      </c>
    </row>
    <row r="1686" spans="1:12" x14ac:dyDescent="0.3">
      <c r="A1686" t="s">
        <v>2888</v>
      </c>
      <c r="B1686" t="s">
        <v>416</v>
      </c>
      <c r="C1686" t="s">
        <v>41</v>
      </c>
      <c r="D1686">
        <v>3</v>
      </c>
      <c r="E1686" s="1">
        <v>45840</v>
      </c>
      <c r="F1686" t="s">
        <v>605</v>
      </c>
      <c r="G1686">
        <v>4</v>
      </c>
      <c r="H1686" t="s">
        <v>581</v>
      </c>
      <c r="I1686" t="s">
        <v>570</v>
      </c>
      <c r="J1686" t="str">
        <f t="shared" si="78"/>
        <v>July</v>
      </c>
      <c r="K1686" t="str">
        <f t="shared" si="79"/>
        <v>Q3</v>
      </c>
      <c r="L1686">
        <f t="shared" si="80"/>
        <v>2025</v>
      </c>
    </row>
    <row r="1687" spans="1:12" x14ac:dyDescent="0.3">
      <c r="A1687" t="s">
        <v>2889</v>
      </c>
      <c r="B1687" t="s">
        <v>2890</v>
      </c>
      <c r="C1687" t="s">
        <v>340</v>
      </c>
      <c r="D1687">
        <v>1</v>
      </c>
      <c r="E1687" s="1">
        <v>45679</v>
      </c>
      <c r="F1687" t="s">
        <v>600</v>
      </c>
      <c r="G1687">
        <v>1</v>
      </c>
      <c r="H1687" t="s">
        <v>569</v>
      </c>
      <c r="I1687" t="s">
        <v>597</v>
      </c>
      <c r="J1687" t="str">
        <f t="shared" si="78"/>
        <v>January</v>
      </c>
      <c r="K1687" t="str">
        <f t="shared" si="79"/>
        <v>Q1</v>
      </c>
      <c r="L1687">
        <f t="shared" si="80"/>
        <v>2025</v>
      </c>
    </row>
    <row r="1688" spans="1:12" x14ac:dyDescent="0.3">
      <c r="A1688" t="s">
        <v>2891</v>
      </c>
      <c r="B1688" t="s">
        <v>2890</v>
      </c>
      <c r="C1688" t="s">
        <v>340</v>
      </c>
      <c r="D1688">
        <v>2</v>
      </c>
      <c r="E1688" s="1">
        <v>45689</v>
      </c>
      <c r="F1688" t="s">
        <v>600</v>
      </c>
      <c r="G1688">
        <v>2</v>
      </c>
      <c r="H1688" t="s">
        <v>569</v>
      </c>
      <c r="I1688" t="s">
        <v>570</v>
      </c>
      <c r="J1688" t="str">
        <f t="shared" si="78"/>
        <v>February</v>
      </c>
      <c r="K1688" t="str">
        <f t="shared" si="79"/>
        <v>Q1</v>
      </c>
      <c r="L1688">
        <f t="shared" si="80"/>
        <v>2025</v>
      </c>
    </row>
    <row r="1689" spans="1:12" x14ac:dyDescent="0.3">
      <c r="A1689" t="s">
        <v>2892</v>
      </c>
      <c r="B1689" t="s">
        <v>2890</v>
      </c>
      <c r="C1689" t="s">
        <v>340</v>
      </c>
      <c r="D1689">
        <v>3</v>
      </c>
      <c r="E1689" s="1">
        <v>45697</v>
      </c>
      <c r="F1689" t="s">
        <v>743</v>
      </c>
      <c r="G1689">
        <v>2</v>
      </c>
      <c r="H1689" t="s">
        <v>569</v>
      </c>
      <c r="I1689" t="s">
        <v>597</v>
      </c>
      <c r="J1689" t="str">
        <f t="shared" si="78"/>
        <v>February</v>
      </c>
      <c r="K1689" t="str">
        <f t="shared" si="79"/>
        <v>Q1</v>
      </c>
      <c r="L1689">
        <f t="shared" si="80"/>
        <v>2025</v>
      </c>
    </row>
    <row r="1690" spans="1:12" x14ac:dyDescent="0.3">
      <c r="A1690" t="s">
        <v>2893</v>
      </c>
      <c r="B1690" t="s">
        <v>2890</v>
      </c>
      <c r="C1690" t="s">
        <v>340</v>
      </c>
      <c r="D1690">
        <v>4</v>
      </c>
      <c r="E1690" s="1">
        <v>45707</v>
      </c>
      <c r="F1690" t="s">
        <v>743</v>
      </c>
      <c r="G1690">
        <v>1</v>
      </c>
      <c r="H1690" t="s">
        <v>569</v>
      </c>
      <c r="I1690" t="s">
        <v>597</v>
      </c>
      <c r="J1690" t="str">
        <f t="shared" si="78"/>
        <v>February</v>
      </c>
      <c r="K1690" t="str">
        <f t="shared" si="79"/>
        <v>Q1</v>
      </c>
      <c r="L1690">
        <f t="shared" si="80"/>
        <v>2025</v>
      </c>
    </row>
    <row r="1691" spans="1:12" x14ac:dyDescent="0.3">
      <c r="A1691" t="s">
        <v>2894</v>
      </c>
      <c r="B1691" t="s">
        <v>2895</v>
      </c>
      <c r="C1691" t="s">
        <v>195</v>
      </c>
      <c r="D1691">
        <v>1</v>
      </c>
      <c r="E1691" s="1">
        <v>45849</v>
      </c>
      <c r="F1691" t="s">
        <v>586</v>
      </c>
      <c r="G1691">
        <v>1</v>
      </c>
      <c r="H1691" t="s">
        <v>569</v>
      </c>
      <c r="I1691" t="s">
        <v>570</v>
      </c>
      <c r="J1691" t="str">
        <f t="shared" si="78"/>
        <v>July</v>
      </c>
      <c r="K1691" t="str">
        <f t="shared" si="79"/>
        <v>Q3</v>
      </c>
      <c r="L1691">
        <f t="shared" si="80"/>
        <v>2025</v>
      </c>
    </row>
    <row r="1692" spans="1:12" x14ac:dyDescent="0.3">
      <c r="A1692" t="s">
        <v>2896</v>
      </c>
      <c r="B1692" t="s">
        <v>2895</v>
      </c>
      <c r="C1692" t="s">
        <v>195</v>
      </c>
      <c r="D1692">
        <v>2</v>
      </c>
      <c r="E1692" s="1">
        <v>45860</v>
      </c>
      <c r="F1692" t="s">
        <v>612</v>
      </c>
      <c r="G1692">
        <v>1</v>
      </c>
      <c r="H1692" t="s">
        <v>569</v>
      </c>
      <c r="I1692" t="s">
        <v>570</v>
      </c>
      <c r="J1692" t="str">
        <f t="shared" si="78"/>
        <v>July</v>
      </c>
      <c r="K1692" t="str">
        <f t="shared" si="79"/>
        <v>Q3</v>
      </c>
      <c r="L1692">
        <f t="shared" si="80"/>
        <v>2025</v>
      </c>
    </row>
    <row r="1693" spans="1:12" x14ac:dyDescent="0.3">
      <c r="A1693" t="s">
        <v>2897</v>
      </c>
      <c r="B1693" t="s">
        <v>2895</v>
      </c>
      <c r="C1693" t="s">
        <v>195</v>
      </c>
      <c r="D1693">
        <v>3</v>
      </c>
      <c r="E1693" s="1">
        <v>45871</v>
      </c>
      <c r="F1693" t="s">
        <v>584</v>
      </c>
      <c r="G1693">
        <v>1</v>
      </c>
      <c r="H1693" t="s">
        <v>569</v>
      </c>
      <c r="I1693" t="s">
        <v>570</v>
      </c>
      <c r="J1693" t="str">
        <f t="shared" si="78"/>
        <v>August</v>
      </c>
      <c r="K1693" t="str">
        <f t="shared" si="79"/>
        <v>Q3</v>
      </c>
      <c r="L1693">
        <f t="shared" si="80"/>
        <v>2025</v>
      </c>
    </row>
    <row r="1694" spans="1:12" x14ac:dyDescent="0.3">
      <c r="A1694" t="s">
        <v>2898</v>
      </c>
      <c r="B1694" t="s">
        <v>2899</v>
      </c>
      <c r="C1694" t="s">
        <v>298</v>
      </c>
      <c r="D1694">
        <v>1</v>
      </c>
      <c r="E1694" s="1">
        <v>45889</v>
      </c>
      <c r="F1694" t="s">
        <v>658</v>
      </c>
      <c r="G1694">
        <v>2</v>
      </c>
      <c r="H1694" t="s">
        <v>569</v>
      </c>
      <c r="I1694" t="s">
        <v>570</v>
      </c>
      <c r="J1694" t="str">
        <f t="shared" si="78"/>
        <v>August</v>
      </c>
      <c r="K1694" t="str">
        <f t="shared" si="79"/>
        <v>Q3</v>
      </c>
      <c r="L1694">
        <f t="shared" si="80"/>
        <v>2025</v>
      </c>
    </row>
    <row r="1695" spans="1:12" x14ac:dyDescent="0.3">
      <c r="A1695" t="s">
        <v>2900</v>
      </c>
      <c r="B1695" t="s">
        <v>2899</v>
      </c>
      <c r="C1695" t="s">
        <v>298</v>
      </c>
      <c r="D1695">
        <v>2</v>
      </c>
      <c r="E1695" s="1">
        <v>45901</v>
      </c>
      <c r="F1695" t="s">
        <v>656</v>
      </c>
      <c r="G1695">
        <v>2</v>
      </c>
      <c r="H1695" t="s">
        <v>569</v>
      </c>
      <c r="I1695" t="s">
        <v>570</v>
      </c>
      <c r="J1695" t="str">
        <f t="shared" si="78"/>
        <v>September</v>
      </c>
      <c r="K1695" t="str">
        <f t="shared" si="79"/>
        <v>Q3</v>
      </c>
      <c r="L1695">
        <f t="shared" si="80"/>
        <v>2025</v>
      </c>
    </row>
    <row r="1696" spans="1:12" x14ac:dyDescent="0.3">
      <c r="A1696" t="s">
        <v>2901</v>
      </c>
      <c r="B1696" t="s">
        <v>2899</v>
      </c>
      <c r="C1696" t="s">
        <v>298</v>
      </c>
      <c r="D1696">
        <v>3</v>
      </c>
      <c r="E1696" s="1">
        <v>45906</v>
      </c>
      <c r="F1696" t="s">
        <v>658</v>
      </c>
      <c r="G1696">
        <v>1</v>
      </c>
      <c r="H1696" t="s">
        <v>569</v>
      </c>
      <c r="I1696" t="s">
        <v>570</v>
      </c>
      <c r="J1696" t="str">
        <f t="shared" si="78"/>
        <v>September</v>
      </c>
      <c r="K1696" t="str">
        <f t="shared" si="79"/>
        <v>Q3</v>
      </c>
      <c r="L1696">
        <f t="shared" si="80"/>
        <v>2025</v>
      </c>
    </row>
    <row r="1697" spans="1:12" x14ac:dyDescent="0.3">
      <c r="A1697" t="s">
        <v>2902</v>
      </c>
      <c r="B1697" t="s">
        <v>2899</v>
      </c>
      <c r="C1697" t="s">
        <v>298</v>
      </c>
      <c r="D1697">
        <v>4</v>
      </c>
      <c r="E1697" s="1">
        <v>45918</v>
      </c>
      <c r="F1697" t="s">
        <v>670</v>
      </c>
      <c r="G1697">
        <v>2</v>
      </c>
      <c r="H1697" t="s">
        <v>569</v>
      </c>
      <c r="I1697" t="s">
        <v>570</v>
      </c>
      <c r="J1697" t="str">
        <f t="shared" si="78"/>
        <v>September</v>
      </c>
      <c r="K1697" t="str">
        <f t="shared" si="79"/>
        <v>Q3</v>
      </c>
      <c r="L1697">
        <f t="shared" si="80"/>
        <v>2025</v>
      </c>
    </row>
    <row r="1698" spans="1:12" x14ac:dyDescent="0.3">
      <c r="A1698" t="s">
        <v>2903</v>
      </c>
      <c r="B1698" t="s">
        <v>44</v>
      </c>
      <c r="C1698" t="s">
        <v>45</v>
      </c>
      <c r="D1698">
        <v>1</v>
      </c>
      <c r="E1698" s="1">
        <v>45862</v>
      </c>
      <c r="F1698" t="s">
        <v>580</v>
      </c>
      <c r="G1698">
        <v>2</v>
      </c>
      <c r="H1698" t="s">
        <v>569</v>
      </c>
      <c r="I1698" t="s">
        <v>608</v>
      </c>
      <c r="J1698" t="str">
        <f t="shared" si="78"/>
        <v>July</v>
      </c>
      <c r="K1698" t="str">
        <f t="shared" si="79"/>
        <v>Q3</v>
      </c>
      <c r="L1698">
        <f t="shared" si="80"/>
        <v>2025</v>
      </c>
    </row>
    <row r="1699" spans="1:12" x14ac:dyDescent="0.3">
      <c r="A1699" t="s">
        <v>2904</v>
      </c>
      <c r="B1699" t="s">
        <v>44</v>
      </c>
      <c r="C1699" t="s">
        <v>45</v>
      </c>
      <c r="D1699">
        <v>2</v>
      </c>
      <c r="E1699" s="1">
        <v>45869</v>
      </c>
      <c r="F1699" t="s">
        <v>766</v>
      </c>
      <c r="G1699">
        <v>4</v>
      </c>
      <c r="H1699" t="s">
        <v>581</v>
      </c>
      <c r="I1699" t="s">
        <v>570</v>
      </c>
      <c r="J1699" t="str">
        <f t="shared" si="78"/>
        <v>July</v>
      </c>
      <c r="K1699" t="str">
        <f t="shared" si="79"/>
        <v>Q3</v>
      </c>
      <c r="L1699">
        <f t="shared" si="80"/>
        <v>2025</v>
      </c>
    </row>
    <row r="1700" spans="1:12" x14ac:dyDescent="0.3">
      <c r="A1700" t="s">
        <v>2905</v>
      </c>
      <c r="B1700" t="s">
        <v>420</v>
      </c>
      <c r="C1700" t="s">
        <v>201</v>
      </c>
      <c r="D1700">
        <v>1</v>
      </c>
      <c r="E1700" s="1">
        <v>45962</v>
      </c>
      <c r="F1700" t="s">
        <v>612</v>
      </c>
      <c r="G1700">
        <v>4</v>
      </c>
      <c r="H1700" t="s">
        <v>581</v>
      </c>
      <c r="I1700" t="s">
        <v>570</v>
      </c>
      <c r="J1700" t="str">
        <f t="shared" si="78"/>
        <v>November</v>
      </c>
      <c r="K1700" t="str">
        <f t="shared" si="79"/>
        <v>Q4</v>
      </c>
      <c r="L1700">
        <f t="shared" si="80"/>
        <v>2025</v>
      </c>
    </row>
    <row r="1701" spans="1:12" x14ac:dyDescent="0.3">
      <c r="A1701" t="s">
        <v>2906</v>
      </c>
      <c r="B1701" t="s">
        <v>420</v>
      </c>
      <c r="C1701" t="s">
        <v>201</v>
      </c>
      <c r="D1701">
        <v>2</v>
      </c>
      <c r="E1701" s="1">
        <v>45968</v>
      </c>
      <c r="F1701" t="s">
        <v>612</v>
      </c>
      <c r="G1701">
        <v>4</v>
      </c>
      <c r="H1701" t="s">
        <v>581</v>
      </c>
      <c r="I1701" t="s">
        <v>570</v>
      </c>
      <c r="J1701" t="str">
        <f t="shared" si="78"/>
        <v>November</v>
      </c>
      <c r="K1701" t="str">
        <f t="shared" si="79"/>
        <v>Q4</v>
      </c>
      <c r="L1701">
        <f t="shared" si="80"/>
        <v>2025</v>
      </c>
    </row>
    <row r="1702" spans="1:12" x14ac:dyDescent="0.3">
      <c r="A1702" t="s">
        <v>2907</v>
      </c>
      <c r="B1702" t="s">
        <v>420</v>
      </c>
      <c r="C1702" t="s">
        <v>201</v>
      </c>
      <c r="D1702">
        <v>3</v>
      </c>
      <c r="E1702" s="1">
        <v>45980</v>
      </c>
      <c r="F1702" t="s">
        <v>605</v>
      </c>
      <c r="G1702">
        <v>3</v>
      </c>
      <c r="H1702" t="s">
        <v>578</v>
      </c>
      <c r="I1702" t="s">
        <v>570</v>
      </c>
      <c r="J1702" t="str">
        <f t="shared" si="78"/>
        <v>November</v>
      </c>
      <c r="K1702" t="str">
        <f t="shared" si="79"/>
        <v>Q4</v>
      </c>
      <c r="L1702">
        <f t="shared" si="80"/>
        <v>2025</v>
      </c>
    </row>
    <row r="1703" spans="1:12" x14ac:dyDescent="0.3">
      <c r="A1703" t="s">
        <v>2908</v>
      </c>
      <c r="B1703" t="s">
        <v>420</v>
      </c>
      <c r="C1703" t="s">
        <v>201</v>
      </c>
      <c r="D1703">
        <v>4</v>
      </c>
      <c r="E1703" s="1">
        <v>45992</v>
      </c>
      <c r="F1703" t="s">
        <v>572</v>
      </c>
      <c r="G1703">
        <v>4</v>
      </c>
      <c r="H1703" t="s">
        <v>581</v>
      </c>
      <c r="I1703" t="s">
        <v>570</v>
      </c>
      <c r="J1703" t="str">
        <f t="shared" si="78"/>
        <v>December</v>
      </c>
      <c r="K1703" t="str">
        <f t="shared" si="79"/>
        <v>Q4</v>
      </c>
      <c r="L1703">
        <f t="shared" si="80"/>
        <v>2025</v>
      </c>
    </row>
    <row r="1704" spans="1:12" x14ac:dyDescent="0.3">
      <c r="A1704" t="s">
        <v>2909</v>
      </c>
      <c r="B1704" t="s">
        <v>2910</v>
      </c>
      <c r="C1704" t="s">
        <v>37</v>
      </c>
      <c r="D1704">
        <v>1</v>
      </c>
      <c r="E1704" s="1">
        <v>45723</v>
      </c>
      <c r="F1704" t="s">
        <v>663</v>
      </c>
      <c r="G1704">
        <v>4</v>
      </c>
      <c r="H1704" t="s">
        <v>581</v>
      </c>
      <c r="I1704" t="s">
        <v>570</v>
      </c>
      <c r="J1704" t="str">
        <f t="shared" si="78"/>
        <v>March</v>
      </c>
      <c r="K1704" t="str">
        <f t="shared" si="79"/>
        <v>Q1</v>
      </c>
      <c r="L1704">
        <f t="shared" si="80"/>
        <v>2025</v>
      </c>
    </row>
    <row r="1705" spans="1:12" x14ac:dyDescent="0.3">
      <c r="A1705" t="s">
        <v>2911</v>
      </c>
      <c r="B1705" t="s">
        <v>2910</v>
      </c>
      <c r="C1705" t="s">
        <v>37</v>
      </c>
      <c r="D1705">
        <v>2</v>
      </c>
      <c r="E1705" s="1">
        <v>45735</v>
      </c>
      <c r="F1705" t="s">
        <v>596</v>
      </c>
      <c r="G1705">
        <v>4</v>
      </c>
      <c r="H1705" t="s">
        <v>581</v>
      </c>
      <c r="I1705" t="s">
        <v>570</v>
      </c>
      <c r="J1705" t="str">
        <f t="shared" si="78"/>
        <v>March</v>
      </c>
      <c r="K1705" t="str">
        <f t="shared" si="79"/>
        <v>Q1</v>
      </c>
      <c r="L1705">
        <f t="shared" si="80"/>
        <v>2025</v>
      </c>
    </row>
    <row r="1706" spans="1:12" x14ac:dyDescent="0.3">
      <c r="A1706" t="s">
        <v>2912</v>
      </c>
      <c r="B1706" t="s">
        <v>2910</v>
      </c>
      <c r="C1706" t="s">
        <v>37</v>
      </c>
      <c r="D1706">
        <v>3</v>
      </c>
      <c r="E1706" s="1">
        <v>45739</v>
      </c>
      <c r="F1706" t="s">
        <v>663</v>
      </c>
      <c r="G1706">
        <v>4</v>
      </c>
      <c r="H1706" t="s">
        <v>581</v>
      </c>
      <c r="I1706" t="s">
        <v>570</v>
      </c>
      <c r="J1706" t="str">
        <f t="shared" si="78"/>
        <v>March</v>
      </c>
      <c r="K1706" t="str">
        <f t="shared" si="79"/>
        <v>Q1</v>
      </c>
      <c r="L1706">
        <f t="shared" si="80"/>
        <v>2025</v>
      </c>
    </row>
    <row r="1707" spans="1:12" x14ac:dyDescent="0.3">
      <c r="A1707" t="s">
        <v>2913</v>
      </c>
      <c r="B1707" t="s">
        <v>2910</v>
      </c>
      <c r="C1707" t="s">
        <v>37</v>
      </c>
      <c r="D1707">
        <v>4</v>
      </c>
      <c r="E1707" s="1">
        <v>45748</v>
      </c>
      <c r="F1707" t="s">
        <v>663</v>
      </c>
      <c r="G1707">
        <v>3</v>
      </c>
      <c r="H1707" t="s">
        <v>578</v>
      </c>
      <c r="I1707" t="s">
        <v>570</v>
      </c>
      <c r="J1707" t="str">
        <f t="shared" si="78"/>
        <v>April</v>
      </c>
      <c r="K1707" t="str">
        <f t="shared" si="79"/>
        <v>Q2</v>
      </c>
      <c r="L1707">
        <f t="shared" si="80"/>
        <v>2025</v>
      </c>
    </row>
    <row r="1708" spans="1:12" x14ac:dyDescent="0.3">
      <c r="A1708" t="s">
        <v>2914</v>
      </c>
      <c r="B1708" t="s">
        <v>2915</v>
      </c>
      <c r="C1708" t="s">
        <v>140</v>
      </c>
      <c r="D1708">
        <v>1</v>
      </c>
      <c r="E1708" s="1">
        <v>45931</v>
      </c>
      <c r="F1708" t="s">
        <v>2405</v>
      </c>
      <c r="G1708">
        <v>2</v>
      </c>
      <c r="H1708" t="s">
        <v>569</v>
      </c>
      <c r="I1708" t="s">
        <v>570</v>
      </c>
      <c r="J1708" t="str">
        <f t="shared" si="78"/>
        <v>October</v>
      </c>
      <c r="K1708" t="str">
        <f t="shared" si="79"/>
        <v>Q4</v>
      </c>
      <c r="L1708">
        <f t="shared" si="80"/>
        <v>2025</v>
      </c>
    </row>
    <row r="1709" spans="1:12" x14ac:dyDescent="0.3">
      <c r="A1709" t="s">
        <v>2916</v>
      </c>
      <c r="B1709" t="s">
        <v>2915</v>
      </c>
      <c r="C1709" t="s">
        <v>140</v>
      </c>
      <c r="D1709">
        <v>2</v>
      </c>
      <c r="E1709" s="1">
        <v>45939</v>
      </c>
      <c r="F1709" t="s">
        <v>663</v>
      </c>
      <c r="G1709">
        <v>1</v>
      </c>
      <c r="H1709" t="s">
        <v>569</v>
      </c>
      <c r="I1709" t="s">
        <v>570</v>
      </c>
      <c r="J1709" t="str">
        <f t="shared" si="78"/>
        <v>October</v>
      </c>
      <c r="K1709" t="str">
        <f t="shared" si="79"/>
        <v>Q4</v>
      </c>
      <c r="L1709">
        <f t="shared" si="80"/>
        <v>2025</v>
      </c>
    </row>
    <row r="1710" spans="1:12" x14ac:dyDescent="0.3">
      <c r="A1710" t="s">
        <v>2917</v>
      </c>
      <c r="B1710" t="s">
        <v>2918</v>
      </c>
      <c r="C1710" t="s">
        <v>156</v>
      </c>
      <c r="D1710">
        <v>1</v>
      </c>
      <c r="E1710" s="1">
        <v>45736</v>
      </c>
      <c r="G1710">
        <v>4</v>
      </c>
      <c r="H1710" t="s">
        <v>581</v>
      </c>
      <c r="I1710" t="s">
        <v>570</v>
      </c>
      <c r="J1710" t="str">
        <f t="shared" si="78"/>
        <v>March</v>
      </c>
      <c r="K1710" t="str">
        <f t="shared" si="79"/>
        <v>Q1</v>
      </c>
      <c r="L1710">
        <f t="shared" si="80"/>
        <v>2025</v>
      </c>
    </row>
    <row r="1711" spans="1:12" x14ac:dyDescent="0.3">
      <c r="A1711" t="s">
        <v>2919</v>
      </c>
      <c r="B1711" t="s">
        <v>2918</v>
      </c>
      <c r="C1711" t="s">
        <v>156</v>
      </c>
      <c r="D1711">
        <v>2</v>
      </c>
      <c r="E1711" s="1">
        <v>45740</v>
      </c>
      <c r="F1711" t="s">
        <v>592</v>
      </c>
      <c r="G1711">
        <v>3</v>
      </c>
      <c r="H1711" t="s">
        <v>578</v>
      </c>
      <c r="I1711" t="s">
        <v>570</v>
      </c>
      <c r="J1711" t="str">
        <f t="shared" si="78"/>
        <v>March</v>
      </c>
      <c r="K1711" t="str">
        <f t="shared" si="79"/>
        <v>Q1</v>
      </c>
      <c r="L1711">
        <f t="shared" si="80"/>
        <v>2025</v>
      </c>
    </row>
    <row r="1712" spans="1:12" x14ac:dyDescent="0.3">
      <c r="A1712" t="s">
        <v>2920</v>
      </c>
      <c r="B1712" t="s">
        <v>2921</v>
      </c>
      <c r="C1712" t="s">
        <v>973</v>
      </c>
      <c r="D1712">
        <v>1</v>
      </c>
      <c r="E1712" s="1">
        <v>45926</v>
      </c>
      <c r="F1712" t="s">
        <v>625</v>
      </c>
      <c r="G1712">
        <v>1</v>
      </c>
      <c r="H1712" t="s">
        <v>569</v>
      </c>
      <c r="I1712" t="s">
        <v>570</v>
      </c>
      <c r="J1712" t="str">
        <f t="shared" si="78"/>
        <v>September</v>
      </c>
      <c r="K1712" t="str">
        <f t="shared" si="79"/>
        <v>Q3</v>
      </c>
      <c r="L1712">
        <f t="shared" si="80"/>
        <v>2025</v>
      </c>
    </row>
    <row r="1713" spans="1:12" x14ac:dyDescent="0.3">
      <c r="A1713" t="s">
        <v>2922</v>
      </c>
      <c r="B1713" t="s">
        <v>2921</v>
      </c>
      <c r="C1713" t="s">
        <v>973</v>
      </c>
      <c r="D1713">
        <v>2</v>
      </c>
      <c r="E1713" s="1">
        <v>45936</v>
      </c>
      <c r="F1713" t="s">
        <v>575</v>
      </c>
      <c r="G1713">
        <v>2</v>
      </c>
      <c r="H1713" t="s">
        <v>569</v>
      </c>
      <c r="I1713" t="s">
        <v>570</v>
      </c>
      <c r="J1713" t="str">
        <f t="shared" si="78"/>
        <v>October</v>
      </c>
      <c r="K1713" t="str">
        <f t="shared" si="79"/>
        <v>Q4</v>
      </c>
      <c r="L1713">
        <f t="shared" si="80"/>
        <v>2025</v>
      </c>
    </row>
    <row r="1714" spans="1:12" x14ac:dyDescent="0.3">
      <c r="A1714" t="s">
        <v>2923</v>
      </c>
      <c r="B1714" t="s">
        <v>2921</v>
      </c>
      <c r="C1714" t="s">
        <v>973</v>
      </c>
      <c r="D1714">
        <v>3</v>
      </c>
      <c r="E1714" s="1">
        <v>45940</v>
      </c>
      <c r="F1714" t="s">
        <v>575</v>
      </c>
      <c r="G1714">
        <v>2</v>
      </c>
      <c r="H1714" t="s">
        <v>569</v>
      </c>
      <c r="I1714" t="s">
        <v>570</v>
      </c>
      <c r="J1714" t="str">
        <f t="shared" si="78"/>
        <v>October</v>
      </c>
      <c r="K1714" t="str">
        <f t="shared" si="79"/>
        <v>Q4</v>
      </c>
      <c r="L1714">
        <f t="shared" si="80"/>
        <v>2025</v>
      </c>
    </row>
    <row r="1715" spans="1:12" x14ac:dyDescent="0.3">
      <c r="A1715" t="s">
        <v>2924</v>
      </c>
      <c r="B1715" t="s">
        <v>2925</v>
      </c>
      <c r="C1715" t="s">
        <v>156</v>
      </c>
      <c r="D1715">
        <v>1</v>
      </c>
      <c r="E1715" s="1">
        <v>45733</v>
      </c>
      <c r="F1715" t="s">
        <v>766</v>
      </c>
      <c r="G1715">
        <v>2</v>
      </c>
      <c r="H1715" t="s">
        <v>569</v>
      </c>
      <c r="I1715" t="s">
        <v>570</v>
      </c>
      <c r="J1715" t="str">
        <f t="shared" si="78"/>
        <v>March</v>
      </c>
      <c r="K1715" t="str">
        <f t="shared" si="79"/>
        <v>Q1</v>
      </c>
      <c r="L1715">
        <f t="shared" si="80"/>
        <v>2025</v>
      </c>
    </row>
    <row r="1716" spans="1:12" x14ac:dyDescent="0.3">
      <c r="A1716" t="s">
        <v>2926</v>
      </c>
      <c r="B1716" t="s">
        <v>2925</v>
      </c>
      <c r="C1716" t="s">
        <v>156</v>
      </c>
      <c r="D1716">
        <v>2</v>
      </c>
      <c r="E1716" s="1">
        <v>45745</v>
      </c>
      <c r="F1716" t="s">
        <v>766</v>
      </c>
      <c r="G1716">
        <v>1</v>
      </c>
      <c r="H1716" t="s">
        <v>569</v>
      </c>
      <c r="I1716" t="s">
        <v>570</v>
      </c>
      <c r="J1716" t="str">
        <f t="shared" si="78"/>
        <v>March</v>
      </c>
      <c r="K1716" t="str">
        <f t="shared" si="79"/>
        <v>Q1</v>
      </c>
      <c r="L1716">
        <f t="shared" si="80"/>
        <v>2025</v>
      </c>
    </row>
    <row r="1717" spans="1:12" x14ac:dyDescent="0.3">
      <c r="A1717" t="s">
        <v>2927</v>
      </c>
      <c r="B1717" t="s">
        <v>239</v>
      </c>
      <c r="C1717" t="s">
        <v>240</v>
      </c>
      <c r="D1717">
        <v>1</v>
      </c>
      <c r="E1717" s="1">
        <v>45961</v>
      </c>
      <c r="F1717" t="s">
        <v>663</v>
      </c>
      <c r="G1717">
        <v>4</v>
      </c>
      <c r="H1717" t="s">
        <v>581</v>
      </c>
      <c r="I1717" t="s">
        <v>570</v>
      </c>
      <c r="J1717" t="str">
        <f t="shared" si="78"/>
        <v>October</v>
      </c>
      <c r="K1717" t="str">
        <f t="shared" si="79"/>
        <v>Q4</v>
      </c>
      <c r="L1717">
        <f t="shared" si="80"/>
        <v>2025</v>
      </c>
    </row>
    <row r="1718" spans="1:12" x14ac:dyDescent="0.3">
      <c r="A1718" t="s">
        <v>2928</v>
      </c>
      <c r="B1718" t="s">
        <v>239</v>
      </c>
      <c r="C1718" t="s">
        <v>240</v>
      </c>
      <c r="D1718">
        <v>2</v>
      </c>
      <c r="E1718" s="1">
        <v>45968</v>
      </c>
      <c r="F1718" t="s">
        <v>580</v>
      </c>
      <c r="G1718">
        <v>4</v>
      </c>
      <c r="H1718" t="s">
        <v>581</v>
      </c>
      <c r="I1718" t="s">
        <v>570</v>
      </c>
      <c r="J1718" t="str">
        <f t="shared" si="78"/>
        <v>November</v>
      </c>
      <c r="K1718" t="str">
        <f t="shared" si="79"/>
        <v>Q4</v>
      </c>
      <c r="L1718">
        <f t="shared" si="80"/>
        <v>2025</v>
      </c>
    </row>
    <row r="1719" spans="1:12" x14ac:dyDescent="0.3">
      <c r="A1719" t="s">
        <v>2929</v>
      </c>
      <c r="B1719" t="s">
        <v>239</v>
      </c>
      <c r="C1719" t="s">
        <v>240</v>
      </c>
      <c r="D1719">
        <v>3</v>
      </c>
      <c r="E1719" s="1">
        <v>45973</v>
      </c>
      <c r="F1719" t="s">
        <v>663</v>
      </c>
      <c r="G1719">
        <v>4</v>
      </c>
      <c r="H1719" t="s">
        <v>581</v>
      </c>
      <c r="I1719" t="s">
        <v>570</v>
      </c>
      <c r="J1719" t="str">
        <f t="shared" si="78"/>
        <v>November</v>
      </c>
      <c r="K1719" t="str">
        <f t="shared" si="79"/>
        <v>Q4</v>
      </c>
      <c r="L1719">
        <f t="shared" si="80"/>
        <v>2025</v>
      </c>
    </row>
    <row r="1720" spans="1:12" x14ac:dyDescent="0.3">
      <c r="A1720" t="s">
        <v>2930</v>
      </c>
      <c r="B1720" t="s">
        <v>2931</v>
      </c>
      <c r="C1720" t="s">
        <v>88</v>
      </c>
      <c r="D1720">
        <v>1</v>
      </c>
      <c r="E1720" s="1">
        <v>45752</v>
      </c>
      <c r="F1720" t="s">
        <v>638</v>
      </c>
      <c r="G1720">
        <v>2</v>
      </c>
      <c r="H1720" t="s">
        <v>569</v>
      </c>
      <c r="I1720" t="s">
        <v>570</v>
      </c>
      <c r="J1720" t="str">
        <f t="shared" si="78"/>
        <v>April</v>
      </c>
      <c r="K1720" t="str">
        <f t="shared" si="79"/>
        <v>Q2</v>
      </c>
      <c r="L1720">
        <f t="shared" si="80"/>
        <v>2025</v>
      </c>
    </row>
    <row r="1721" spans="1:12" x14ac:dyDescent="0.3">
      <c r="A1721" t="s">
        <v>2932</v>
      </c>
      <c r="B1721" t="s">
        <v>2931</v>
      </c>
      <c r="C1721" t="s">
        <v>88</v>
      </c>
      <c r="D1721">
        <v>2</v>
      </c>
      <c r="E1721" s="1">
        <v>45759</v>
      </c>
      <c r="F1721" t="s">
        <v>575</v>
      </c>
      <c r="G1721">
        <v>2</v>
      </c>
      <c r="H1721" t="s">
        <v>569</v>
      </c>
      <c r="I1721" t="s">
        <v>570</v>
      </c>
      <c r="J1721" t="str">
        <f t="shared" si="78"/>
        <v>April</v>
      </c>
      <c r="K1721" t="str">
        <f t="shared" si="79"/>
        <v>Q2</v>
      </c>
      <c r="L1721">
        <f t="shared" si="80"/>
        <v>2025</v>
      </c>
    </row>
    <row r="1722" spans="1:12" x14ac:dyDescent="0.3">
      <c r="A1722" t="s">
        <v>2933</v>
      </c>
      <c r="B1722" t="s">
        <v>477</v>
      </c>
      <c r="C1722" t="s">
        <v>156</v>
      </c>
      <c r="D1722">
        <v>1</v>
      </c>
      <c r="E1722" s="1">
        <v>45738</v>
      </c>
      <c r="F1722" t="s">
        <v>638</v>
      </c>
      <c r="G1722">
        <v>3</v>
      </c>
      <c r="H1722" t="s">
        <v>578</v>
      </c>
      <c r="I1722" t="s">
        <v>570</v>
      </c>
      <c r="J1722" t="str">
        <f t="shared" si="78"/>
        <v>March</v>
      </c>
      <c r="K1722" t="str">
        <f t="shared" si="79"/>
        <v>Q1</v>
      </c>
      <c r="L1722">
        <f t="shared" si="80"/>
        <v>2025</v>
      </c>
    </row>
    <row r="1723" spans="1:12" x14ac:dyDescent="0.3">
      <c r="A1723" t="s">
        <v>2934</v>
      </c>
      <c r="B1723" t="s">
        <v>477</v>
      </c>
      <c r="C1723" t="s">
        <v>156</v>
      </c>
      <c r="D1723">
        <v>2</v>
      </c>
      <c r="E1723" s="1">
        <v>45742</v>
      </c>
      <c r="F1723" t="s">
        <v>638</v>
      </c>
      <c r="G1723">
        <v>2</v>
      </c>
      <c r="H1723" t="s">
        <v>569</v>
      </c>
      <c r="I1723" t="s">
        <v>570</v>
      </c>
      <c r="J1723" t="str">
        <f t="shared" si="78"/>
        <v>March</v>
      </c>
      <c r="K1723" t="str">
        <f t="shared" si="79"/>
        <v>Q1</v>
      </c>
      <c r="L1723">
        <f t="shared" si="80"/>
        <v>2025</v>
      </c>
    </row>
    <row r="1724" spans="1:12" x14ac:dyDescent="0.3">
      <c r="A1724" t="s">
        <v>2935</v>
      </c>
      <c r="B1724" t="s">
        <v>477</v>
      </c>
      <c r="C1724" t="s">
        <v>156</v>
      </c>
      <c r="D1724">
        <v>3</v>
      </c>
      <c r="E1724" s="1">
        <v>45747</v>
      </c>
      <c r="F1724" t="s">
        <v>766</v>
      </c>
      <c r="G1724">
        <v>3</v>
      </c>
      <c r="H1724" t="s">
        <v>578</v>
      </c>
      <c r="I1724" t="s">
        <v>570</v>
      </c>
      <c r="J1724" t="str">
        <f t="shared" si="78"/>
        <v>March</v>
      </c>
      <c r="K1724" t="str">
        <f t="shared" si="79"/>
        <v>Q1</v>
      </c>
      <c r="L1724">
        <f t="shared" si="80"/>
        <v>2025</v>
      </c>
    </row>
    <row r="1725" spans="1:12" x14ac:dyDescent="0.3">
      <c r="A1725" t="s">
        <v>2936</v>
      </c>
      <c r="B1725" t="s">
        <v>477</v>
      </c>
      <c r="C1725" t="s">
        <v>156</v>
      </c>
      <c r="D1725">
        <v>4</v>
      </c>
      <c r="E1725" s="1">
        <v>45755</v>
      </c>
      <c r="F1725" t="s">
        <v>592</v>
      </c>
      <c r="G1725">
        <v>4</v>
      </c>
      <c r="H1725" t="s">
        <v>581</v>
      </c>
      <c r="I1725" t="s">
        <v>570</v>
      </c>
      <c r="J1725" t="str">
        <f t="shared" si="78"/>
        <v>April</v>
      </c>
      <c r="K1725" t="str">
        <f t="shared" si="79"/>
        <v>Q2</v>
      </c>
      <c r="L1725">
        <f t="shared" si="80"/>
        <v>2025</v>
      </c>
    </row>
    <row r="1726" spans="1:12" x14ac:dyDescent="0.3">
      <c r="A1726" t="s">
        <v>2937</v>
      </c>
      <c r="B1726" t="s">
        <v>2938</v>
      </c>
      <c r="C1726" t="s">
        <v>99</v>
      </c>
      <c r="D1726">
        <v>1</v>
      </c>
      <c r="E1726" s="1">
        <v>45859</v>
      </c>
      <c r="F1726" t="s">
        <v>658</v>
      </c>
      <c r="G1726">
        <v>2</v>
      </c>
      <c r="H1726" t="s">
        <v>569</v>
      </c>
      <c r="I1726" t="s">
        <v>570</v>
      </c>
      <c r="J1726" t="str">
        <f t="shared" si="78"/>
        <v>July</v>
      </c>
      <c r="K1726" t="str">
        <f t="shared" si="79"/>
        <v>Q3</v>
      </c>
      <c r="L1726">
        <f t="shared" si="80"/>
        <v>2025</v>
      </c>
    </row>
    <row r="1727" spans="1:12" x14ac:dyDescent="0.3">
      <c r="A1727" t="s">
        <v>2939</v>
      </c>
      <c r="B1727" t="s">
        <v>2938</v>
      </c>
      <c r="C1727" t="s">
        <v>99</v>
      </c>
      <c r="D1727">
        <v>2</v>
      </c>
      <c r="E1727" s="1">
        <v>45869</v>
      </c>
      <c r="F1727" t="s">
        <v>584</v>
      </c>
      <c r="G1727">
        <v>3</v>
      </c>
      <c r="H1727" t="s">
        <v>578</v>
      </c>
      <c r="I1727" t="s">
        <v>570</v>
      </c>
      <c r="J1727" t="str">
        <f t="shared" si="78"/>
        <v>July</v>
      </c>
      <c r="K1727" t="str">
        <f t="shared" si="79"/>
        <v>Q3</v>
      </c>
      <c r="L1727">
        <f t="shared" si="80"/>
        <v>2025</v>
      </c>
    </row>
    <row r="1728" spans="1:12" x14ac:dyDescent="0.3">
      <c r="A1728" t="s">
        <v>2940</v>
      </c>
      <c r="B1728" t="s">
        <v>2938</v>
      </c>
      <c r="C1728" t="s">
        <v>99</v>
      </c>
      <c r="D1728">
        <v>3</v>
      </c>
      <c r="E1728" s="1">
        <v>45880</v>
      </c>
      <c r="F1728" t="s">
        <v>649</v>
      </c>
      <c r="G1728">
        <v>3</v>
      </c>
      <c r="H1728" t="s">
        <v>578</v>
      </c>
      <c r="I1728" t="s">
        <v>570</v>
      </c>
      <c r="J1728" t="str">
        <f t="shared" si="78"/>
        <v>August</v>
      </c>
      <c r="K1728" t="str">
        <f t="shared" si="79"/>
        <v>Q3</v>
      </c>
      <c r="L1728">
        <f t="shared" si="80"/>
        <v>2025</v>
      </c>
    </row>
    <row r="1729" spans="1:12" x14ac:dyDescent="0.3">
      <c r="A1729" t="s">
        <v>2941</v>
      </c>
      <c r="B1729" t="s">
        <v>386</v>
      </c>
      <c r="C1729" t="s">
        <v>65</v>
      </c>
      <c r="D1729">
        <v>1</v>
      </c>
      <c r="E1729" s="1">
        <v>45935</v>
      </c>
      <c r="F1729" t="s">
        <v>572</v>
      </c>
      <c r="G1729">
        <v>5</v>
      </c>
      <c r="H1729" t="s">
        <v>581</v>
      </c>
      <c r="I1729" t="s">
        <v>570</v>
      </c>
      <c r="J1729" t="str">
        <f t="shared" si="78"/>
        <v>October</v>
      </c>
      <c r="K1729" t="str">
        <f t="shared" si="79"/>
        <v>Q4</v>
      </c>
      <c r="L1729">
        <f t="shared" si="80"/>
        <v>2025</v>
      </c>
    </row>
    <row r="1730" spans="1:12" x14ac:dyDescent="0.3">
      <c r="A1730" t="s">
        <v>2942</v>
      </c>
      <c r="B1730" t="s">
        <v>386</v>
      </c>
      <c r="C1730" t="s">
        <v>65</v>
      </c>
      <c r="D1730">
        <v>2</v>
      </c>
      <c r="E1730" s="1">
        <v>45939</v>
      </c>
      <c r="F1730" t="s">
        <v>586</v>
      </c>
      <c r="G1730">
        <v>1</v>
      </c>
      <c r="H1730" t="s">
        <v>569</v>
      </c>
      <c r="I1730" t="s">
        <v>570</v>
      </c>
      <c r="J1730" t="str">
        <f t="shared" ref="J1730:J1793" si="81">TEXT(E1730,"mmmm")</f>
        <v>October</v>
      </c>
      <c r="K1730" t="str">
        <f t="shared" ref="K1730:K1793" si="82">"Q"&amp;ROUNDUP(MONTH(E1730)/3,0)</f>
        <v>Q4</v>
      </c>
      <c r="L1730">
        <f t="shared" ref="L1730:L1793" si="83">YEAR(E1730)</f>
        <v>2025</v>
      </c>
    </row>
    <row r="1731" spans="1:12" x14ac:dyDescent="0.3">
      <c r="A1731" t="s">
        <v>2943</v>
      </c>
      <c r="B1731" t="s">
        <v>386</v>
      </c>
      <c r="C1731" t="s">
        <v>65</v>
      </c>
      <c r="D1731">
        <v>3</v>
      </c>
      <c r="E1731" s="1">
        <v>45950</v>
      </c>
      <c r="F1731" t="s">
        <v>572</v>
      </c>
      <c r="G1731">
        <v>3</v>
      </c>
      <c r="H1731" t="s">
        <v>578</v>
      </c>
      <c r="I1731" t="s">
        <v>570</v>
      </c>
      <c r="J1731" t="str">
        <f t="shared" si="81"/>
        <v>October</v>
      </c>
      <c r="K1731" t="str">
        <f t="shared" si="82"/>
        <v>Q4</v>
      </c>
      <c r="L1731">
        <f t="shared" si="83"/>
        <v>2025</v>
      </c>
    </row>
    <row r="1732" spans="1:12" x14ac:dyDescent="0.3">
      <c r="A1732" t="s">
        <v>2944</v>
      </c>
      <c r="B1732" t="s">
        <v>386</v>
      </c>
      <c r="C1732" t="s">
        <v>65</v>
      </c>
      <c r="D1732">
        <v>4</v>
      </c>
      <c r="E1732" s="1">
        <v>45962</v>
      </c>
      <c r="F1732" t="s">
        <v>663</v>
      </c>
      <c r="G1732">
        <v>4</v>
      </c>
      <c r="H1732" t="s">
        <v>581</v>
      </c>
      <c r="I1732" t="s">
        <v>570</v>
      </c>
      <c r="J1732" t="str">
        <f t="shared" si="81"/>
        <v>November</v>
      </c>
      <c r="K1732" t="str">
        <f t="shared" si="82"/>
        <v>Q4</v>
      </c>
      <c r="L1732">
        <f t="shared" si="83"/>
        <v>2025</v>
      </c>
    </row>
    <row r="1733" spans="1:12" x14ac:dyDescent="0.3">
      <c r="A1733" t="s">
        <v>2945</v>
      </c>
      <c r="B1733" t="s">
        <v>2946</v>
      </c>
      <c r="C1733" t="s">
        <v>176</v>
      </c>
      <c r="D1733">
        <v>1</v>
      </c>
      <c r="E1733" s="1">
        <v>45700</v>
      </c>
      <c r="F1733" t="s">
        <v>572</v>
      </c>
      <c r="G1733">
        <v>2</v>
      </c>
      <c r="H1733" t="s">
        <v>569</v>
      </c>
      <c r="I1733" t="s">
        <v>570</v>
      </c>
      <c r="J1733" t="str">
        <f t="shared" si="81"/>
        <v>February</v>
      </c>
      <c r="K1733" t="str">
        <f t="shared" si="82"/>
        <v>Q1</v>
      </c>
      <c r="L1733">
        <f t="shared" si="83"/>
        <v>2025</v>
      </c>
    </row>
    <row r="1734" spans="1:12" x14ac:dyDescent="0.3">
      <c r="A1734" t="s">
        <v>2947</v>
      </c>
      <c r="B1734" t="s">
        <v>2946</v>
      </c>
      <c r="C1734" t="s">
        <v>176</v>
      </c>
      <c r="D1734">
        <v>2</v>
      </c>
      <c r="E1734" s="1">
        <v>45705</v>
      </c>
      <c r="F1734" t="s">
        <v>638</v>
      </c>
      <c r="G1734">
        <v>1</v>
      </c>
      <c r="H1734" t="s">
        <v>569</v>
      </c>
      <c r="I1734" t="s">
        <v>570</v>
      </c>
      <c r="J1734" t="str">
        <f t="shared" si="81"/>
        <v>February</v>
      </c>
      <c r="K1734" t="str">
        <f t="shared" si="82"/>
        <v>Q1</v>
      </c>
      <c r="L1734">
        <f t="shared" si="83"/>
        <v>2025</v>
      </c>
    </row>
    <row r="1735" spans="1:12" x14ac:dyDescent="0.3">
      <c r="A1735" t="s">
        <v>2948</v>
      </c>
      <c r="B1735" t="s">
        <v>2949</v>
      </c>
      <c r="C1735" t="s">
        <v>166</v>
      </c>
      <c r="D1735">
        <v>1</v>
      </c>
      <c r="E1735" s="1">
        <v>45780</v>
      </c>
      <c r="F1735" t="s">
        <v>577</v>
      </c>
      <c r="G1735">
        <v>2</v>
      </c>
      <c r="H1735" t="s">
        <v>569</v>
      </c>
      <c r="I1735" t="s">
        <v>570</v>
      </c>
      <c r="J1735" t="str">
        <f t="shared" si="81"/>
        <v>May</v>
      </c>
      <c r="K1735" t="str">
        <f t="shared" si="82"/>
        <v>Q2</v>
      </c>
      <c r="L1735">
        <f t="shared" si="83"/>
        <v>2025</v>
      </c>
    </row>
    <row r="1736" spans="1:12" x14ac:dyDescent="0.3">
      <c r="A1736" t="s">
        <v>2950</v>
      </c>
      <c r="B1736" t="s">
        <v>2951</v>
      </c>
      <c r="C1736" t="s">
        <v>85</v>
      </c>
      <c r="D1736">
        <v>1</v>
      </c>
      <c r="E1736" s="1">
        <v>45856</v>
      </c>
      <c r="F1736" t="s">
        <v>568</v>
      </c>
      <c r="G1736">
        <v>4</v>
      </c>
      <c r="H1736" t="s">
        <v>581</v>
      </c>
      <c r="I1736" t="s">
        <v>570</v>
      </c>
      <c r="J1736" t="str">
        <f t="shared" si="81"/>
        <v>July</v>
      </c>
      <c r="K1736" t="str">
        <f t="shared" si="82"/>
        <v>Q3</v>
      </c>
      <c r="L1736">
        <f t="shared" si="83"/>
        <v>2025</v>
      </c>
    </row>
    <row r="1737" spans="1:12" x14ac:dyDescent="0.3">
      <c r="A1737" t="s">
        <v>2952</v>
      </c>
      <c r="B1737" t="s">
        <v>2951</v>
      </c>
      <c r="C1737" t="s">
        <v>85</v>
      </c>
      <c r="D1737">
        <v>2</v>
      </c>
      <c r="E1737" s="1">
        <v>45861</v>
      </c>
      <c r="F1737" t="s">
        <v>568</v>
      </c>
      <c r="G1737">
        <v>4</v>
      </c>
      <c r="H1737" t="s">
        <v>581</v>
      </c>
      <c r="I1737" t="s">
        <v>608</v>
      </c>
      <c r="J1737" t="str">
        <f t="shared" si="81"/>
        <v>July</v>
      </c>
      <c r="K1737" t="str">
        <f t="shared" si="82"/>
        <v>Q3</v>
      </c>
      <c r="L1737">
        <f t="shared" si="83"/>
        <v>2025</v>
      </c>
    </row>
    <row r="1738" spans="1:12" x14ac:dyDescent="0.3">
      <c r="A1738" t="s">
        <v>2953</v>
      </c>
      <c r="B1738" t="s">
        <v>2954</v>
      </c>
      <c r="C1738" t="s">
        <v>32</v>
      </c>
      <c r="D1738">
        <v>1</v>
      </c>
      <c r="E1738" s="1">
        <v>45759</v>
      </c>
      <c r="F1738" t="s">
        <v>596</v>
      </c>
      <c r="G1738">
        <v>4</v>
      </c>
      <c r="H1738" t="s">
        <v>581</v>
      </c>
      <c r="I1738" t="s">
        <v>570</v>
      </c>
      <c r="J1738" t="str">
        <f t="shared" si="81"/>
        <v>April</v>
      </c>
      <c r="K1738" t="str">
        <f t="shared" si="82"/>
        <v>Q2</v>
      </c>
      <c r="L1738">
        <f t="shared" si="83"/>
        <v>2025</v>
      </c>
    </row>
    <row r="1739" spans="1:12" x14ac:dyDescent="0.3">
      <c r="A1739" t="s">
        <v>2955</v>
      </c>
      <c r="B1739" t="s">
        <v>2956</v>
      </c>
      <c r="C1739" t="s">
        <v>201</v>
      </c>
      <c r="D1739">
        <v>1</v>
      </c>
      <c r="E1739" s="1">
        <v>45974</v>
      </c>
      <c r="F1739" t="s">
        <v>625</v>
      </c>
      <c r="G1739">
        <v>1</v>
      </c>
      <c r="H1739" t="s">
        <v>569</v>
      </c>
      <c r="I1739" t="s">
        <v>570</v>
      </c>
      <c r="J1739" t="str">
        <f t="shared" si="81"/>
        <v>November</v>
      </c>
      <c r="K1739" t="str">
        <f t="shared" si="82"/>
        <v>Q4</v>
      </c>
      <c r="L1739">
        <f t="shared" si="83"/>
        <v>2025</v>
      </c>
    </row>
    <row r="1740" spans="1:12" x14ac:dyDescent="0.3">
      <c r="A1740" t="s">
        <v>2957</v>
      </c>
      <c r="B1740" t="s">
        <v>2956</v>
      </c>
      <c r="C1740" t="s">
        <v>201</v>
      </c>
      <c r="D1740">
        <v>2</v>
      </c>
      <c r="E1740" s="1">
        <v>45984</v>
      </c>
      <c r="F1740" t="s">
        <v>572</v>
      </c>
      <c r="G1740">
        <v>1</v>
      </c>
      <c r="H1740" t="s">
        <v>569</v>
      </c>
      <c r="I1740" t="s">
        <v>570</v>
      </c>
      <c r="J1740" t="str">
        <f t="shared" si="81"/>
        <v>November</v>
      </c>
      <c r="K1740" t="str">
        <f t="shared" si="82"/>
        <v>Q4</v>
      </c>
      <c r="L1740">
        <f t="shared" si="83"/>
        <v>2025</v>
      </c>
    </row>
    <row r="1741" spans="1:12" x14ac:dyDescent="0.3">
      <c r="A1741" t="s">
        <v>2958</v>
      </c>
      <c r="B1741" t="s">
        <v>2956</v>
      </c>
      <c r="C1741" t="s">
        <v>201</v>
      </c>
      <c r="D1741">
        <v>3</v>
      </c>
      <c r="E1741" s="1">
        <v>45989</v>
      </c>
      <c r="F1741" t="s">
        <v>603</v>
      </c>
      <c r="G1741">
        <v>1</v>
      </c>
      <c r="H1741" t="s">
        <v>569</v>
      </c>
      <c r="I1741" t="s">
        <v>570</v>
      </c>
      <c r="J1741" t="str">
        <f t="shared" si="81"/>
        <v>November</v>
      </c>
      <c r="K1741" t="str">
        <f t="shared" si="82"/>
        <v>Q4</v>
      </c>
      <c r="L1741">
        <f t="shared" si="83"/>
        <v>2025</v>
      </c>
    </row>
    <row r="1742" spans="1:12" x14ac:dyDescent="0.3">
      <c r="A1742" t="s">
        <v>2959</v>
      </c>
      <c r="B1742" t="s">
        <v>2960</v>
      </c>
      <c r="C1742" t="s">
        <v>337</v>
      </c>
      <c r="D1742">
        <v>1</v>
      </c>
      <c r="E1742" s="1">
        <v>45841</v>
      </c>
      <c r="F1742" t="s">
        <v>596</v>
      </c>
      <c r="G1742">
        <v>1</v>
      </c>
      <c r="H1742" t="s">
        <v>569</v>
      </c>
      <c r="I1742" t="s">
        <v>570</v>
      </c>
      <c r="J1742" t="str">
        <f t="shared" si="81"/>
        <v>July</v>
      </c>
      <c r="K1742" t="str">
        <f t="shared" si="82"/>
        <v>Q3</v>
      </c>
      <c r="L1742">
        <f t="shared" si="83"/>
        <v>2025</v>
      </c>
    </row>
    <row r="1743" spans="1:12" x14ac:dyDescent="0.3">
      <c r="A1743" t="s">
        <v>2961</v>
      </c>
      <c r="B1743" t="s">
        <v>2960</v>
      </c>
      <c r="C1743" t="s">
        <v>337</v>
      </c>
      <c r="D1743">
        <v>2</v>
      </c>
      <c r="E1743" s="1">
        <v>45846</v>
      </c>
      <c r="F1743" t="s">
        <v>577</v>
      </c>
      <c r="G1743">
        <v>1</v>
      </c>
      <c r="H1743" t="s">
        <v>569</v>
      </c>
      <c r="I1743" t="s">
        <v>570</v>
      </c>
      <c r="J1743" t="str">
        <f t="shared" si="81"/>
        <v>July</v>
      </c>
      <c r="K1743" t="str">
        <f t="shared" si="82"/>
        <v>Q3</v>
      </c>
      <c r="L1743">
        <f t="shared" si="83"/>
        <v>2025</v>
      </c>
    </row>
    <row r="1744" spans="1:12" x14ac:dyDescent="0.3">
      <c r="A1744" t="s">
        <v>2962</v>
      </c>
      <c r="B1744" t="s">
        <v>2963</v>
      </c>
      <c r="C1744" t="s">
        <v>429</v>
      </c>
      <c r="D1744">
        <v>1</v>
      </c>
      <c r="E1744" s="1">
        <v>45766</v>
      </c>
      <c r="F1744" t="s">
        <v>741</v>
      </c>
      <c r="G1744">
        <v>3</v>
      </c>
      <c r="H1744" t="s">
        <v>578</v>
      </c>
      <c r="I1744" t="s">
        <v>570</v>
      </c>
      <c r="J1744" t="str">
        <f t="shared" si="81"/>
        <v>April</v>
      </c>
      <c r="K1744" t="str">
        <f t="shared" si="82"/>
        <v>Q2</v>
      </c>
      <c r="L1744">
        <f t="shared" si="83"/>
        <v>2025</v>
      </c>
    </row>
    <row r="1745" spans="1:12" x14ac:dyDescent="0.3">
      <c r="A1745" t="s">
        <v>2964</v>
      </c>
      <c r="B1745" t="s">
        <v>2963</v>
      </c>
      <c r="C1745" t="s">
        <v>429</v>
      </c>
      <c r="D1745">
        <v>2</v>
      </c>
      <c r="E1745" s="1">
        <v>45777</v>
      </c>
      <c r="F1745" t="s">
        <v>638</v>
      </c>
      <c r="G1745">
        <v>3</v>
      </c>
      <c r="H1745" t="s">
        <v>578</v>
      </c>
      <c r="I1745" t="s">
        <v>570</v>
      </c>
      <c r="J1745" t="str">
        <f t="shared" si="81"/>
        <v>April</v>
      </c>
      <c r="K1745" t="str">
        <f t="shared" si="82"/>
        <v>Q2</v>
      </c>
      <c r="L1745">
        <f t="shared" si="83"/>
        <v>2025</v>
      </c>
    </row>
    <row r="1746" spans="1:12" x14ac:dyDescent="0.3">
      <c r="A1746" t="s">
        <v>2965</v>
      </c>
      <c r="B1746" t="s">
        <v>2963</v>
      </c>
      <c r="C1746" t="s">
        <v>429</v>
      </c>
      <c r="D1746">
        <v>3</v>
      </c>
      <c r="E1746" s="1">
        <v>45785</v>
      </c>
      <c r="F1746" t="s">
        <v>741</v>
      </c>
      <c r="G1746">
        <v>2</v>
      </c>
      <c r="H1746" t="s">
        <v>569</v>
      </c>
      <c r="I1746" t="s">
        <v>570</v>
      </c>
      <c r="J1746" t="str">
        <f t="shared" si="81"/>
        <v>May</v>
      </c>
      <c r="K1746" t="str">
        <f t="shared" si="82"/>
        <v>Q2</v>
      </c>
      <c r="L1746">
        <f t="shared" si="83"/>
        <v>2025</v>
      </c>
    </row>
    <row r="1747" spans="1:12" x14ac:dyDescent="0.3">
      <c r="A1747" t="s">
        <v>2966</v>
      </c>
      <c r="B1747" t="s">
        <v>2963</v>
      </c>
      <c r="C1747" t="s">
        <v>429</v>
      </c>
      <c r="D1747">
        <v>4</v>
      </c>
      <c r="E1747" s="1">
        <v>45789</v>
      </c>
      <c r="F1747" t="s">
        <v>592</v>
      </c>
      <c r="G1747">
        <v>3</v>
      </c>
      <c r="H1747" t="s">
        <v>578</v>
      </c>
      <c r="I1747" t="s">
        <v>570</v>
      </c>
      <c r="J1747" t="str">
        <f t="shared" si="81"/>
        <v>May</v>
      </c>
      <c r="K1747" t="str">
        <f t="shared" si="82"/>
        <v>Q2</v>
      </c>
      <c r="L1747">
        <f t="shared" si="83"/>
        <v>2025</v>
      </c>
    </row>
    <row r="1748" spans="1:12" x14ac:dyDescent="0.3">
      <c r="A1748" t="s">
        <v>2967</v>
      </c>
      <c r="B1748" t="s">
        <v>357</v>
      </c>
      <c r="C1748" t="s">
        <v>187</v>
      </c>
      <c r="D1748">
        <v>1</v>
      </c>
      <c r="E1748" s="1">
        <v>45825</v>
      </c>
      <c r="F1748" t="s">
        <v>577</v>
      </c>
      <c r="G1748">
        <v>4</v>
      </c>
      <c r="H1748" t="s">
        <v>581</v>
      </c>
      <c r="I1748" t="s">
        <v>570</v>
      </c>
      <c r="J1748" t="str">
        <f t="shared" si="81"/>
        <v>June</v>
      </c>
      <c r="K1748" t="str">
        <f t="shared" si="82"/>
        <v>Q2</v>
      </c>
      <c r="L1748">
        <f t="shared" si="83"/>
        <v>2025</v>
      </c>
    </row>
    <row r="1749" spans="1:12" x14ac:dyDescent="0.3">
      <c r="A1749" t="s">
        <v>2968</v>
      </c>
      <c r="B1749" t="s">
        <v>2969</v>
      </c>
      <c r="C1749" t="s">
        <v>340</v>
      </c>
      <c r="D1749">
        <v>1</v>
      </c>
      <c r="E1749" s="1">
        <v>45686</v>
      </c>
      <c r="F1749" t="s">
        <v>988</v>
      </c>
      <c r="G1749">
        <v>2</v>
      </c>
      <c r="H1749" t="s">
        <v>569</v>
      </c>
      <c r="I1749" t="s">
        <v>570</v>
      </c>
      <c r="J1749" t="str">
        <f t="shared" si="81"/>
        <v>January</v>
      </c>
      <c r="K1749" t="str">
        <f t="shared" si="82"/>
        <v>Q1</v>
      </c>
      <c r="L1749">
        <f t="shared" si="83"/>
        <v>2025</v>
      </c>
    </row>
    <row r="1750" spans="1:12" x14ac:dyDescent="0.3">
      <c r="A1750" t="s">
        <v>2970</v>
      </c>
      <c r="B1750" t="s">
        <v>2969</v>
      </c>
      <c r="C1750" t="s">
        <v>340</v>
      </c>
      <c r="D1750">
        <v>2</v>
      </c>
      <c r="E1750" s="1">
        <v>45692</v>
      </c>
      <c r="F1750" t="s">
        <v>743</v>
      </c>
      <c r="G1750">
        <v>1</v>
      </c>
      <c r="H1750" t="s">
        <v>569</v>
      </c>
      <c r="I1750" t="s">
        <v>570</v>
      </c>
      <c r="J1750" t="str">
        <f t="shared" si="81"/>
        <v>February</v>
      </c>
      <c r="K1750" t="str">
        <f t="shared" si="82"/>
        <v>Q1</v>
      </c>
      <c r="L1750">
        <f t="shared" si="83"/>
        <v>2025</v>
      </c>
    </row>
    <row r="1751" spans="1:12" x14ac:dyDescent="0.3">
      <c r="A1751" t="s">
        <v>2971</v>
      </c>
      <c r="B1751" t="s">
        <v>2969</v>
      </c>
      <c r="C1751" t="s">
        <v>340</v>
      </c>
      <c r="D1751">
        <v>3</v>
      </c>
      <c r="E1751" s="1">
        <v>45698</v>
      </c>
      <c r="G1751">
        <v>2</v>
      </c>
      <c r="H1751" t="s">
        <v>569</v>
      </c>
      <c r="I1751" t="s">
        <v>608</v>
      </c>
      <c r="J1751" t="str">
        <f t="shared" si="81"/>
        <v>February</v>
      </c>
      <c r="K1751" t="str">
        <f t="shared" si="82"/>
        <v>Q1</v>
      </c>
      <c r="L1751">
        <f t="shared" si="83"/>
        <v>2025</v>
      </c>
    </row>
    <row r="1752" spans="1:12" x14ac:dyDescent="0.3">
      <c r="A1752" t="s">
        <v>2972</v>
      </c>
      <c r="B1752" t="s">
        <v>315</v>
      </c>
      <c r="C1752" t="s">
        <v>96</v>
      </c>
      <c r="D1752">
        <v>1</v>
      </c>
      <c r="E1752" s="1">
        <v>45879</v>
      </c>
      <c r="F1752" t="s">
        <v>605</v>
      </c>
      <c r="G1752">
        <v>5</v>
      </c>
      <c r="H1752" t="s">
        <v>581</v>
      </c>
      <c r="I1752" t="s">
        <v>570</v>
      </c>
      <c r="J1752" t="str">
        <f t="shared" si="81"/>
        <v>August</v>
      </c>
      <c r="K1752" t="str">
        <f t="shared" si="82"/>
        <v>Q3</v>
      </c>
      <c r="L1752">
        <f t="shared" si="83"/>
        <v>2025</v>
      </c>
    </row>
    <row r="1753" spans="1:12" x14ac:dyDescent="0.3">
      <c r="A1753" t="s">
        <v>2973</v>
      </c>
      <c r="B1753" t="s">
        <v>2974</v>
      </c>
      <c r="C1753" t="s">
        <v>542</v>
      </c>
      <c r="D1753">
        <v>1</v>
      </c>
      <c r="E1753" s="1">
        <v>45812</v>
      </c>
      <c r="F1753" t="s">
        <v>590</v>
      </c>
      <c r="G1753">
        <v>3</v>
      </c>
      <c r="H1753" t="s">
        <v>578</v>
      </c>
      <c r="I1753" t="s">
        <v>570</v>
      </c>
      <c r="J1753" t="str">
        <f t="shared" si="81"/>
        <v>June</v>
      </c>
      <c r="K1753" t="str">
        <f t="shared" si="82"/>
        <v>Q2</v>
      </c>
      <c r="L1753">
        <f t="shared" si="83"/>
        <v>2025</v>
      </c>
    </row>
    <row r="1754" spans="1:12" x14ac:dyDescent="0.3">
      <c r="A1754" t="s">
        <v>2975</v>
      </c>
      <c r="B1754" t="s">
        <v>2974</v>
      </c>
      <c r="C1754" t="s">
        <v>542</v>
      </c>
      <c r="D1754">
        <v>2</v>
      </c>
      <c r="E1754" s="1">
        <v>45819</v>
      </c>
      <c r="F1754" t="s">
        <v>590</v>
      </c>
      <c r="G1754">
        <v>2</v>
      </c>
      <c r="H1754" t="s">
        <v>569</v>
      </c>
      <c r="I1754" t="s">
        <v>597</v>
      </c>
      <c r="J1754" t="str">
        <f t="shared" si="81"/>
        <v>June</v>
      </c>
      <c r="K1754" t="str">
        <f t="shared" si="82"/>
        <v>Q2</v>
      </c>
      <c r="L1754">
        <f t="shared" si="83"/>
        <v>2025</v>
      </c>
    </row>
    <row r="1755" spans="1:12" x14ac:dyDescent="0.3">
      <c r="A1755" t="s">
        <v>2976</v>
      </c>
      <c r="B1755" t="s">
        <v>2974</v>
      </c>
      <c r="C1755" t="s">
        <v>542</v>
      </c>
      <c r="D1755">
        <v>3</v>
      </c>
      <c r="E1755" s="1">
        <v>45827</v>
      </c>
      <c r="F1755" t="s">
        <v>590</v>
      </c>
      <c r="G1755">
        <v>2</v>
      </c>
      <c r="H1755" t="s">
        <v>569</v>
      </c>
      <c r="I1755" t="s">
        <v>570</v>
      </c>
      <c r="J1755" t="str">
        <f t="shared" si="81"/>
        <v>June</v>
      </c>
      <c r="K1755" t="str">
        <f t="shared" si="82"/>
        <v>Q2</v>
      </c>
      <c r="L1755">
        <f t="shared" si="83"/>
        <v>2025</v>
      </c>
    </row>
    <row r="1756" spans="1:12" x14ac:dyDescent="0.3">
      <c r="A1756" t="s">
        <v>2977</v>
      </c>
      <c r="B1756" t="s">
        <v>2974</v>
      </c>
      <c r="C1756" t="s">
        <v>542</v>
      </c>
      <c r="D1756">
        <v>4</v>
      </c>
      <c r="E1756" s="1">
        <v>45831</v>
      </c>
      <c r="F1756" t="s">
        <v>580</v>
      </c>
      <c r="G1756">
        <v>1</v>
      </c>
      <c r="H1756" t="s">
        <v>569</v>
      </c>
      <c r="I1756" t="s">
        <v>570</v>
      </c>
      <c r="J1756" t="str">
        <f t="shared" si="81"/>
        <v>June</v>
      </c>
      <c r="K1756" t="str">
        <f t="shared" si="82"/>
        <v>Q2</v>
      </c>
      <c r="L1756">
        <f t="shared" si="83"/>
        <v>2025</v>
      </c>
    </row>
    <row r="1757" spans="1:12" x14ac:dyDescent="0.3">
      <c r="A1757" t="s">
        <v>2978</v>
      </c>
      <c r="B1757" t="s">
        <v>2979</v>
      </c>
      <c r="C1757" t="s">
        <v>1187</v>
      </c>
      <c r="D1757">
        <v>1</v>
      </c>
      <c r="E1757" s="1">
        <v>45884</v>
      </c>
      <c r="F1757" t="s">
        <v>625</v>
      </c>
      <c r="G1757">
        <v>1</v>
      </c>
      <c r="H1757" t="s">
        <v>569</v>
      </c>
      <c r="I1757" t="s">
        <v>570</v>
      </c>
      <c r="J1757" t="str">
        <f t="shared" si="81"/>
        <v>August</v>
      </c>
      <c r="K1757" t="str">
        <f t="shared" si="82"/>
        <v>Q3</v>
      </c>
      <c r="L1757">
        <f t="shared" si="83"/>
        <v>2025</v>
      </c>
    </row>
    <row r="1758" spans="1:12" x14ac:dyDescent="0.3">
      <c r="A1758" t="s">
        <v>2980</v>
      </c>
      <c r="B1758" t="s">
        <v>2979</v>
      </c>
      <c r="C1758" t="s">
        <v>1187</v>
      </c>
      <c r="D1758">
        <v>2</v>
      </c>
      <c r="E1758" s="1">
        <v>45896</v>
      </c>
      <c r="F1758" t="s">
        <v>577</v>
      </c>
      <c r="G1758">
        <v>1</v>
      </c>
      <c r="H1758" t="s">
        <v>569</v>
      </c>
      <c r="I1758" t="s">
        <v>570</v>
      </c>
      <c r="J1758" t="str">
        <f t="shared" si="81"/>
        <v>August</v>
      </c>
      <c r="K1758" t="str">
        <f t="shared" si="82"/>
        <v>Q3</v>
      </c>
      <c r="L1758">
        <f t="shared" si="83"/>
        <v>2025</v>
      </c>
    </row>
    <row r="1759" spans="1:12" x14ac:dyDescent="0.3">
      <c r="A1759" t="s">
        <v>2981</v>
      </c>
      <c r="B1759" t="s">
        <v>2982</v>
      </c>
      <c r="C1759" t="s">
        <v>27</v>
      </c>
      <c r="D1759">
        <v>1</v>
      </c>
      <c r="E1759" s="1">
        <v>45883</v>
      </c>
      <c r="F1759" t="s">
        <v>629</v>
      </c>
      <c r="G1759">
        <v>1</v>
      </c>
      <c r="H1759" t="s">
        <v>569</v>
      </c>
      <c r="I1759" t="s">
        <v>570</v>
      </c>
      <c r="J1759" t="str">
        <f t="shared" si="81"/>
        <v>August</v>
      </c>
      <c r="K1759" t="str">
        <f t="shared" si="82"/>
        <v>Q3</v>
      </c>
      <c r="L1759">
        <f t="shared" si="83"/>
        <v>2025</v>
      </c>
    </row>
    <row r="1760" spans="1:12" x14ac:dyDescent="0.3">
      <c r="A1760" t="s">
        <v>2983</v>
      </c>
      <c r="B1760" t="s">
        <v>2982</v>
      </c>
      <c r="C1760" t="s">
        <v>27</v>
      </c>
      <c r="D1760">
        <v>2</v>
      </c>
      <c r="E1760" s="1">
        <v>45892</v>
      </c>
      <c r="F1760" t="s">
        <v>584</v>
      </c>
      <c r="G1760">
        <v>2</v>
      </c>
      <c r="H1760" t="s">
        <v>569</v>
      </c>
      <c r="I1760" t="s">
        <v>570</v>
      </c>
      <c r="J1760" t="str">
        <f t="shared" si="81"/>
        <v>August</v>
      </c>
      <c r="K1760" t="str">
        <f t="shared" si="82"/>
        <v>Q3</v>
      </c>
      <c r="L1760">
        <f t="shared" si="83"/>
        <v>2025</v>
      </c>
    </row>
    <row r="1761" spans="1:12" x14ac:dyDescent="0.3">
      <c r="A1761" t="s">
        <v>2984</v>
      </c>
      <c r="B1761" t="s">
        <v>2985</v>
      </c>
      <c r="C1761" t="s">
        <v>292</v>
      </c>
      <c r="D1761">
        <v>1</v>
      </c>
      <c r="E1761" s="1">
        <v>45715</v>
      </c>
      <c r="F1761" t="s">
        <v>663</v>
      </c>
      <c r="G1761">
        <v>2</v>
      </c>
      <c r="H1761" t="s">
        <v>569</v>
      </c>
      <c r="I1761" t="s">
        <v>570</v>
      </c>
      <c r="J1761" t="str">
        <f t="shared" si="81"/>
        <v>February</v>
      </c>
      <c r="K1761" t="str">
        <f t="shared" si="82"/>
        <v>Q1</v>
      </c>
      <c r="L1761">
        <f t="shared" si="83"/>
        <v>2025</v>
      </c>
    </row>
    <row r="1762" spans="1:12" x14ac:dyDescent="0.3">
      <c r="A1762" t="s">
        <v>2986</v>
      </c>
      <c r="B1762" t="s">
        <v>2985</v>
      </c>
      <c r="C1762" t="s">
        <v>292</v>
      </c>
      <c r="D1762">
        <v>2</v>
      </c>
      <c r="E1762" s="1">
        <v>45724</v>
      </c>
      <c r="F1762" t="s">
        <v>663</v>
      </c>
      <c r="G1762">
        <v>1</v>
      </c>
      <c r="H1762" t="s">
        <v>569</v>
      </c>
      <c r="I1762" t="s">
        <v>570</v>
      </c>
      <c r="J1762" t="str">
        <f t="shared" si="81"/>
        <v>March</v>
      </c>
      <c r="K1762" t="str">
        <f t="shared" si="82"/>
        <v>Q1</v>
      </c>
      <c r="L1762">
        <f t="shared" si="83"/>
        <v>2025</v>
      </c>
    </row>
    <row r="1763" spans="1:12" x14ac:dyDescent="0.3">
      <c r="A1763" t="s">
        <v>2987</v>
      </c>
      <c r="B1763" t="s">
        <v>2988</v>
      </c>
      <c r="C1763" t="s">
        <v>240</v>
      </c>
      <c r="D1763">
        <v>1</v>
      </c>
      <c r="E1763" s="1">
        <v>45950</v>
      </c>
      <c r="G1763">
        <v>4</v>
      </c>
      <c r="H1763" t="s">
        <v>581</v>
      </c>
      <c r="I1763" t="s">
        <v>570</v>
      </c>
      <c r="J1763" t="str">
        <f t="shared" si="81"/>
        <v>October</v>
      </c>
      <c r="K1763" t="str">
        <f t="shared" si="82"/>
        <v>Q4</v>
      </c>
      <c r="L1763">
        <f t="shared" si="83"/>
        <v>2025</v>
      </c>
    </row>
    <row r="1764" spans="1:12" x14ac:dyDescent="0.3">
      <c r="A1764" t="s">
        <v>2989</v>
      </c>
      <c r="B1764" t="s">
        <v>301</v>
      </c>
      <c r="C1764" t="s">
        <v>37</v>
      </c>
      <c r="D1764">
        <v>1</v>
      </c>
      <c r="E1764" s="1">
        <v>45719</v>
      </c>
      <c r="F1764" t="s">
        <v>580</v>
      </c>
      <c r="G1764">
        <v>4</v>
      </c>
      <c r="H1764" t="s">
        <v>581</v>
      </c>
      <c r="I1764" t="s">
        <v>570</v>
      </c>
      <c r="J1764" t="str">
        <f t="shared" si="81"/>
        <v>March</v>
      </c>
      <c r="K1764" t="str">
        <f t="shared" si="82"/>
        <v>Q1</v>
      </c>
      <c r="L1764">
        <f t="shared" si="83"/>
        <v>2025</v>
      </c>
    </row>
    <row r="1765" spans="1:12" x14ac:dyDescent="0.3">
      <c r="A1765" t="s">
        <v>2990</v>
      </c>
      <c r="B1765" t="s">
        <v>301</v>
      </c>
      <c r="C1765" t="s">
        <v>37</v>
      </c>
      <c r="D1765">
        <v>2</v>
      </c>
      <c r="E1765" s="1">
        <v>45731</v>
      </c>
      <c r="F1765" t="s">
        <v>580</v>
      </c>
      <c r="G1765">
        <v>4</v>
      </c>
      <c r="H1765" t="s">
        <v>581</v>
      </c>
      <c r="I1765" t="s">
        <v>570</v>
      </c>
      <c r="J1765" t="str">
        <f t="shared" si="81"/>
        <v>March</v>
      </c>
      <c r="K1765" t="str">
        <f t="shared" si="82"/>
        <v>Q1</v>
      </c>
      <c r="L1765">
        <f t="shared" si="83"/>
        <v>2025</v>
      </c>
    </row>
    <row r="1766" spans="1:12" x14ac:dyDescent="0.3">
      <c r="A1766" t="s">
        <v>2991</v>
      </c>
      <c r="B1766" t="s">
        <v>2992</v>
      </c>
      <c r="C1766" t="s">
        <v>96</v>
      </c>
      <c r="D1766">
        <v>1</v>
      </c>
      <c r="E1766" s="1">
        <v>45882</v>
      </c>
      <c r="F1766" t="s">
        <v>577</v>
      </c>
      <c r="G1766">
        <v>4</v>
      </c>
      <c r="H1766" t="s">
        <v>581</v>
      </c>
      <c r="I1766" t="s">
        <v>570</v>
      </c>
      <c r="J1766" t="str">
        <f t="shared" si="81"/>
        <v>August</v>
      </c>
      <c r="K1766" t="str">
        <f t="shared" si="82"/>
        <v>Q3</v>
      </c>
      <c r="L1766">
        <f t="shared" si="83"/>
        <v>2025</v>
      </c>
    </row>
    <row r="1767" spans="1:12" x14ac:dyDescent="0.3">
      <c r="A1767" t="s">
        <v>2993</v>
      </c>
      <c r="B1767" t="s">
        <v>2992</v>
      </c>
      <c r="C1767" t="s">
        <v>96</v>
      </c>
      <c r="D1767">
        <v>2</v>
      </c>
      <c r="E1767" s="1">
        <v>45894</v>
      </c>
      <c r="F1767" t="s">
        <v>605</v>
      </c>
      <c r="G1767">
        <v>2</v>
      </c>
      <c r="H1767" t="s">
        <v>569</v>
      </c>
      <c r="I1767" t="s">
        <v>597</v>
      </c>
      <c r="J1767" t="str">
        <f t="shared" si="81"/>
        <v>August</v>
      </c>
      <c r="K1767" t="str">
        <f t="shared" si="82"/>
        <v>Q3</v>
      </c>
      <c r="L1767">
        <f t="shared" si="83"/>
        <v>2025</v>
      </c>
    </row>
    <row r="1768" spans="1:12" x14ac:dyDescent="0.3">
      <c r="A1768" t="s">
        <v>2994</v>
      </c>
      <c r="B1768" t="s">
        <v>2992</v>
      </c>
      <c r="C1768" t="s">
        <v>96</v>
      </c>
      <c r="D1768">
        <v>3</v>
      </c>
      <c r="E1768" s="1">
        <v>45906</v>
      </c>
      <c r="F1768" t="s">
        <v>572</v>
      </c>
      <c r="G1768">
        <v>3</v>
      </c>
      <c r="H1768" t="s">
        <v>578</v>
      </c>
      <c r="I1768" t="s">
        <v>570</v>
      </c>
      <c r="J1768" t="str">
        <f t="shared" si="81"/>
        <v>September</v>
      </c>
      <c r="K1768" t="str">
        <f t="shared" si="82"/>
        <v>Q3</v>
      </c>
      <c r="L1768">
        <f t="shared" si="83"/>
        <v>2025</v>
      </c>
    </row>
    <row r="1769" spans="1:12" x14ac:dyDescent="0.3">
      <c r="A1769" t="s">
        <v>2995</v>
      </c>
      <c r="B1769" t="s">
        <v>2996</v>
      </c>
      <c r="C1769" t="s">
        <v>37</v>
      </c>
      <c r="D1769">
        <v>1</v>
      </c>
      <c r="E1769" s="1">
        <v>45713</v>
      </c>
      <c r="F1769" t="s">
        <v>586</v>
      </c>
      <c r="G1769">
        <v>1</v>
      </c>
      <c r="H1769" t="s">
        <v>569</v>
      </c>
      <c r="I1769" t="s">
        <v>570</v>
      </c>
      <c r="J1769" t="str">
        <f t="shared" si="81"/>
        <v>February</v>
      </c>
      <c r="K1769" t="str">
        <f t="shared" si="82"/>
        <v>Q1</v>
      </c>
      <c r="L1769">
        <f t="shared" si="83"/>
        <v>2025</v>
      </c>
    </row>
    <row r="1770" spans="1:12" x14ac:dyDescent="0.3">
      <c r="A1770" t="s">
        <v>2997</v>
      </c>
      <c r="B1770" t="s">
        <v>2998</v>
      </c>
      <c r="C1770" t="s">
        <v>99</v>
      </c>
      <c r="D1770">
        <v>1</v>
      </c>
      <c r="E1770" s="1">
        <v>45860</v>
      </c>
      <c r="F1770" t="s">
        <v>584</v>
      </c>
      <c r="G1770">
        <v>2</v>
      </c>
      <c r="H1770" t="s">
        <v>569</v>
      </c>
      <c r="I1770" t="s">
        <v>570</v>
      </c>
      <c r="J1770" t="str">
        <f t="shared" si="81"/>
        <v>July</v>
      </c>
      <c r="K1770" t="str">
        <f t="shared" si="82"/>
        <v>Q3</v>
      </c>
      <c r="L1770">
        <f t="shared" si="83"/>
        <v>2025</v>
      </c>
    </row>
    <row r="1771" spans="1:12" x14ac:dyDescent="0.3">
      <c r="A1771" t="s">
        <v>2999</v>
      </c>
      <c r="B1771" t="s">
        <v>2998</v>
      </c>
      <c r="C1771" t="s">
        <v>99</v>
      </c>
      <c r="D1771">
        <v>2</v>
      </c>
      <c r="E1771" s="1">
        <v>45867</v>
      </c>
      <c r="F1771" t="s">
        <v>658</v>
      </c>
      <c r="G1771">
        <v>2</v>
      </c>
      <c r="H1771" t="s">
        <v>569</v>
      </c>
      <c r="I1771" t="s">
        <v>570</v>
      </c>
      <c r="J1771" t="str">
        <f t="shared" si="81"/>
        <v>July</v>
      </c>
      <c r="K1771" t="str">
        <f t="shared" si="82"/>
        <v>Q3</v>
      </c>
      <c r="L1771">
        <f t="shared" si="83"/>
        <v>2025</v>
      </c>
    </row>
    <row r="1772" spans="1:12" x14ac:dyDescent="0.3">
      <c r="A1772" t="s">
        <v>3000</v>
      </c>
      <c r="B1772" t="s">
        <v>3001</v>
      </c>
      <c r="C1772" t="s">
        <v>251</v>
      </c>
      <c r="D1772">
        <v>1</v>
      </c>
      <c r="E1772" s="1">
        <v>45814</v>
      </c>
      <c r="F1772" t="s">
        <v>629</v>
      </c>
      <c r="G1772">
        <v>2</v>
      </c>
      <c r="H1772" t="s">
        <v>569</v>
      </c>
      <c r="I1772" t="s">
        <v>570</v>
      </c>
      <c r="J1772" t="str">
        <f t="shared" si="81"/>
        <v>June</v>
      </c>
      <c r="K1772" t="str">
        <f t="shared" si="82"/>
        <v>Q2</v>
      </c>
      <c r="L1772">
        <f t="shared" si="83"/>
        <v>2025</v>
      </c>
    </row>
    <row r="1773" spans="1:12" x14ac:dyDescent="0.3">
      <c r="A1773" t="s">
        <v>3002</v>
      </c>
      <c r="B1773" t="s">
        <v>3001</v>
      </c>
      <c r="C1773" t="s">
        <v>251</v>
      </c>
      <c r="D1773">
        <v>2</v>
      </c>
      <c r="E1773" s="1">
        <v>45824</v>
      </c>
      <c r="F1773" t="s">
        <v>584</v>
      </c>
      <c r="G1773">
        <v>1</v>
      </c>
      <c r="H1773" t="s">
        <v>569</v>
      </c>
      <c r="I1773" t="s">
        <v>570</v>
      </c>
      <c r="J1773" t="str">
        <f t="shared" si="81"/>
        <v>June</v>
      </c>
      <c r="K1773" t="str">
        <f t="shared" si="82"/>
        <v>Q2</v>
      </c>
      <c r="L1773">
        <f t="shared" si="83"/>
        <v>2025</v>
      </c>
    </row>
    <row r="1774" spans="1:12" x14ac:dyDescent="0.3">
      <c r="A1774" t="s">
        <v>3003</v>
      </c>
      <c r="B1774" t="s">
        <v>3004</v>
      </c>
      <c r="C1774" t="s">
        <v>41</v>
      </c>
      <c r="D1774">
        <v>1</v>
      </c>
      <c r="E1774" s="1">
        <v>45824</v>
      </c>
      <c r="F1774" t="s">
        <v>603</v>
      </c>
      <c r="G1774">
        <v>2</v>
      </c>
      <c r="H1774" t="s">
        <v>569</v>
      </c>
      <c r="I1774" t="s">
        <v>570</v>
      </c>
      <c r="J1774" t="str">
        <f t="shared" si="81"/>
        <v>June</v>
      </c>
      <c r="K1774" t="str">
        <f t="shared" si="82"/>
        <v>Q2</v>
      </c>
      <c r="L1774">
        <f t="shared" si="83"/>
        <v>2025</v>
      </c>
    </row>
    <row r="1775" spans="1:12" x14ac:dyDescent="0.3">
      <c r="A1775" t="s">
        <v>3005</v>
      </c>
      <c r="B1775" t="s">
        <v>3006</v>
      </c>
      <c r="C1775" t="s">
        <v>41</v>
      </c>
      <c r="D1775">
        <v>1</v>
      </c>
      <c r="E1775" s="1">
        <v>45830</v>
      </c>
      <c r="F1775" t="s">
        <v>625</v>
      </c>
      <c r="G1775">
        <v>2</v>
      </c>
      <c r="H1775" t="s">
        <v>569</v>
      </c>
      <c r="I1775" t="s">
        <v>570</v>
      </c>
      <c r="J1775" t="str">
        <f t="shared" si="81"/>
        <v>June</v>
      </c>
      <c r="K1775" t="str">
        <f t="shared" si="82"/>
        <v>Q2</v>
      </c>
      <c r="L1775">
        <f t="shared" si="83"/>
        <v>2025</v>
      </c>
    </row>
    <row r="1776" spans="1:12" x14ac:dyDescent="0.3">
      <c r="A1776" t="s">
        <v>3007</v>
      </c>
      <c r="B1776" t="s">
        <v>3006</v>
      </c>
      <c r="C1776" t="s">
        <v>41</v>
      </c>
      <c r="D1776">
        <v>2</v>
      </c>
      <c r="E1776" s="1">
        <v>45837</v>
      </c>
      <c r="F1776" t="s">
        <v>612</v>
      </c>
      <c r="G1776">
        <v>3</v>
      </c>
      <c r="H1776" t="s">
        <v>578</v>
      </c>
      <c r="I1776" t="s">
        <v>570</v>
      </c>
      <c r="J1776" t="str">
        <f t="shared" si="81"/>
        <v>June</v>
      </c>
      <c r="K1776" t="str">
        <f t="shared" si="82"/>
        <v>Q2</v>
      </c>
      <c r="L1776">
        <f t="shared" si="83"/>
        <v>2025</v>
      </c>
    </row>
    <row r="1777" spans="1:12" x14ac:dyDescent="0.3">
      <c r="A1777" t="s">
        <v>3008</v>
      </c>
      <c r="B1777" t="s">
        <v>3006</v>
      </c>
      <c r="C1777" t="s">
        <v>41</v>
      </c>
      <c r="D1777">
        <v>3</v>
      </c>
      <c r="E1777" s="1">
        <v>45844</v>
      </c>
      <c r="F1777" t="s">
        <v>577</v>
      </c>
      <c r="G1777">
        <v>1</v>
      </c>
      <c r="H1777" t="s">
        <v>569</v>
      </c>
      <c r="I1777" t="s">
        <v>570</v>
      </c>
      <c r="J1777" t="str">
        <f t="shared" si="81"/>
        <v>July</v>
      </c>
      <c r="K1777" t="str">
        <f t="shared" si="82"/>
        <v>Q3</v>
      </c>
      <c r="L1777">
        <f t="shared" si="83"/>
        <v>2025</v>
      </c>
    </row>
    <row r="1778" spans="1:12" x14ac:dyDescent="0.3">
      <c r="A1778" t="s">
        <v>3009</v>
      </c>
      <c r="B1778" t="s">
        <v>3006</v>
      </c>
      <c r="C1778" t="s">
        <v>41</v>
      </c>
      <c r="D1778">
        <v>4</v>
      </c>
      <c r="E1778" s="1">
        <v>45854</v>
      </c>
      <c r="F1778" t="s">
        <v>572</v>
      </c>
      <c r="G1778">
        <v>1</v>
      </c>
      <c r="H1778" t="s">
        <v>569</v>
      </c>
      <c r="I1778" t="s">
        <v>570</v>
      </c>
      <c r="J1778" t="str">
        <f t="shared" si="81"/>
        <v>July</v>
      </c>
      <c r="K1778" t="str">
        <f t="shared" si="82"/>
        <v>Q3</v>
      </c>
      <c r="L1778">
        <f t="shared" si="83"/>
        <v>2025</v>
      </c>
    </row>
    <row r="1779" spans="1:12" x14ac:dyDescent="0.3">
      <c r="A1779" t="s">
        <v>3010</v>
      </c>
      <c r="B1779" t="s">
        <v>410</v>
      </c>
      <c r="C1779" t="s">
        <v>251</v>
      </c>
      <c r="D1779">
        <v>1</v>
      </c>
      <c r="E1779" s="1">
        <v>45821</v>
      </c>
      <c r="F1779" t="s">
        <v>584</v>
      </c>
      <c r="G1779">
        <v>4</v>
      </c>
      <c r="H1779" t="s">
        <v>581</v>
      </c>
      <c r="I1779" t="s">
        <v>570</v>
      </c>
      <c r="J1779" t="str">
        <f t="shared" si="81"/>
        <v>June</v>
      </c>
      <c r="K1779" t="str">
        <f t="shared" si="82"/>
        <v>Q2</v>
      </c>
      <c r="L1779">
        <f t="shared" si="83"/>
        <v>2025</v>
      </c>
    </row>
    <row r="1780" spans="1:12" x14ac:dyDescent="0.3">
      <c r="A1780" t="s">
        <v>3011</v>
      </c>
      <c r="B1780" t="s">
        <v>410</v>
      </c>
      <c r="C1780" t="s">
        <v>251</v>
      </c>
      <c r="D1780">
        <v>2</v>
      </c>
      <c r="E1780" s="1">
        <v>45830</v>
      </c>
      <c r="F1780" t="s">
        <v>625</v>
      </c>
      <c r="G1780">
        <v>4</v>
      </c>
      <c r="H1780" t="s">
        <v>581</v>
      </c>
      <c r="I1780" t="s">
        <v>570</v>
      </c>
      <c r="J1780" t="str">
        <f t="shared" si="81"/>
        <v>June</v>
      </c>
      <c r="K1780" t="str">
        <f t="shared" si="82"/>
        <v>Q2</v>
      </c>
      <c r="L1780">
        <f t="shared" si="83"/>
        <v>2025</v>
      </c>
    </row>
    <row r="1781" spans="1:12" x14ac:dyDescent="0.3">
      <c r="A1781" t="s">
        <v>3012</v>
      </c>
      <c r="B1781" t="s">
        <v>3013</v>
      </c>
      <c r="C1781" t="s">
        <v>22</v>
      </c>
      <c r="D1781">
        <v>1</v>
      </c>
      <c r="E1781" s="1">
        <v>45841</v>
      </c>
      <c r="F1781" t="s">
        <v>625</v>
      </c>
      <c r="G1781">
        <v>2</v>
      </c>
      <c r="H1781" t="s">
        <v>569</v>
      </c>
      <c r="I1781" t="s">
        <v>570</v>
      </c>
      <c r="J1781" t="str">
        <f t="shared" si="81"/>
        <v>July</v>
      </c>
      <c r="K1781" t="str">
        <f t="shared" si="82"/>
        <v>Q3</v>
      </c>
      <c r="L1781">
        <f t="shared" si="83"/>
        <v>2025</v>
      </c>
    </row>
    <row r="1782" spans="1:12" x14ac:dyDescent="0.3">
      <c r="A1782" t="s">
        <v>3014</v>
      </c>
      <c r="B1782" t="s">
        <v>3013</v>
      </c>
      <c r="C1782" t="s">
        <v>22</v>
      </c>
      <c r="D1782">
        <v>2</v>
      </c>
      <c r="E1782" s="1">
        <v>45848</v>
      </c>
      <c r="F1782" t="s">
        <v>572</v>
      </c>
      <c r="G1782">
        <v>1</v>
      </c>
      <c r="H1782" t="s">
        <v>569</v>
      </c>
      <c r="I1782" t="s">
        <v>570</v>
      </c>
      <c r="J1782" t="str">
        <f t="shared" si="81"/>
        <v>July</v>
      </c>
      <c r="K1782" t="str">
        <f t="shared" si="82"/>
        <v>Q3</v>
      </c>
      <c r="L1782">
        <f t="shared" si="83"/>
        <v>2025</v>
      </c>
    </row>
    <row r="1783" spans="1:12" x14ac:dyDescent="0.3">
      <c r="A1783" t="s">
        <v>3015</v>
      </c>
      <c r="B1783" t="s">
        <v>3013</v>
      </c>
      <c r="C1783" t="s">
        <v>22</v>
      </c>
      <c r="D1783">
        <v>3</v>
      </c>
      <c r="E1783" s="1">
        <v>45855</v>
      </c>
      <c r="F1783" t="s">
        <v>612</v>
      </c>
      <c r="G1783">
        <v>2</v>
      </c>
      <c r="H1783" t="s">
        <v>569</v>
      </c>
      <c r="I1783" t="s">
        <v>597</v>
      </c>
      <c r="J1783" t="str">
        <f t="shared" si="81"/>
        <v>July</v>
      </c>
      <c r="K1783" t="str">
        <f t="shared" si="82"/>
        <v>Q3</v>
      </c>
      <c r="L1783">
        <f t="shared" si="83"/>
        <v>2025</v>
      </c>
    </row>
    <row r="1784" spans="1:12" x14ac:dyDescent="0.3">
      <c r="A1784" t="s">
        <v>3016</v>
      </c>
      <c r="B1784" t="s">
        <v>3017</v>
      </c>
      <c r="C1784" t="s">
        <v>16</v>
      </c>
      <c r="D1784">
        <v>1</v>
      </c>
      <c r="E1784" s="1">
        <v>45759</v>
      </c>
      <c r="F1784" t="s">
        <v>575</v>
      </c>
      <c r="G1784">
        <v>1</v>
      </c>
      <c r="H1784" t="s">
        <v>569</v>
      </c>
      <c r="I1784" t="s">
        <v>570</v>
      </c>
      <c r="J1784" t="str">
        <f t="shared" si="81"/>
        <v>April</v>
      </c>
      <c r="K1784" t="str">
        <f t="shared" si="82"/>
        <v>Q2</v>
      </c>
      <c r="L1784">
        <f t="shared" si="83"/>
        <v>2025</v>
      </c>
    </row>
    <row r="1785" spans="1:12" x14ac:dyDescent="0.3">
      <c r="A1785" t="s">
        <v>3018</v>
      </c>
      <c r="B1785" t="s">
        <v>3019</v>
      </c>
      <c r="C1785" t="s">
        <v>108</v>
      </c>
      <c r="D1785">
        <v>1</v>
      </c>
      <c r="E1785" s="1">
        <v>45761</v>
      </c>
      <c r="F1785" t="s">
        <v>638</v>
      </c>
      <c r="G1785">
        <v>4</v>
      </c>
      <c r="H1785" t="s">
        <v>581</v>
      </c>
      <c r="I1785" t="s">
        <v>570</v>
      </c>
      <c r="J1785" t="str">
        <f t="shared" si="81"/>
        <v>April</v>
      </c>
      <c r="K1785" t="str">
        <f t="shared" si="82"/>
        <v>Q2</v>
      </c>
      <c r="L1785">
        <f t="shared" si="83"/>
        <v>2025</v>
      </c>
    </row>
    <row r="1786" spans="1:12" x14ac:dyDescent="0.3">
      <c r="A1786" t="s">
        <v>3020</v>
      </c>
      <c r="B1786" t="s">
        <v>3019</v>
      </c>
      <c r="C1786" t="s">
        <v>108</v>
      </c>
      <c r="D1786">
        <v>2</v>
      </c>
      <c r="E1786" s="1">
        <v>45771</v>
      </c>
      <c r="F1786" t="s">
        <v>596</v>
      </c>
      <c r="G1786">
        <v>3</v>
      </c>
      <c r="H1786" t="s">
        <v>578</v>
      </c>
      <c r="I1786" t="s">
        <v>570</v>
      </c>
      <c r="J1786" t="str">
        <f t="shared" si="81"/>
        <v>April</v>
      </c>
      <c r="K1786" t="str">
        <f t="shared" si="82"/>
        <v>Q2</v>
      </c>
      <c r="L1786">
        <f t="shared" si="83"/>
        <v>2025</v>
      </c>
    </row>
    <row r="1787" spans="1:12" x14ac:dyDescent="0.3">
      <c r="A1787" t="s">
        <v>3021</v>
      </c>
      <c r="B1787" t="s">
        <v>3019</v>
      </c>
      <c r="C1787" t="s">
        <v>108</v>
      </c>
      <c r="D1787">
        <v>3</v>
      </c>
      <c r="E1787" s="1">
        <v>45780</v>
      </c>
      <c r="F1787" t="s">
        <v>577</v>
      </c>
      <c r="G1787">
        <v>5</v>
      </c>
      <c r="H1787" t="s">
        <v>581</v>
      </c>
      <c r="I1787" t="s">
        <v>608</v>
      </c>
      <c r="J1787" t="str">
        <f t="shared" si="81"/>
        <v>May</v>
      </c>
      <c r="K1787" t="str">
        <f t="shared" si="82"/>
        <v>Q2</v>
      </c>
      <c r="L1787">
        <f t="shared" si="83"/>
        <v>2025</v>
      </c>
    </row>
    <row r="1788" spans="1:12" x14ac:dyDescent="0.3">
      <c r="A1788" t="s">
        <v>3022</v>
      </c>
      <c r="B1788" t="s">
        <v>3019</v>
      </c>
      <c r="C1788" t="s">
        <v>108</v>
      </c>
      <c r="D1788">
        <v>4</v>
      </c>
      <c r="E1788" s="1">
        <v>45788</v>
      </c>
      <c r="F1788" t="s">
        <v>638</v>
      </c>
      <c r="G1788">
        <v>4</v>
      </c>
      <c r="H1788" t="s">
        <v>581</v>
      </c>
      <c r="I1788" t="s">
        <v>570</v>
      </c>
      <c r="J1788" t="str">
        <f t="shared" si="81"/>
        <v>May</v>
      </c>
      <c r="K1788" t="str">
        <f t="shared" si="82"/>
        <v>Q2</v>
      </c>
      <c r="L1788">
        <f t="shared" si="83"/>
        <v>2025</v>
      </c>
    </row>
    <row r="1789" spans="1:12" x14ac:dyDescent="0.3">
      <c r="A1789" t="s">
        <v>3023</v>
      </c>
      <c r="B1789" t="s">
        <v>3024</v>
      </c>
      <c r="C1789" t="s">
        <v>96</v>
      </c>
      <c r="D1789">
        <v>1</v>
      </c>
      <c r="E1789" s="1">
        <v>45878</v>
      </c>
      <c r="F1789" t="s">
        <v>625</v>
      </c>
      <c r="G1789">
        <v>1</v>
      </c>
      <c r="H1789" t="s">
        <v>569</v>
      </c>
      <c r="I1789" t="s">
        <v>570</v>
      </c>
      <c r="J1789" t="str">
        <f t="shared" si="81"/>
        <v>August</v>
      </c>
      <c r="K1789" t="str">
        <f t="shared" si="82"/>
        <v>Q3</v>
      </c>
      <c r="L1789">
        <f t="shared" si="83"/>
        <v>2025</v>
      </c>
    </row>
    <row r="1790" spans="1:12" x14ac:dyDescent="0.3">
      <c r="A1790" t="s">
        <v>3025</v>
      </c>
      <c r="B1790" t="s">
        <v>3024</v>
      </c>
      <c r="C1790" t="s">
        <v>96</v>
      </c>
      <c r="D1790">
        <v>2</v>
      </c>
      <c r="E1790" s="1">
        <v>45885</v>
      </c>
      <c r="F1790" t="s">
        <v>612</v>
      </c>
      <c r="G1790">
        <v>2</v>
      </c>
      <c r="H1790" t="s">
        <v>569</v>
      </c>
      <c r="I1790" t="s">
        <v>570</v>
      </c>
      <c r="J1790" t="str">
        <f t="shared" si="81"/>
        <v>August</v>
      </c>
      <c r="K1790" t="str">
        <f t="shared" si="82"/>
        <v>Q3</v>
      </c>
      <c r="L1790">
        <f t="shared" si="83"/>
        <v>2025</v>
      </c>
    </row>
    <row r="1791" spans="1:12" x14ac:dyDescent="0.3">
      <c r="A1791" t="s">
        <v>3026</v>
      </c>
      <c r="B1791" t="s">
        <v>3024</v>
      </c>
      <c r="C1791" t="s">
        <v>96</v>
      </c>
      <c r="D1791">
        <v>3</v>
      </c>
      <c r="E1791" s="1">
        <v>45896</v>
      </c>
      <c r="F1791" t="s">
        <v>572</v>
      </c>
      <c r="G1791">
        <v>1</v>
      </c>
      <c r="H1791" t="s">
        <v>569</v>
      </c>
      <c r="I1791" t="s">
        <v>570</v>
      </c>
      <c r="J1791" t="str">
        <f t="shared" si="81"/>
        <v>August</v>
      </c>
      <c r="K1791" t="str">
        <f t="shared" si="82"/>
        <v>Q3</v>
      </c>
      <c r="L1791">
        <f t="shared" si="83"/>
        <v>2025</v>
      </c>
    </row>
    <row r="1792" spans="1:12" x14ac:dyDescent="0.3">
      <c r="A1792" t="s">
        <v>3027</v>
      </c>
      <c r="B1792" t="s">
        <v>3028</v>
      </c>
      <c r="C1792" t="s">
        <v>292</v>
      </c>
      <c r="D1792">
        <v>1</v>
      </c>
      <c r="E1792" s="1">
        <v>45725</v>
      </c>
      <c r="F1792" t="s">
        <v>568</v>
      </c>
      <c r="G1792">
        <v>1</v>
      </c>
      <c r="H1792" t="s">
        <v>569</v>
      </c>
      <c r="I1792" t="s">
        <v>570</v>
      </c>
      <c r="J1792" t="str">
        <f t="shared" si="81"/>
        <v>March</v>
      </c>
      <c r="K1792" t="str">
        <f t="shared" si="82"/>
        <v>Q1</v>
      </c>
      <c r="L1792">
        <f t="shared" si="83"/>
        <v>2025</v>
      </c>
    </row>
    <row r="1793" spans="1:12" x14ac:dyDescent="0.3">
      <c r="A1793" t="s">
        <v>3029</v>
      </c>
      <c r="B1793" t="s">
        <v>3030</v>
      </c>
      <c r="C1793" t="s">
        <v>108</v>
      </c>
      <c r="D1793">
        <v>1</v>
      </c>
      <c r="E1793" s="1">
        <v>45759</v>
      </c>
      <c r="F1793" t="s">
        <v>575</v>
      </c>
      <c r="G1793">
        <v>1</v>
      </c>
      <c r="H1793" t="s">
        <v>569</v>
      </c>
      <c r="I1793" t="s">
        <v>570</v>
      </c>
      <c r="J1793" t="str">
        <f t="shared" si="81"/>
        <v>April</v>
      </c>
      <c r="K1793" t="str">
        <f t="shared" si="82"/>
        <v>Q2</v>
      </c>
      <c r="L1793">
        <f t="shared" si="83"/>
        <v>2025</v>
      </c>
    </row>
    <row r="1794" spans="1:12" x14ac:dyDescent="0.3">
      <c r="A1794" t="s">
        <v>3031</v>
      </c>
      <c r="B1794" t="s">
        <v>3030</v>
      </c>
      <c r="C1794" t="s">
        <v>108</v>
      </c>
      <c r="D1794">
        <v>2</v>
      </c>
      <c r="E1794" s="1">
        <v>45769</v>
      </c>
      <c r="F1794" t="s">
        <v>621</v>
      </c>
      <c r="G1794">
        <v>1</v>
      </c>
      <c r="H1794" t="s">
        <v>569</v>
      </c>
      <c r="I1794" t="s">
        <v>570</v>
      </c>
      <c r="J1794" t="str">
        <f t="shared" ref="J1794:J1857" si="84">TEXT(E1794,"mmmm")</f>
        <v>April</v>
      </c>
      <c r="K1794" t="str">
        <f t="shared" ref="K1794:K1857" si="85">"Q"&amp;ROUNDUP(MONTH(E1794)/3,0)</f>
        <v>Q2</v>
      </c>
      <c r="L1794">
        <f t="shared" ref="L1794:L1857" si="86">YEAR(E1794)</f>
        <v>2025</v>
      </c>
    </row>
    <row r="1795" spans="1:12" x14ac:dyDescent="0.3">
      <c r="A1795" t="s">
        <v>3032</v>
      </c>
      <c r="B1795" t="s">
        <v>3033</v>
      </c>
      <c r="C1795" t="s">
        <v>37</v>
      </c>
      <c r="D1795">
        <v>1</v>
      </c>
      <c r="E1795" s="1">
        <v>45708</v>
      </c>
      <c r="F1795" t="s">
        <v>586</v>
      </c>
      <c r="G1795">
        <v>3</v>
      </c>
      <c r="H1795" t="s">
        <v>578</v>
      </c>
      <c r="I1795" t="s">
        <v>570</v>
      </c>
      <c r="J1795" t="str">
        <f t="shared" si="84"/>
        <v>February</v>
      </c>
      <c r="K1795" t="str">
        <f t="shared" si="85"/>
        <v>Q1</v>
      </c>
      <c r="L1795">
        <f t="shared" si="86"/>
        <v>2025</v>
      </c>
    </row>
    <row r="1796" spans="1:12" x14ac:dyDescent="0.3">
      <c r="A1796" t="s">
        <v>3034</v>
      </c>
      <c r="B1796" t="s">
        <v>3033</v>
      </c>
      <c r="C1796" t="s">
        <v>37</v>
      </c>
      <c r="D1796">
        <v>2</v>
      </c>
      <c r="E1796" s="1">
        <v>45719</v>
      </c>
      <c r="F1796" t="s">
        <v>572</v>
      </c>
      <c r="G1796">
        <v>4</v>
      </c>
      <c r="H1796" t="s">
        <v>581</v>
      </c>
      <c r="I1796" t="s">
        <v>570</v>
      </c>
      <c r="J1796" t="str">
        <f t="shared" si="84"/>
        <v>March</v>
      </c>
      <c r="K1796" t="str">
        <f t="shared" si="85"/>
        <v>Q1</v>
      </c>
      <c r="L1796">
        <f t="shared" si="86"/>
        <v>2025</v>
      </c>
    </row>
    <row r="1797" spans="1:12" x14ac:dyDescent="0.3">
      <c r="A1797" t="s">
        <v>3035</v>
      </c>
      <c r="B1797" t="s">
        <v>3036</v>
      </c>
      <c r="C1797" t="s">
        <v>298</v>
      </c>
      <c r="D1797">
        <v>1</v>
      </c>
      <c r="E1797" s="1">
        <v>45896</v>
      </c>
      <c r="F1797" t="s">
        <v>656</v>
      </c>
      <c r="G1797">
        <v>3</v>
      </c>
      <c r="H1797" t="s">
        <v>578</v>
      </c>
      <c r="I1797" t="s">
        <v>570</v>
      </c>
      <c r="J1797" t="str">
        <f t="shared" si="84"/>
        <v>August</v>
      </c>
      <c r="K1797" t="str">
        <f t="shared" si="85"/>
        <v>Q3</v>
      </c>
      <c r="L1797">
        <f t="shared" si="86"/>
        <v>2025</v>
      </c>
    </row>
    <row r="1798" spans="1:12" x14ac:dyDescent="0.3">
      <c r="A1798" t="s">
        <v>3037</v>
      </c>
      <c r="B1798" t="s">
        <v>3036</v>
      </c>
      <c r="C1798" t="s">
        <v>298</v>
      </c>
      <c r="D1798">
        <v>2</v>
      </c>
      <c r="E1798" s="1">
        <v>45903</v>
      </c>
      <c r="F1798" t="s">
        <v>656</v>
      </c>
      <c r="G1798">
        <v>3</v>
      </c>
      <c r="H1798" t="s">
        <v>578</v>
      </c>
      <c r="I1798" t="s">
        <v>570</v>
      </c>
      <c r="J1798" t="str">
        <f t="shared" si="84"/>
        <v>September</v>
      </c>
      <c r="K1798" t="str">
        <f t="shared" si="85"/>
        <v>Q3</v>
      </c>
      <c r="L1798">
        <f t="shared" si="86"/>
        <v>2025</v>
      </c>
    </row>
    <row r="1799" spans="1:12" x14ac:dyDescent="0.3">
      <c r="A1799" t="s">
        <v>3038</v>
      </c>
      <c r="B1799" t="s">
        <v>3036</v>
      </c>
      <c r="C1799" t="s">
        <v>298</v>
      </c>
      <c r="D1799">
        <v>3</v>
      </c>
      <c r="E1799" s="1">
        <v>45915</v>
      </c>
      <c r="F1799" t="s">
        <v>584</v>
      </c>
      <c r="G1799">
        <v>4</v>
      </c>
      <c r="H1799" t="s">
        <v>581</v>
      </c>
      <c r="I1799" t="s">
        <v>570</v>
      </c>
      <c r="J1799" t="str">
        <f t="shared" si="84"/>
        <v>September</v>
      </c>
      <c r="K1799" t="str">
        <f t="shared" si="85"/>
        <v>Q3</v>
      </c>
      <c r="L1799">
        <f t="shared" si="86"/>
        <v>2025</v>
      </c>
    </row>
    <row r="1800" spans="1:12" x14ac:dyDescent="0.3">
      <c r="A1800" t="s">
        <v>3039</v>
      </c>
      <c r="B1800" t="s">
        <v>3040</v>
      </c>
      <c r="C1800" t="s">
        <v>88</v>
      </c>
      <c r="D1800">
        <v>1</v>
      </c>
      <c r="E1800" s="1">
        <v>45755</v>
      </c>
      <c r="F1800" t="s">
        <v>577</v>
      </c>
      <c r="G1800">
        <v>4</v>
      </c>
      <c r="H1800" t="s">
        <v>581</v>
      </c>
      <c r="I1800" t="s">
        <v>570</v>
      </c>
      <c r="J1800" t="str">
        <f t="shared" si="84"/>
        <v>April</v>
      </c>
      <c r="K1800" t="str">
        <f t="shared" si="85"/>
        <v>Q2</v>
      </c>
      <c r="L1800">
        <f t="shared" si="86"/>
        <v>2025</v>
      </c>
    </row>
    <row r="1801" spans="1:12" x14ac:dyDescent="0.3">
      <c r="A1801" t="s">
        <v>3041</v>
      </c>
      <c r="B1801" t="s">
        <v>3040</v>
      </c>
      <c r="C1801" t="s">
        <v>88</v>
      </c>
      <c r="D1801">
        <v>2</v>
      </c>
      <c r="E1801" s="1">
        <v>45760</v>
      </c>
      <c r="F1801" t="s">
        <v>621</v>
      </c>
      <c r="G1801">
        <v>3</v>
      </c>
      <c r="H1801" t="s">
        <v>578</v>
      </c>
      <c r="I1801" t="s">
        <v>570</v>
      </c>
      <c r="J1801" t="str">
        <f t="shared" si="84"/>
        <v>April</v>
      </c>
      <c r="K1801" t="str">
        <f t="shared" si="85"/>
        <v>Q2</v>
      </c>
      <c r="L1801">
        <f t="shared" si="86"/>
        <v>2025</v>
      </c>
    </row>
    <row r="1802" spans="1:12" x14ac:dyDescent="0.3">
      <c r="A1802" t="s">
        <v>3042</v>
      </c>
      <c r="B1802" t="s">
        <v>3043</v>
      </c>
      <c r="C1802" t="s">
        <v>51</v>
      </c>
      <c r="D1802">
        <v>1</v>
      </c>
      <c r="E1802" s="1">
        <v>45959</v>
      </c>
      <c r="F1802" t="s">
        <v>663</v>
      </c>
      <c r="G1802">
        <v>1</v>
      </c>
      <c r="H1802" t="s">
        <v>569</v>
      </c>
      <c r="I1802" t="s">
        <v>570</v>
      </c>
      <c r="J1802" t="str">
        <f t="shared" si="84"/>
        <v>October</v>
      </c>
      <c r="K1802" t="str">
        <f t="shared" si="85"/>
        <v>Q4</v>
      </c>
      <c r="L1802">
        <f t="shared" si="86"/>
        <v>2025</v>
      </c>
    </row>
    <row r="1803" spans="1:12" x14ac:dyDescent="0.3">
      <c r="A1803" t="s">
        <v>3044</v>
      </c>
      <c r="B1803" t="s">
        <v>3045</v>
      </c>
      <c r="C1803" t="s">
        <v>176</v>
      </c>
      <c r="D1803">
        <v>1</v>
      </c>
      <c r="E1803" s="1">
        <v>45700</v>
      </c>
      <c r="F1803" t="s">
        <v>621</v>
      </c>
      <c r="G1803">
        <v>1</v>
      </c>
      <c r="H1803" t="s">
        <v>569</v>
      </c>
      <c r="I1803" t="s">
        <v>570</v>
      </c>
      <c r="J1803" t="str">
        <f t="shared" si="84"/>
        <v>February</v>
      </c>
      <c r="K1803" t="str">
        <f t="shared" si="85"/>
        <v>Q1</v>
      </c>
      <c r="L1803">
        <f t="shared" si="86"/>
        <v>2025</v>
      </c>
    </row>
    <row r="1804" spans="1:12" x14ac:dyDescent="0.3">
      <c r="A1804" t="s">
        <v>3046</v>
      </c>
      <c r="B1804" t="s">
        <v>3047</v>
      </c>
      <c r="C1804" t="s">
        <v>251</v>
      </c>
      <c r="D1804">
        <v>1</v>
      </c>
      <c r="E1804" s="1">
        <v>45812</v>
      </c>
      <c r="F1804" t="s">
        <v>632</v>
      </c>
      <c r="G1804">
        <v>3</v>
      </c>
      <c r="H1804" t="s">
        <v>578</v>
      </c>
      <c r="I1804" t="s">
        <v>570</v>
      </c>
      <c r="J1804" t="str">
        <f t="shared" si="84"/>
        <v>June</v>
      </c>
      <c r="K1804" t="str">
        <f t="shared" si="85"/>
        <v>Q2</v>
      </c>
      <c r="L1804">
        <f t="shared" si="86"/>
        <v>2025</v>
      </c>
    </row>
    <row r="1805" spans="1:12" x14ac:dyDescent="0.3">
      <c r="A1805" t="s">
        <v>3048</v>
      </c>
      <c r="B1805" t="s">
        <v>3049</v>
      </c>
      <c r="C1805" t="s">
        <v>27</v>
      </c>
      <c r="D1805">
        <v>1</v>
      </c>
      <c r="E1805" s="1">
        <v>45878</v>
      </c>
      <c r="F1805" t="s">
        <v>632</v>
      </c>
      <c r="G1805">
        <v>2</v>
      </c>
      <c r="H1805" t="s">
        <v>569</v>
      </c>
      <c r="I1805" t="s">
        <v>570</v>
      </c>
      <c r="J1805" t="str">
        <f t="shared" si="84"/>
        <v>August</v>
      </c>
      <c r="K1805" t="str">
        <f t="shared" si="85"/>
        <v>Q3</v>
      </c>
      <c r="L1805">
        <f t="shared" si="86"/>
        <v>2025</v>
      </c>
    </row>
    <row r="1806" spans="1:12" x14ac:dyDescent="0.3">
      <c r="A1806" t="s">
        <v>3050</v>
      </c>
      <c r="B1806" t="s">
        <v>3049</v>
      </c>
      <c r="C1806" t="s">
        <v>27</v>
      </c>
      <c r="D1806">
        <v>2</v>
      </c>
      <c r="E1806" s="1">
        <v>45884</v>
      </c>
      <c r="F1806" t="s">
        <v>584</v>
      </c>
      <c r="G1806">
        <v>2</v>
      </c>
      <c r="H1806" t="s">
        <v>569</v>
      </c>
      <c r="I1806" t="s">
        <v>570</v>
      </c>
      <c r="J1806" t="str">
        <f t="shared" si="84"/>
        <v>August</v>
      </c>
      <c r="K1806" t="str">
        <f t="shared" si="85"/>
        <v>Q3</v>
      </c>
      <c r="L1806">
        <f t="shared" si="86"/>
        <v>2025</v>
      </c>
    </row>
    <row r="1807" spans="1:12" x14ac:dyDescent="0.3">
      <c r="A1807" t="s">
        <v>3051</v>
      </c>
      <c r="B1807" t="s">
        <v>3049</v>
      </c>
      <c r="C1807" t="s">
        <v>27</v>
      </c>
      <c r="D1807">
        <v>3</v>
      </c>
      <c r="E1807" s="1">
        <v>45892</v>
      </c>
      <c r="F1807" t="s">
        <v>629</v>
      </c>
      <c r="G1807">
        <v>2</v>
      </c>
      <c r="H1807" t="s">
        <v>569</v>
      </c>
      <c r="I1807" t="s">
        <v>570</v>
      </c>
      <c r="J1807" t="str">
        <f t="shared" si="84"/>
        <v>August</v>
      </c>
      <c r="K1807" t="str">
        <f t="shared" si="85"/>
        <v>Q3</v>
      </c>
      <c r="L1807">
        <f t="shared" si="86"/>
        <v>2025</v>
      </c>
    </row>
    <row r="1808" spans="1:12" x14ac:dyDescent="0.3">
      <c r="A1808" t="s">
        <v>3052</v>
      </c>
      <c r="B1808" t="s">
        <v>3053</v>
      </c>
      <c r="C1808" t="s">
        <v>251</v>
      </c>
      <c r="D1808">
        <v>1</v>
      </c>
      <c r="E1808" s="1">
        <v>45819</v>
      </c>
      <c r="F1808" t="s">
        <v>592</v>
      </c>
      <c r="G1808">
        <v>3</v>
      </c>
      <c r="H1808" t="s">
        <v>578</v>
      </c>
      <c r="I1808" t="s">
        <v>570</v>
      </c>
      <c r="J1808" t="str">
        <f t="shared" si="84"/>
        <v>June</v>
      </c>
      <c r="K1808" t="str">
        <f t="shared" si="85"/>
        <v>Q2</v>
      </c>
      <c r="L1808">
        <f t="shared" si="86"/>
        <v>2025</v>
      </c>
    </row>
    <row r="1809" spans="1:12" x14ac:dyDescent="0.3">
      <c r="A1809" t="s">
        <v>3054</v>
      </c>
      <c r="B1809" t="s">
        <v>3053</v>
      </c>
      <c r="C1809" t="s">
        <v>251</v>
      </c>
      <c r="D1809">
        <v>2</v>
      </c>
      <c r="E1809" s="1">
        <v>45826</v>
      </c>
      <c r="F1809" t="s">
        <v>629</v>
      </c>
      <c r="G1809">
        <v>3</v>
      </c>
      <c r="H1809" t="s">
        <v>578</v>
      </c>
      <c r="I1809" t="s">
        <v>570</v>
      </c>
      <c r="J1809" t="str">
        <f t="shared" si="84"/>
        <v>June</v>
      </c>
      <c r="K1809" t="str">
        <f t="shared" si="85"/>
        <v>Q2</v>
      </c>
      <c r="L1809">
        <f t="shared" si="86"/>
        <v>2025</v>
      </c>
    </row>
    <row r="1810" spans="1:12" x14ac:dyDescent="0.3">
      <c r="A1810" t="s">
        <v>3055</v>
      </c>
      <c r="B1810" t="s">
        <v>3056</v>
      </c>
      <c r="C1810" t="s">
        <v>340</v>
      </c>
      <c r="D1810">
        <v>1</v>
      </c>
      <c r="E1810" s="1">
        <v>45687</v>
      </c>
      <c r="F1810" t="s">
        <v>621</v>
      </c>
      <c r="G1810">
        <v>3</v>
      </c>
      <c r="H1810" t="s">
        <v>578</v>
      </c>
      <c r="I1810" t="s">
        <v>570</v>
      </c>
      <c r="J1810" t="str">
        <f t="shared" si="84"/>
        <v>January</v>
      </c>
      <c r="K1810" t="str">
        <f t="shared" si="85"/>
        <v>Q1</v>
      </c>
      <c r="L1810">
        <f t="shared" si="86"/>
        <v>2025</v>
      </c>
    </row>
    <row r="1811" spans="1:12" x14ac:dyDescent="0.3">
      <c r="A1811" t="s">
        <v>3057</v>
      </c>
      <c r="B1811" t="s">
        <v>3056</v>
      </c>
      <c r="C1811" t="s">
        <v>340</v>
      </c>
      <c r="D1811">
        <v>2</v>
      </c>
      <c r="E1811" s="1">
        <v>45699</v>
      </c>
      <c r="F1811" t="s">
        <v>988</v>
      </c>
      <c r="G1811">
        <v>2</v>
      </c>
      <c r="H1811" t="s">
        <v>569</v>
      </c>
      <c r="I1811" t="s">
        <v>570</v>
      </c>
      <c r="J1811" t="str">
        <f t="shared" si="84"/>
        <v>February</v>
      </c>
      <c r="K1811" t="str">
        <f t="shared" si="85"/>
        <v>Q1</v>
      </c>
      <c r="L1811">
        <f t="shared" si="86"/>
        <v>2025</v>
      </c>
    </row>
    <row r="1812" spans="1:12" x14ac:dyDescent="0.3">
      <c r="A1812" t="s">
        <v>3058</v>
      </c>
      <c r="B1812" t="s">
        <v>3059</v>
      </c>
      <c r="C1812" t="s">
        <v>156</v>
      </c>
      <c r="D1812">
        <v>1</v>
      </c>
      <c r="E1812" s="1">
        <v>45734</v>
      </c>
      <c r="F1812" t="s">
        <v>766</v>
      </c>
      <c r="G1812">
        <v>1</v>
      </c>
      <c r="H1812" t="s">
        <v>569</v>
      </c>
      <c r="I1812" t="s">
        <v>570</v>
      </c>
      <c r="J1812" t="str">
        <f t="shared" si="84"/>
        <v>March</v>
      </c>
      <c r="K1812" t="str">
        <f t="shared" si="85"/>
        <v>Q1</v>
      </c>
      <c r="L1812">
        <f t="shared" si="86"/>
        <v>2025</v>
      </c>
    </row>
    <row r="1813" spans="1:12" x14ac:dyDescent="0.3">
      <c r="A1813" t="s">
        <v>3060</v>
      </c>
      <c r="B1813" t="s">
        <v>3061</v>
      </c>
      <c r="C1813" t="s">
        <v>240</v>
      </c>
      <c r="D1813">
        <v>1</v>
      </c>
      <c r="E1813" s="1">
        <v>45954</v>
      </c>
      <c r="F1813" t="s">
        <v>596</v>
      </c>
      <c r="G1813">
        <v>1</v>
      </c>
      <c r="H1813" t="s">
        <v>569</v>
      </c>
      <c r="I1813" t="s">
        <v>570</v>
      </c>
      <c r="J1813" t="str">
        <f t="shared" si="84"/>
        <v>October</v>
      </c>
      <c r="K1813" t="str">
        <f t="shared" si="85"/>
        <v>Q4</v>
      </c>
      <c r="L1813">
        <f t="shared" si="86"/>
        <v>2025</v>
      </c>
    </row>
    <row r="1814" spans="1:12" x14ac:dyDescent="0.3">
      <c r="A1814" t="s">
        <v>3062</v>
      </c>
      <c r="B1814" t="s">
        <v>3063</v>
      </c>
      <c r="C1814" t="s">
        <v>96</v>
      </c>
      <c r="D1814">
        <v>1</v>
      </c>
      <c r="E1814" s="1">
        <v>45877</v>
      </c>
      <c r="F1814" t="s">
        <v>577</v>
      </c>
      <c r="G1814">
        <v>1</v>
      </c>
      <c r="H1814" t="s">
        <v>569</v>
      </c>
      <c r="I1814" t="s">
        <v>570</v>
      </c>
      <c r="J1814" t="str">
        <f t="shared" si="84"/>
        <v>August</v>
      </c>
      <c r="K1814" t="str">
        <f t="shared" si="85"/>
        <v>Q3</v>
      </c>
      <c r="L1814">
        <f t="shared" si="86"/>
        <v>2025</v>
      </c>
    </row>
    <row r="1815" spans="1:12" x14ac:dyDescent="0.3">
      <c r="A1815" t="s">
        <v>3064</v>
      </c>
      <c r="B1815" t="s">
        <v>3063</v>
      </c>
      <c r="C1815" t="s">
        <v>96</v>
      </c>
      <c r="D1815">
        <v>2</v>
      </c>
      <c r="E1815" s="1">
        <v>45885</v>
      </c>
      <c r="F1815" t="s">
        <v>605</v>
      </c>
      <c r="G1815">
        <v>2</v>
      </c>
      <c r="H1815" t="s">
        <v>569</v>
      </c>
      <c r="I1815" t="s">
        <v>570</v>
      </c>
      <c r="J1815" t="str">
        <f t="shared" si="84"/>
        <v>August</v>
      </c>
      <c r="K1815" t="str">
        <f t="shared" si="85"/>
        <v>Q3</v>
      </c>
      <c r="L1815">
        <f t="shared" si="86"/>
        <v>2025</v>
      </c>
    </row>
    <row r="1816" spans="1:12" x14ac:dyDescent="0.3">
      <c r="A1816" t="s">
        <v>3065</v>
      </c>
      <c r="B1816" t="s">
        <v>3063</v>
      </c>
      <c r="C1816" t="s">
        <v>96</v>
      </c>
      <c r="D1816">
        <v>3</v>
      </c>
      <c r="E1816" s="1">
        <v>45889</v>
      </c>
      <c r="F1816" t="s">
        <v>625</v>
      </c>
      <c r="G1816">
        <v>1</v>
      </c>
      <c r="H1816" t="s">
        <v>569</v>
      </c>
      <c r="I1816" t="s">
        <v>570</v>
      </c>
      <c r="J1816" t="str">
        <f t="shared" si="84"/>
        <v>August</v>
      </c>
      <c r="K1816" t="str">
        <f t="shared" si="85"/>
        <v>Q3</v>
      </c>
      <c r="L1816">
        <f t="shared" si="86"/>
        <v>2025</v>
      </c>
    </row>
    <row r="1817" spans="1:12" x14ac:dyDescent="0.3">
      <c r="A1817" t="s">
        <v>3066</v>
      </c>
      <c r="B1817" t="s">
        <v>3067</v>
      </c>
      <c r="C1817" t="s">
        <v>147</v>
      </c>
      <c r="D1817">
        <v>1</v>
      </c>
      <c r="E1817" s="1">
        <v>45831</v>
      </c>
      <c r="G1817">
        <v>2</v>
      </c>
      <c r="H1817" t="s">
        <v>569</v>
      </c>
      <c r="I1817" t="s">
        <v>597</v>
      </c>
      <c r="J1817" t="str">
        <f t="shared" si="84"/>
        <v>June</v>
      </c>
      <c r="K1817" t="str">
        <f t="shared" si="85"/>
        <v>Q2</v>
      </c>
      <c r="L1817">
        <f t="shared" si="86"/>
        <v>2025</v>
      </c>
    </row>
    <row r="1818" spans="1:12" x14ac:dyDescent="0.3">
      <c r="A1818" t="s">
        <v>3068</v>
      </c>
      <c r="B1818" t="s">
        <v>3067</v>
      </c>
      <c r="C1818" t="s">
        <v>147</v>
      </c>
      <c r="D1818">
        <v>2</v>
      </c>
      <c r="E1818" s="1">
        <v>45842</v>
      </c>
      <c r="F1818" t="s">
        <v>663</v>
      </c>
      <c r="G1818">
        <v>3</v>
      </c>
      <c r="H1818" t="s">
        <v>578</v>
      </c>
      <c r="I1818" t="s">
        <v>570</v>
      </c>
      <c r="J1818" t="str">
        <f t="shared" si="84"/>
        <v>July</v>
      </c>
      <c r="K1818" t="str">
        <f t="shared" si="85"/>
        <v>Q3</v>
      </c>
      <c r="L1818">
        <f t="shared" si="86"/>
        <v>2025</v>
      </c>
    </row>
    <row r="1819" spans="1:12" x14ac:dyDescent="0.3">
      <c r="A1819" t="s">
        <v>3069</v>
      </c>
      <c r="B1819" t="s">
        <v>521</v>
      </c>
      <c r="C1819" t="s">
        <v>240</v>
      </c>
      <c r="D1819">
        <v>1</v>
      </c>
      <c r="E1819" s="1">
        <v>45954</v>
      </c>
      <c r="F1819" t="s">
        <v>568</v>
      </c>
      <c r="G1819">
        <v>2</v>
      </c>
      <c r="H1819" t="s">
        <v>569</v>
      </c>
      <c r="I1819" t="s">
        <v>570</v>
      </c>
      <c r="J1819" t="str">
        <f t="shared" si="84"/>
        <v>October</v>
      </c>
      <c r="K1819" t="str">
        <f t="shared" si="85"/>
        <v>Q4</v>
      </c>
      <c r="L1819">
        <f t="shared" si="86"/>
        <v>2025</v>
      </c>
    </row>
    <row r="1820" spans="1:12" x14ac:dyDescent="0.3">
      <c r="A1820" t="s">
        <v>3070</v>
      </c>
      <c r="B1820" t="s">
        <v>521</v>
      </c>
      <c r="C1820" t="s">
        <v>240</v>
      </c>
      <c r="D1820">
        <v>2</v>
      </c>
      <c r="E1820" s="1">
        <v>45965</v>
      </c>
      <c r="F1820" t="s">
        <v>568</v>
      </c>
      <c r="G1820">
        <v>4</v>
      </c>
      <c r="H1820" t="s">
        <v>581</v>
      </c>
      <c r="I1820" t="s">
        <v>570</v>
      </c>
      <c r="J1820" t="str">
        <f t="shared" si="84"/>
        <v>November</v>
      </c>
      <c r="K1820" t="str">
        <f t="shared" si="85"/>
        <v>Q4</v>
      </c>
      <c r="L1820">
        <f t="shared" si="86"/>
        <v>2025</v>
      </c>
    </row>
    <row r="1821" spans="1:12" x14ac:dyDescent="0.3">
      <c r="A1821" t="s">
        <v>3071</v>
      </c>
      <c r="B1821" t="s">
        <v>445</v>
      </c>
      <c r="C1821" t="s">
        <v>37</v>
      </c>
      <c r="D1821">
        <v>1</v>
      </c>
      <c r="E1821" s="1">
        <v>45720</v>
      </c>
      <c r="F1821" t="s">
        <v>580</v>
      </c>
      <c r="G1821">
        <v>2</v>
      </c>
      <c r="H1821" t="s">
        <v>569</v>
      </c>
      <c r="I1821" t="s">
        <v>570</v>
      </c>
      <c r="J1821" t="str">
        <f t="shared" si="84"/>
        <v>March</v>
      </c>
      <c r="K1821" t="str">
        <f t="shared" si="85"/>
        <v>Q1</v>
      </c>
      <c r="L1821">
        <f t="shared" si="86"/>
        <v>2025</v>
      </c>
    </row>
    <row r="1822" spans="1:12" x14ac:dyDescent="0.3">
      <c r="A1822" t="s">
        <v>3072</v>
      </c>
      <c r="B1822" t="s">
        <v>445</v>
      </c>
      <c r="C1822" t="s">
        <v>37</v>
      </c>
      <c r="D1822">
        <v>2</v>
      </c>
      <c r="E1822" s="1">
        <v>45730</v>
      </c>
      <c r="F1822" t="s">
        <v>572</v>
      </c>
      <c r="G1822">
        <v>4</v>
      </c>
      <c r="H1822" t="s">
        <v>581</v>
      </c>
      <c r="I1822" t="s">
        <v>570</v>
      </c>
      <c r="J1822" t="str">
        <f t="shared" si="84"/>
        <v>March</v>
      </c>
      <c r="K1822" t="str">
        <f t="shared" si="85"/>
        <v>Q1</v>
      </c>
      <c r="L1822">
        <f t="shared" si="86"/>
        <v>2025</v>
      </c>
    </row>
    <row r="1823" spans="1:12" x14ac:dyDescent="0.3">
      <c r="A1823" t="s">
        <v>3073</v>
      </c>
      <c r="B1823" t="s">
        <v>445</v>
      </c>
      <c r="C1823" t="s">
        <v>37</v>
      </c>
      <c r="D1823">
        <v>3</v>
      </c>
      <c r="E1823" s="1">
        <v>45740</v>
      </c>
      <c r="F1823" t="s">
        <v>580</v>
      </c>
      <c r="G1823">
        <v>3</v>
      </c>
      <c r="H1823" t="s">
        <v>578</v>
      </c>
      <c r="I1823" t="s">
        <v>570</v>
      </c>
      <c r="J1823" t="str">
        <f t="shared" si="84"/>
        <v>March</v>
      </c>
      <c r="K1823" t="str">
        <f t="shared" si="85"/>
        <v>Q1</v>
      </c>
      <c r="L1823">
        <f t="shared" si="86"/>
        <v>2025</v>
      </c>
    </row>
    <row r="1824" spans="1:12" x14ac:dyDescent="0.3">
      <c r="A1824" t="s">
        <v>3074</v>
      </c>
      <c r="B1824" t="s">
        <v>445</v>
      </c>
      <c r="C1824" t="s">
        <v>37</v>
      </c>
      <c r="D1824">
        <v>4</v>
      </c>
      <c r="E1824" s="1">
        <v>45745</v>
      </c>
      <c r="F1824" t="s">
        <v>663</v>
      </c>
      <c r="G1824">
        <v>4</v>
      </c>
      <c r="H1824" t="s">
        <v>581</v>
      </c>
      <c r="I1824" t="s">
        <v>570</v>
      </c>
      <c r="J1824" t="str">
        <f t="shared" si="84"/>
        <v>March</v>
      </c>
      <c r="K1824" t="str">
        <f t="shared" si="85"/>
        <v>Q1</v>
      </c>
      <c r="L1824">
        <f t="shared" si="86"/>
        <v>2025</v>
      </c>
    </row>
    <row r="1825" spans="1:12" x14ac:dyDescent="0.3">
      <c r="A1825" t="s">
        <v>3075</v>
      </c>
      <c r="B1825" t="s">
        <v>72</v>
      </c>
      <c r="C1825" t="s">
        <v>73</v>
      </c>
      <c r="D1825">
        <v>1</v>
      </c>
      <c r="E1825" s="1">
        <v>45802</v>
      </c>
      <c r="F1825" t="s">
        <v>988</v>
      </c>
      <c r="G1825">
        <v>3</v>
      </c>
      <c r="H1825" t="s">
        <v>578</v>
      </c>
      <c r="I1825" t="s">
        <v>570</v>
      </c>
      <c r="J1825" t="str">
        <f t="shared" si="84"/>
        <v>May</v>
      </c>
      <c r="K1825" t="str">
        <f t="shared" si="85"/>
        <v>Q2</v>
      </c>
      <c r="L1825">
        <f t="shared" si="86"/>
        <v>2025</v>
      </c>
    </row>
    <row r="1826" spans="1:12" x14ac:dyDescent="0.3">
      <c r="A1826" t="s">
        <v>3076</v>
      </c>
      <c r="B1826" t="s">
        <v>72</v>
      </c>
      <c r="C1826" t="s">
        <v>73</v>
      </c>
      <c r="D1826">
        <v>2</v>
      </c>
      <c r="E1826" s="1">
        <v>45810</v>
      </c>
      <c r="F1826" t="s">
        <v>741</v>
      </c>
      <c r="G1826">
        <v>3</v>
      </c>
      <c r="H1826" t="s">
        <v>578</v>
      </c>
      <c r="I1826" t="s">
        <v>597</v>
      </c>
      <c r="J1826" t="str">
        <f t="shared" si="84"/>
        <v>June</v>
      </c>
      <c r="K1826" t="str">
        <f t="shared" si="85"/>
        <v>Q2</v>
      </c>
      <c r="L1826">
        <f t="shared" si="86"/>
        <v>2025</v>
      </c>
    </row>
    <row r="1827" spans="1:12" x14ac:dyDescent="0.3">
      <c r="A1827" t="s">
        <v>3077</v>
      </c>
      <c r="B1827" t="s">
        <v>72</v>
      </c>
      <c r="C1827" t="s">
        <v>73</v>
      </c>
      <c r="D1827">
        <v>3</v>
      </c>
      <c r="E1827" s="1">
        <v>45820</v>
      </c>
      <c r="F1827" t="s">
        <v>743</v>
      </c>
      <c r="G1827">
        <v>4</v>
      </c>
      <c r="H1827" t="s">
        <v>581</v>
      </c>
      <c r="I1827" t="s">
        <v>570</v>
      </c>
      <c r="J1827" t="str">
        <f t="shared" si="84"/>
        <v>June</v>
      </c>
      <c r="K1827" t="str">
        <f t="shared" si="85"/>
        <v>Q2</v>
      </c>
      <c r="L1827">
        <f t="shared" si="86"/>
        <v>2025</v>
      </c>
    </row>
    <row r="1828" spans="1:12" x14ac:dyDescent="0.3">
      <c r="A1828" t="s">
        <v>3078</v>
      </c>
      <c r="B1828" t="s">
        <v>72</v>
      </c>
      <c r="C1828" t="s">
        <v>73</v>
      </c>
      <c r="D1828">
        <v>4</v>
      </c>
      <c r="E1828" s="1">
        <v>45832</v>
      </c>
      <c r="F1828" t="s">
        <v>621</v>
      </c>
      <c r="G1828">
        <v>4</v>
      </c>
      <c r="H1828" t="s">
        <v>581</v>
      </c>
      <c r="I1828" t="s">
        <v>570</v>
      </c>
      <c r="J1828" t="str">
        <f t="shared" si="84"/>
        <v>June</v>
      </c>
      <c r="K1828" t="str">
        <f t="shared" si="85"/>
        <v>Q2</v>
      </c>
      <c r="L1828">
        <f t="shared" si="86"/>
        <v>2025</v>
      </c>
    </row>
    <row r="1829" spans="1:12" x14ac:dyDescent="0.3">
      <c r="A1829" t="s">
        <v>3079</v>
      </c>
      <c r="B1829" t="s">
        <v>3080</v>
      </c>
      <c r="C1829" t="s">
        <v>187</v>
      </c>
      <c r="D1829">
        <v>1</v>
      </c>
      <c r="E1829" s="1">
        <v>45835</v>
      </c>
      <c r="G1829">
        <v>1</v>
      </c>
      <c r="H1829" t="s">
        <v>569</v>
      </c>
      <c r="I1829" t="s">
        <v>570</v>
      </c>
      <c r="J1829" t="str">
        <f t="shared" si="84"/>
        <v>June</v>
      </c>
      <c r="K1829" t="str">
        <f t="shared" si="85"/>
        <v>Q2</v>
      </c>
      <c r="L1829">
        <f t="shared" si="86"/>
        <v>2025</v>
      </c>
    </row>
    <row r="1830" spans="1:12" x14ac:dyDescent="0.3">
      <c r="A1830" t="s">
        <v>3081</v>
      </c>
      <c r="B1830" t="s">
        <v>3080</v>
      </c>
      <c r="C1830" t="s">
        <v>187</v>
      </c>
      <c r="D1830">
        <v>2</v>
      </c>
      <c r="E1830" s="1">
        <v>45845</v>
      </c>
      <c r="F1830" t="s">
        <v>621</v>
      </c>
      <c r="G1830">
        <v>1</v>
      </c>
      <c r="H1830" t="s">
        <v>569</v>
      </c>
      <c r="I1830" t="s">
        <v>570</v>
      </c>
      <c r="J1830" t="str">
        <f t="shared" si="84"/>
        <v>July</v>
      </c>
      <c r="K1830" t="str">
        <f t="shared" si="85"/>
        <v>Q3</v>
      </c>
      <c r="L1830">
        <f t="shared" si="86"/>
        <v>2025</v>
      </c>
    </row>
    <row r="1831" spans="1:12" x14ac:dyDescent="0.3">
      <c r="A1831" t="s">
        <v>3082</v>
      </c>
      <c r="B1831" t="s">
        <v>3080</v>
      </c>
      <c r="C1831" t="s">
        <v>187</v>
      </c>
      <c r="D1831">
        <v>3</v>
      </c>
      <c r="E1831" s="1">
        <v>45856</v>
      </c>
      <c r="F1831" t="s">
        <v>596</v>
      </c>
      <c r="G1831">
        <v>3</v>
      </c>
      <c r="H1831" t="s">
        <v>578</v>
      </c>
      <c r="I1831" t="s">
        <v>570</v>
      </c>
      <c r="J1831" t="str">
        <f t="shared" si="84"/>
        <v>July</v>
      </c>
      <c r="K1831" t="str">
        <f t="shared" si="85"/>
        <v>Q3</v>
      </c>
      <c r="L1831">
        <f t="shared" si="86"/>
        <v>2025</v>
      </c>
    </row>
    <row r="1832" spans="1:12" x14ac:dyDescent="0.3">
      <c r="A1832" t="s">
        <v>3083</v>
      </c>
      <c r="B1832" t="s">
        <v>380</v>
      </c>
      <c r="C1832" t="s">
        <v>78</v>
      </c>
      <c r="D1832">
        <v>1</v>
      </c>
      <c r="E1832" s="1">
        <v>45905</v>
      </c>
      <c r="F1832" t="s">
        <v>663</v>
      </c>
      <c r="G1832">
        <v>5</v>
      </c>
      <c r="H1832" t="s">
        <v>581</v>
      </c>
      <c r="I1832" t="s">
        <v>570</v>
      </c>
      <c r="J1832" t="str">
        <f t="shared" si="84"/>
        <v>September</v>
      </c>
      <c r="K1832" t="str">
        <f t="shared" si="85"/>
        <v>Q3</v>
      </c>
      <c r="L1832">
        <f t="shared" si="86"/>
        <v>2025</v>
      </c>
    </row>
    <row r="1833" spans="1:12" x14ac:dyDescent="0.3">
      <c r="A1833" t="s">
        <v>3084</v>
      </c>
      <c r="B1833" t="s">
        <v>323</v>
      </c>
      <c r="C1833" t="s">
        <v>65</v>
      </c>
      <c r="D1833">
        <v>1</v>
      </c>
      <c r="E1833" s="1">
        <v>45936</v>
      </c>
      <c r="F1833" t="s">
        <v>580</v>
      </c>
      <c r="G1833">
        <v>3</v>
      </c>
      <c r="H1833" t="s">
        <v>578</v>
      </c>
      <c r="I1833" t="s">
        <v>570</v>
      </c>
      <c r="J1833" t="str">
        <f t="shared" si="84"/>
        <v>October</v>
      </c>
      <c r="K1833" t="str">
        <f t="shared" si="85"/>
        <v>Q4</v>
      </c>
      <c r="L1833">
        <f t="shared" si="86"/>
        <v>2025</v>
      </c>
    </row>
    <row r="1834" spans="1:12" x14ac:dyDescent="0.3">
      <c r="A1834" t="s">
        <v>3085</v>
      </c>
      <c r="B1834" t="s">
        <v>323</v>
      </c>
      <c r="C1834" t="s">
        <v>65</v>
      </c>
      <c r="D1834">
        <v>2</v>
      </c>
      <c r="E1834" s="1">
        <v>45941</v>
      </c>
      <c r="F1834" t="s">
        <v>580</v>
      </c>
      <c r="G1834">
        <v>5</v>
      </c>
      <c r="H1834" t="s">
        <v>581</v>
      </c>
      <c r="I1834" t="s">
        <v>570</v>
      </c>
      <c r="J1834" t="str">
        <f t="shared" si="84"/>
        <v>October</v>
      </c>
      <c r="K1834" t="str">
        <f t="shared" si="85"/>
        <v>Q4</v>
      </c>
      <c r="L1834">
        <f t="shared" si="86"/>
        <v>2025</v>
      </c>
    </row>
    <row r="1835" spans="1:12" x14ac:dyDescent="0.3">
      <c r="A1835" t="s">
        <v>3086</v>
      </c>
      <c r="B1835" t="s">
        <v>3087</v>
      </c>
      <c r="C1835" t="s">
        <v>156</v>
      </c>
      <c r="D1835">
        <v>1</v>
      </c>
      <c r="E1835" s="1">
        <v>45734</v>
      </c>
      <c r="F1835" t="s">
        <v>638</v>
      </c>
      <c r="G1835">
        <v>3</v>
      </c>
      <c r="H1835" t="s">
        <v>578</v>
      </c>
      <c r="I1835" t="s">
        <v>570</v>
      </c>
      <c r="J1835" t="str">
        <f t="shared" si="84"/>
        <v>March</v>
      </c>
      <c r="K1835" t="str">
        <f t="shared" si="85"/>
        <v>Q1</v>
      </c>
      <c r="L1835">
        <f t="shared" si="86"/>
        <v>2025</v>
      </c>
    </row>
    <row r="1836" spans="1:12" x14ac:dyDescent="0.3">
      <c r="A1836" t="s">
        <v>3088</v>
      </c>
      <c r="B1836" t="s">
        <v>3087</v>
      </c>
      <c r="C1836" t="s">
        <v>156</v>
      </c>
      <c r="D1836">
        <v>2</v>
      </c>
      <c r="E1836" s="1">
        <v>45742</v>
      </c>
      <c r="F1836" t="s">
        <v>741</v>
      </c>
      <c r="G1836">
        <v>3</v>
      </c>
      <c r="H1836" t="s">
        <v>578</v>
      </c>
      <c r="I1836" t="s">
        <v>570</v>
      </c>
      <c r="J1836" t="str">
        <f t="shared" si="84"/>
        <v>March</v>
      </c>
      <c r="K1836" t="str">
        <f t="shared" si="85"/>
        <v>Q1</v>
      </c>
      <c r="L1836">
        <f t="shared" si="86"/>
        <v>2025</v>
      </c>
    </row>
    <row r="1837" spans="1:12" x14ac:dyDescent="0.3">
      <c r="A1837" t="s">
        <v>3089</v>
      </c>
      <c r="B1837" t="s">
        <v>3090</v>
      </c>
      <c r="C1837" t="s">
        <v>45</v>
      </c>
      <c r="D1837">
        <v>1</v>
      </c>
      <c r="E1837" s="1">
        <v>45861</v>
      </c>
      <c r="F1837" t="s">
        <v>590</v>
      </c>
      <c r="G1837">
        <v>2</v>
      </c>
      <c r="H1837" t="s">
        <v>569</v>
      </c>
      <c r="I1837" t="s">
        <v>570</v>
      </c>
      <c r="J1837" t="str">
        <f t="shared" si="84"/>
        <v>July</v>
      </c>
      <c r="K1837" t="str">
        <f t="shared" si="85"/>
        <v>Q3</v>
      </c>
      <c r="L1837">
        <f t="shared" si="86"/>
        <v>2025</v>
      </c>
    </row>
    <row r="1838" spans="1:12" x14ac:dyDescent="0.3">
      <c r="A1838" t="s">
        <v>3091</v>
      </c>
      <c r="B1838" t="s">
        <v>3090</v>
      </c>
      <c r="C1838" t="s">
        <v>45</v>
      </c>
      <c r="D1838">
        <v>2</v>
      </c>
      <c r="E1838" s="1">
        <v>45867</v>
      </c>
      <c r="F1838" t="s">
        <v>590</v>
      </c>
      <c r="G1838">
        <v>2</v>
      </c>
      <c r="H1838" t="s">
        <v>569</v>
      </c>
      <c r="I1838" t="s">
        <v>570</v>
      </c>
      <c r="J1838" t="str">
        <f t="shared" si="84"/>
        <v>July</v>
      </c>
      <c r="K1838" t="str">
        <f t="shared" si="85"/>
        <v>Q3</v>
      </c>
      <c r="L1838">
        <f t="shared" si="86"/>
        <v>2025</v>
      </c>
    </row>
    <row r="1839" spans="1:12" x14ac:dyDescent="0.3">
      <c r="A1839" t="s">
        <v>3092</v>
      </c>
      <c r="B1839" t="s">
        <v>3090</v>
      </c>
      <c r="C1839" t="s">
        <v>45</v>
      </c>
      <c r="D1839">
        <v>3</v>
      </c>
      <c r="E1839" s="1">
        <v>45872</v>
      </c>
      <c r="F1839" t="s">
        <v>592</v>
      </c>
      <c r="G1839">
        <v>1</v>
      </c>
      <c r="H1839" t="s">
        <v>569</v>
      </c>
      <c r="I1839" t="s">
        <v>570</v>
      </c>
      <c r="J1839" t="str">
        <f t="shared" si="84"/>
        <v>August</v>
      </c>
      <c r="K1839" t="str">
        <f t="shared" si="85"/>
        <v>Q3</v>
      </c>
      <c r="L1839">
        <f t="shared" si="86"/>
        <v>2025</v>
      </c>
    </row>
    <row r="1840" spans="1:12" x14ac:dyDescent="0.3">
      <c r="A1840" t="s">
        <v>3093</v>
      </c>
      <c r="B1840" t="s">
        <v>3094</v>
      </c>
      <c r="C1840" t="s">
        <v>191</v>
      </c>
      <c r="D1840">
        <v>1</v>
      </c>
      <c r="E1840" s="1">
        <v>45678</v>
      </c>
      <c r="F1840" t="s">
        <v>741</v>
      </c>
      <c r="G1840">
        <v>2</v>
      </c>
      <c r="H1840" t="s">
        <v>569</v>
      </c>
      <c r="I1840" t="s">
        <v>570</v>
      </c>
      <c r="J1840" t="str">
        <f t="shared" si="84"/>
        <v>January</v>
      </c>
      <c r="K1840" t="str">
        <f t="shared" si="85"/>
        <v>Q1</v>
      </c>
      <c r="L1840">
        <f t="shared" si="86"/>
        <v>2025</v>
      </c>
    </row>
    <row r="1841" spans="1:12" x14ac:dyDescent="0.3">
      <c r="A1841" t="s">
        <v>3095</v>
      </c>
      <c r="B1841" t="s">
        <v>3094</v>
      </c>
      <c r="C1841" t="s">
        <v>191</v>
      </c>
      <c r="D1841">
        <v>2</v>
      </c>
      <c r="E1841" s="1">
        <v>45689</v>
      </c>
      <c r="F1841" t="s">
        <v>743</v>
      </c>
      <c r="G1841">
        <v>3</v>
      </c>
      <c r="H1841" t="s">
        <v>578</v>
      </c>
      <c r="I1841" t="s">
        <v>570</v>
      </c>
      <c r="J1841" t="str">
        <f t="shared" si="84"/>
        <v>February</v>
      </c>
      <c r="K1841" t="str">
        <f t="shared" si="85"/>
        <v>Q1</v>
      </c>
      <c r="L1841">
        <f t="shared" si="86"/>
        <v>2025</v>
      </c>
    </row>
    <row r="1842" spans="1:12" x14ac:dyDescent="0.3">
      <c r="A1842" t="s">
        <v>3096</v>
      </c>
      <c r="B1842" t="s">
        <v>3097</v>
      </c>
      <c r="C1842" t="s">
        <v>45</v>
      </c>
      <c r="D1842">
        <v>1</v>
      </c>
      <c r="E1842" s="1">
        <v>45856</v>
      </c>
      <c r="F1842" t="s">
        <v>766</v>
      </c>
      <c r="G1842">
        <v>3</v>
      </c>
      <c r="H1842" t="s">
        <v>578</v>
      </c>
      <c r="I1842" t="s">
        <v>570</v>
      </c>
      <c r="J1842" t="str">
        <f t="shared" si="84"/>
        <v>July</v>
      </c>
      <c r="K1842" t="str">
        <f t="shared" si="85"/>
        <v>Q3</v>
      </c>
      <c r="L1842">
        <f t="shared" si="86"/>
        <v>2025</v>
      </c>
    </row>
    <row r="1843" spans="1:12" x14ac:dyDescent="0.3">
      <c r="A1843" t="s">
        <v>3098</v>
      </c>
      <c r="B1843" t="s">
        <v>3097</v>
      </c>
      <c r="C1843" t="s">
        <v>45</v>
      </c>
      <c r="D1843">
        <v>2</v>
      </c>
      <c r="E1843" s="1">
        <v>45862</v>
      </c>
      <c r="F1843" t="s">
        <v>580</v>
      </c>
      <c r="G1843">
        <v>4</v>
      </c>
      <c r="H1843" t="s">
        <v>581</v>
      </c>
      <c r="I1843" t="s">
        <v>570</v>
      </c>
      <c r="J1843" t="str">
        <f t="shared" si="84"/>
        <v>July</v>
      </c>
      <c r="K1843" t="str">
        <f t="shared" si="85"/>
        <v>Q3</v>
      </c>
      <c r="L1843">
        <f t="shared" si="86"/>
        <v>2025</v>
      </c>
    </row>
    <row r="1844" spans="1:12" x14ac:dyDescent="0.3">
      <c r="A1844" t="s">
        <v>3099</v>
      </c>
      <c r="B1844" t="s">
        <v>3097</v>
      </c>
      <c r="C1844" t="s">
        <v>45</v>
      </c>
      <c r="D1844">
        <v>3</v>
      </c>
      <c r="E1844" s="1">
        <v>45868</v>
      </c>
      <c r="F1844" t="s">
        <v>741</v>
      </c>
      <c r="G1844">
        <v>3</v>
      </c>
      <c r="H1844" t="s">
        <v>578</v>
      </c>
      <c r="I1844" t="s">
        <v>570</v>
      </c>
      <c r="J1844" t="str">
        <f t="shared" si="84"/>
        <v>July</v>
      </c>
      <c r="K1844" t="str">
        <f t="shared" si="85"/>
        <v>Q3</v>
      </c>
      <c r="L1844">
        <f t="shared" si="86"/>
        <v>2025</v>
      </c>
    </row>
    <row r="1845" spans="1:12" x14ac:dyDescent="0.3">
      <c r="A1845" t="s">
        <v>3100</v>
      </c>
      <c r="B1845" t="s">
        <v>3097</v>
      </c>
      <c r="C1845" t="s">
        <v>45</v>
      </c>
      <c r="D1845">
        <v>4</v>
      </c>
      <c r="E1845" s="1">
        <v>45875</v>
      </c>
      <c r="F1845" t="s">
        <v>580</v>
      </c>
      <c r="G1845">
        <v>4</v>
      </c>
      <c r="H1845" t="s">
        <v>581</v>
      </c>
      <c r="I1845" t="s">
        <v>570</v>
      </c>
      <c r="J1845" t="str">
        <f t="shared" si="84"/>
        <v>August</v>
      </c>
      <c r="K1845" t="str">
        <f t="shared" si="85"/>
        <v>Q3</v>
      </c>
      <c r="L1845">
        <f t="shared" si="86"/>
        <v>2025</v>
      </c>
    </row>
    <row r="1846" spans="1:12" x14ac:dyDescent="0.3">
      <c r="A1846" t="s">
        <v>3101</v>
      </c>
      <c r="B1846" t="s">
        <v>3102</v>
      </c>
      <c r="C1846" t="s">
        <v>88</v>
      </c>
      <c r="D1846">
        <v>1</v>
      </c>
      <c r="E1846" s="1">
        <v>45756</v>
      </c>
      <c r="G1846">
        <v>3</v>
      </c>
      <c r="H1846" t="s">
        <v>578</v>
      </c>
      <c r="I1846" t="s">
        <v>570</v>
      </c>
      <c r="J1846" t="str">
        <f t="shared" si="84"/>
        <v>April</v>
      </c>
      <c r="K1846" t="str">
        <f t="shared" si="85"/>
        <v>Q2</v>
      </c>
      <c r="L1846">
        <f t="shared" si="86"/>
        <v>2025</v>
      </c>
    </row>
    <row r="1847" spans="1:12" x14ac:dyDescent="0.3">
      <c r="A1847" t="s">
        <v>3103</v>
      </c>
      <c r="B1847" t="s">
        <v>3102</v>
      </c>
      <c r="C1847" t="s">
        <v>88</v>
      </c>
      <c r="D1847">
        <v>2</v>
      </c>
      <c r="E1847" s="1">
        <v>45763</v>
      </c>
      <c r="F1847" t="s">
        <v>575</v>
      </c>
      <c r="G1847">
        <v>2</v>
      </c>
      <c r="H1847" t="s">
        <v>569</v>
      </c>
      <c r="I1847" t="s">
        <v>570</v>
      </c>
      <c r="J1847" t="str">
        <f t="shared" si="84"/>
        <v>April</v>
      </c>
      <c r="K1847" t="str">
        <f t="shared" si="85"/>
        <v>Q2</v>
      </c>
      <c r="L1847">
        <f t="shared" si="86"/>
        <v>2025</v>
      </c>
    </row>
    <row r="1848" spans="1:12" x14ac:dyDescent="0.3">
      <c r="A1848" t="s">
        <v>3104</v>
      </c>
      <c r="B1848" t="s">
        <v>3102</v>
      </c>
      <c r="C1848" t="s">
        <v>88</v>
      </c>
      <c r="D1848">
        <v>3</v>
      </c>
      <c r="E1848" s="1">
        <v>45772</v>
      </c>
      <c r="F1848" t="s">
        <v>575</v>
      </c>
      <c r="G1848">
        <v>3</v>
      </c>
      <c r="H1848" t="s">
        <v>578</v>
      </c>
      <c r="I1848" t="s">
        <v>570</v>
      </c>
      <c r="J1848" t="str">
        <f t="shared" si="84"/>
        <v>April</v>
      </c>
      <c r="K1848" t="str">
        <f t="shared" si="85"/>
        <v>Q2</v>
      </c>
      <c r="L1848">
        <f t="shared" si="86"/>
        <v>2025</v>
      </c>
    </row>
    <row r="1849" spans="1:12" x14ac:dyDescent="0.3">
      <c r="A1849" t="s">
        <v>3105</v>
      </c>
      <c r="B1849" t="s">
        <v>3106</v>
      </c>
      <c r="C1849" t="s">
        <v>292</v>
      </c>
      <c r="D1849">
        <v>1</v>
      </c>
      <c r="E1849" s="1">
        <v>45724</v>
      </c>
      <c r="F1849" t="s">
        <v>572</v>
      </c>
      <c r="G1849">
        <v>1</v>
      </c>
      <c r="H1849" t="s">
        <v>569</v>
      </c>
      <c r="I1849" t="s">
        <v>570</v>
      </c>
      <c r="J1849" t="str">
        <f t="shared" si="84"/>
        <v>March</v>
      </c>
      <c r="K1849" t="str">
        <f t="shared" si="85"/>
        <v>Q1</v>
      </c>
      <c r="L1849">
        <f t="shared" si="86"/>
        <v>2025</v>
      </c>
    </row>
    <row r="1850" spans="1:12" x14ac:dyDescent="0.3">
      <c r="A1850" t="s">
        <v>3107</v>
      </c>
      <c r="B1850" t="s">
        <v>3106</v>
      </c>
      <c r="C1850" t="s">
        <v>292</v>
      </c>
      <c r="D1850">
        <v>2</v>
      </c>
      <c r="E1850" s="1">
        <v>45731</v>
      </c>
      <c r="F1850" t="s">
        <v>568</v>
      </c>
      <c r="G1850">
        <v>1</v>
      </c>
      <c r="H1850" t="s">
        <v>569</v>
      </c>
      <c r="I1850" t="s">
        <v>570</v>
      </c>
      <c r="J1850" t="str">
        <f t="shared" si="84"/>
        <v>March</v>
      </c>
      <c r="K1850" t="str">
        <f t="shared" si="85"/>
        <v>Q1</v>
      </c>
      <c r="L1850">
        <f t="shared" si="86"/>
        <v>2025</v>
      </c>
    </row>
    <row r="1851" spans="1:12" x14ac:dyDescent="0.3">
      <c r="A1851" t="s">
        <v>3108</v>
      </c>
      <c r="B1851" t="s">
        <v>3106</v>
      </c>
      <c r="C1851" t="s">
        <v>292</v>
      </c>
      <c r="D1851">
        <v>3</v>
      </c>
      <c r="E1851" s="1">
        <v>45741</v>
      </c>
      <c r="F1851" t="s">
        <v>568</v>
      </c>
      <c r="G1851">
        <v>2</v>
      </c>
      <c r="H1851" t="s">
        <v>569</v>
      </c>
      <c r="I1851" t="s">
        <v>570</v>
      </c>
      <c r="J1851" t="str">
        <f t="shared" si="84"/>
        <v>March</v>
      </c>
      <c r="K1851" t="str">
        <f t="shared" si="85"/>
        <v>Q1</v>
      </c>
      <c r="L1851">
        <f t="shared" si="86"/>
        <v>2025</v>
      </c>
    </row>
    <row r="1852" spans="1:12" x14ac:dyDescent="0.3">
      <c r="A1852" t="s">
        <v>3109</v>
      </c>
      <c r="B1852" t="s">
        <v>3110</v>
      </c>
      <c r="C1852" t="s">
        <v>99</v>
      </c>
      <c r="D1852">
        <v>1</v>
      </c>
      <c r="E1852" s="1">
        <v>45862</v>
      </c>
      <c r="F1852" t="s">
        <v>625</v>
      </c>
      <c r="G1852">
        <v>2</v>
      </c>
      <c r="H1852" t="s">
        <v>569</v>
      </c>
      <c r="I1852" t="s">
        <v>570</v>
      </c>
      <c r="J1852" t="str">
        <f t="shared" si="84"/>
        <v>July</v>
      </c>
      <c r="K1852" t="str">
        <f t="shared" si="85"/>
        <v>Q3</v>
      </c>
      <c r="L1852">
        <f t="shared" si="86"/>
        <v>2025</v>
      </c>
    </row>
    <row r="1853" spans="1:12" x14ac:dyDescent="0.3">
      <c r="A1853" t="s">
        <v>3111</v>
      </c>
      <c r="B1853" t="s">
        <v>3110</v>
      </c>
      <c r="C1853" t="s">
        <v>99</v>
      </c>
      <c r="D1853">
        <v>2</v>
      </c>
      <c r="E1853" s="1">
        <v>45868</v>
      </c>
      <c r="F1853" t="s">
        <v>649</v>
      </c>
      <c r="G1853">
        <v>1</v>
      </c>
      <c r="H1853" t="s">
        <v>569</v>
      </c>
      <c r="I1853" t="s">
        <v>570</v>
      </c>
      <c r="J1853" t="str">
        <f t="shared" si="84"/>
        <v>July</v>
      </c>
      <c r="K1853" t="str">
        <f t="shared" si="85"/>
        <v>Q3</v>
      </c>
      <c r="L1853">
        <f t="shared" si="86"/>
        <v>2025</v>
      </c>
    </row>
    <row r="1854" spans="1:12" x14ac:dyDescent="0.3">
      <c r="A1854" t="s">
        <v>3112</v>
      </c>
      <c r="B1854" t="s">
        <v>3110</v>
      </c>
      <c r="C1854" t="s">
        <v>99</v>
      </c>
      <c r="D1854">
        <v>3</v>
      </c>
      <c r="E1854" s="1">
        <v>45873</v>
      </c>
      <c r="F1854" t="s">
        <v>584</v>
      </c>
      <c r="G1854">
        <v>2</v>
      </c>
      <c r="H1854" t="s">
        <v>569</v>
      </c>
      <c r="I1854" t="s">
        <v>570</v>
      </c>
      <c r="J1854" t="str">
        <f t="shared" si="84"/>
        <v>August</v>
      </c>
      <c r="K1854" t="str">
        <f t="shared" si="85"/>
        <v>Q3</v>
      </c>
      <c r="L1854">
        <f t="shared" si="86"/>
        <v>2025</v>
      </c>
    </row>
    <row r="1855" spans="1:12" x14ac:dyDescent="0.3">
      <c r="A1855" t="s">
        <v>3113</v>
      </c>
      <c r="B1855" t="s">
        <v>3110</v>
      </c>
      <c r="C1855" t="s">
        <v>99</v>
      </c>
      <c r="D1855">
        <v>4</v>
      </c>
      <c r="E1855" s="1">
        <v>45882</v>
      </c>
      <c r="F1855" t="s">
        <v>670</v>
      </c>
      <c r="G1855">
        <v>3</v>
      </c>
      <c r="H1855" t="s">
        <v>578</v>
      </c>
      <c r="I1855" t="s">
        <v>570</v>
      </c>
      <c r="J1855" t="str">
        <f t="shared" si="84"/>
        <v>August</v>
      </c>
      <c r="K1855" t="str">
        <f t="shared" si="85"/>
        <v>Q3</v>
      </c>
      <c r="L1855">
        <f t="shared" si="86"/>
        <v>2025</v>
      </c>
    </row>
    <row r="1856" spans="1:12" x14ac:dyDescent="0.3">
      <c r="A1856" t="s">
        <v>3114</v>
      </c>
      <c r="B1856" t="s">
        <v>388</v>
      </c>
      <c r="C1856" t="s">
        <v>260</v>
      </c>
      <c r="D1856">
        <v>1</v>
      </c>
      <c r="E1856" s="1">
        <v>45739</v>
      </c>
      <c r="G1856">
        <v>4</v>
      </c>
      <c r="H1856" t="s">
        <v>581</v>
      </c>
      <c r="I1856" t="s">
        <v>570</v>
      </c>
      <c r="J1856" t="str">
        <f t="shared" si="84"/>
        <v>March</v>
      </c>
      <c r="K1856" t="str">
        <f t="shared" si="85"/>
        <v>Q1</v>
      </c>
      <c r="L1856">
        <f t="shared" si="86"/>
        <v>2025</v>
      </c>
    </row>
    <row r="1857" spans="1:12" x14ac:dyDescent="0.3">
      <c r="A1857" t="s">
        <v>3115</v>
      </c>
      <c r="B1857" t="s">
        <v>388</v>
      </c>
      <c r="C1857" t="s">
        <v>260</v>
      </c>
      <c r="D1857">
        <v>2</v>
      </c>
      <c r="E1857" s="1">
        <v>45744</v>
      </c>
      <c r="F1857" t="s">
        <v>612</v>
      </c>
      <c r="G1857">
        <v>4</v>
      </c>
      <c r="H1857" t="s">
        <v>581</v>
      </c>
      <c r="I1857" t="s">
        <v>570</v>
      </c>
      <c r="J1857" t="str">
        <f t="shared" si="84"/>
        <v>March</v>
      </c>
      <c r="K1857" t="str">
        <f t="shared" si="85"/>
        <v>Q1</v>
      </c>
      <c r="L1857">
        <f t="shared" si="86"/>
        <v>2025</v>
      </c>
    </row>
    <row r="1858" spans="1:12" x14ac:dyDescent="0.3">
      <c r="A1858" t="s">
        <v>3116</v>
      </c>
      <c r="B1858" t="s">
        <v>388</v>
      </c>
      <c r="C1858" t="s">
        <v>260</v>
      </c>
      <c r="D1858">
        <v>3</v>
      </c>
      <c r="E1858" s="1">
        <v>45750</v>
      </c>
      <c r="F1858" t="s">
        <v>572</v>
      </c>
      <c r="G1858">
        <v>4</v>
      </c>
      <c r="H1858" t="s">
        <v>581</v>
      </c>
      <c r="I1858" t="s">
        <v>570</v>
      </c>
      <c r="J1858" t="str">
        <f t="shared" ref="J1858:J1921" si="87">TEXT(E1858,"mmmm")</f>
        <v>April</v>
      </c>
      <c r="K1858" t="str">
        <f t="shared" ref="K1858:K1921" si="88">"Q"&amp;ROUNDUP(MONTH(E1858)/3,0)</f>
        <v>Q2</v>
      </c>
      <c r="L1858">
        <f t="shared" ref="L1858:L1921" si="89">YEAR(E1858)</f>
        <v>2025</v>
      </c>
    </row>
    <row r="1859" spans="1:12" x14ac:dyDescent="0.3">
      <c r="A1859" t="s">
        <v>3117</v>
      </c>
      <c r="B1859" t="s">
        <v>552</v>
      </c>
      <c r="C1859" t="s">
        <v>58</v>
      </c>
      <c r="D1859">
        <v>1</v>
      </c>
      <c r="E1859" s="1">
        <v>45812</v>
      </c>
      <c r="F1859" t="s">
        <v>603</v>
      </c>
      <c r="G1859">
        <v>2</v>
      </c>
      <c r="H1859" t="s">
        <v>569</v>
      </c>
      <c r="I1859" t="s">
        <v>570</v>
      </c>
      <c r="J1859" t="str">
        <f t="shared" si="87"/>
        <v>June</v>
      </c>
      <c r="K1859" t="str">
        <f t="shared" si="88"/>
        <v>Q2</v>
      </c>
      <c r="L1859">
        <f t="shared" si="89"/>
        <v>2025</v>
      </c>
    </row>
    <row r="1860" spans="1:12" x14ac:dyDescent="0.3">
      <c r="A1860" t="s">
        <v>3118</v>
      </c>
      <c r="B1860" t="s">
        <v>552</v>
      </c>
      <c r="C1860" t="s">
        <v>58</v>
      </c>
      <c r="D1860">
        <v>2</v>
      </c>
      <c r="E1860" s="1">
        <v>45821</v>
      </c>
      <c r="F1860" t="s">
        <v>572</v>
      </c>
      <c r="G1860">
        <v>3</v>
      </c>
      <c r="H1860" t="s">
        <v>578</v>
      </c>
      <c r="I1860" t="s">
        <v>570</v>
      </c>
      <c r="J1860" t="str">
        <f t="shared" si="87"/>
        <v>June</v>
      </c>
      <c r="K1860" t="str">
        <f t="shared" si="88"/>
        <v>Q2</v>
      </c>
      <c r="L1860">
        <f t="shared" si="89"/>
        <v>2025</v>
      </c>
    </row>
    <row r="1861" spans="1:12" x14ac:dyDescent="0.3">
      <c r="A1861" t="s">
        <v>3119</v>
      </c>
      <c r="B1861" t="s">
        <v>552</v>
      </c>
      <c r="C1861" t="s">
        <v>58</v>
      </c>
      <c r="D1861">
        <v>3</v>
      </c>
      <c r="E1861" s="1">
        <v>45829</v>
      </c>
      <c r="F1861" t="s">
        <v>612</v>
      </c>
      <c r="G1861">
        <v>4</v>
      </c>
      <c r="H1861" t="s">
        <v>581</v>
      </c>
      <c r="I1861" t="s">
        <v>570</v>
      </c>
      <c r="J1861" t="str">
        <f t="shared" si="87"/>
        <v>June</v>
      </c>
      <c r="K1861" t="str">
        <f t="shared" si="88"/>
        <v>Q2</v>
      </c>
      <c r="L1861">
        <f t="shared" si="89"/>
        <v>2025</v>
      </c>
    </row>
    <row r="1862" spans="1:12" x14ac:dyDescent="0.3">
      <c r="A1862" t="s">
        <v>3120</v>
      </c>
      <c r="B1862" t="s">
        <v>3121</v>
      </c>
      <c r="C1862" t="s">
        <v>108</v>
      </c>
      <c r="D1862">
        <v>1</v>
      </c>
      <c r="E1862" s="1">
        <v>45761</v>
      </c>
      <c r="F1862" t="s">
        <v>596</v>
      </c>
      <c r="G1862">
        <v>2</v>
      </c>
      <c r="H1862" t="s">
        <v>569</v>
      </c>
      <c r="I1862" t="s">
        <v>570</v>
      </c>
      <c r="J1862" t="str">
        <f t="shared" si="87"/>
        <v>April</v>
      </c>
      <c r="K1862" t="str">
        <f t="shared" si="88"/>
        <v>Q2</v>
      </c>
      <c r="L1862">
        <f t="shared" si="89"/>
        <v>2025</v>
      </c>
    </row>
    <row r="1863" spans="1:12" x14ac:dyDescent="0.3">
      <c r="A1863" t="s">
        <v>3122</v>
      </c>
      <c r="B1863" t="s">
        <v>3121</v>
      </c>
      <c r="C1863" t="s">
        <v>108</v>
      </c>
      <c r="D1863">
        <v>2</v>
      </c>
      <c r="E1863" s="1">
        <v>45772</v>
      </c>
      <c r="F1863" t="s">
        <v>577</v>
      </c>
      <c r="G1863">
        <v>3</v>
      </c>
      <c r="H1863" t="s">
        <v>578</v>
      </c>
      <c r="I1863" t="s">
        <v>570</v>
      </c>
      <c r="J1863" t="str">
        <f t="shared" si="87"/>
        <v>April</v>
      </c>
      <c r="K1863" t="str">
        <f t="shared" si="88"/>
        <v>Q2</v>
      </c>
      <c r="L1863">
        <f t="shared" si="89"/>
        <v>2025</v>
      </c>
    </row>
    <row r="1864" spans="1:12" x14ac:dyDescent="0.3">
      <c r="A1864" t="s">
        <v>3123</v>
      </c>
      <c r="B1864" t="s">
        <v>3124</v>
      </c>
      <c r="C1864" t="s">
        <v>183</v>
      </c>
      <c r="D1864">
        <v>1</v>
      </c>
      <c r="E1864" s="1">
        <v>45859</v>
      </c>
      <c r="F1864" t="s">
        <v>584</v>
      </c>
      <c r="G1864">
        <v>3</v>
      </c>
      <c r="H1864" t="s">
        <v>578</v>
      </c>
      <c r="I1864" t="s">
        <v>597</v>
      </c>
      <c r="J1864" t="str">
        <f t="shared" si="87"/>
        <v>July</v>
      </c>
      <c r="K1864" t="str">
        <f t="shared" si="88"/>
        <v>Q3</v>
      </c>
      <c r="L1864">
        <f t="shared" si="89"/>
        <v>2025</v>
      </c>
    </row>
    <row r="1865" spans="1:12" x14ac:dyDescent="0.3">
      <c r="A1865" t="s">
        <v>3125</v>
      </c>
      <c r="B1865" t="s">
        <v>3124</v>
      </c>
      <c r="C1865" t="s">
        <v>183</v>
      </c>
      <c r="D1865">
        <v>2</v>
      </c>
      <c r="E1865" s="1">
        <v>45864</v>
      </c>
      <c r="G1865">
        <v>2</v>
      </c>
      <c r="H1865" t="s">
        <v>569</v>
      </c>
      <c r="I1865" t="s">
        <v>570</v>
      </c>
      <c r="J1865" t="str">
        <f t="shared" si="87"/>
        <v>July</v>
      </c>
      <c r="K1865" t="str">
        <f t="shared" si="88"/>
        <v>Q3</v>
      </c>
      <c r="L1865">
        <f t="shared" si="89"/>
        <v>2025</v>
      </c>
    </row>
    <row r="1866" spans="1:12" x14ac:dyDescent="0.3">
      <c r="A1866" t="s">
        <v>3126</v>
      </c>
      <c r="B1866" t="s">
        <v>3124</v>
      </c>
      <c r="C1866" t="s">
        <v>183</v>
      </c>
      <c r="D1866">
        <v>3</v>
      </c>
      <c r="E1866" s="1">
        <v>45869</v>
      </c>
      <c r="F1866" t="s">
        <v>658</v>
      </c>
      <c r="G1866">
        <v>1</v>
      </c>
      <c r="H1866" t="s">
        <v>569</v>
      </c>
      <c r="I1866" t="s">
        <v>570</v>
      </c>
      <c r="J1866" t="str">
        <f t="shared" si="87"/>
        <v>July</v>
      </c>
      <c r="K1866" t="str">
        <f t="shared" si="88"/>
        <v>Q3</v>
      </c>
      <c r="L1866">
        <f t="shared" si="89"/>
        <v>2025</v>
      </c>
    </row>
    <row r="1867" spans="1:12" x14ac:dyDescent="0.3">
      <c r="A1867" t="s">
        <v>3127</v>
      </c>
      <c r="B1867" t="s">
        <v>3128</v>
      </c>
      <c r="C1867" t="s">
        <v>298</v>
      </c>
      <c r="D1867">
        <v>1</v>
      </c>
      <c r="E1867" s="1">
        <v>45897</v>
      </c>
      <c r="F1867" t="s">
        <v>656</v>
      </c>
      <c r="G1867">
        <v>1</v>
      </c>
      <c r="H1867" t="s">
        <v>569</v>
      </c>
      <c r="I1867" t="s">
        <v>570</v>
      </c>
      <c r="J1867" t="str">
        <f t="shared" si="87"/>
        <v>August</v>
      </c>
      <c r="K1867" t="str">
        <f t="shared" si="88"/>
        <v>Q3</v>
      </c>
      <c r="L1867">
        <f t="shared" si="89"/>
        <v>2025</v>
      </c>
    </row>
    <row r="1868" spans="1:12" x14ac:dyDescent="0.3">
      <c r="A1868" t="s">
        <v>3129</v>
      </c>
      <c r="B1868" t="s">
        <v>3128</v>
      </c>
      <c r="C1868" t="s">
        <v>298</v>
      </c>
      <c r="D1868">
        <v>2</v>
      </c>
      <c r="E1868" s="1">
        <v>45907</v>
      </c>
      <c r="F1868" t="s">
        <v>649</v>
      </c>
      <c r="G1868">
        <v>1</v>
      </c>
      <c r="H1868" t="s">
        <v>569</v>
      </c>
      <c r="I1868" t="s">
        <v>570</v>
      </c>
      <c r="J1868" t="str">
        <f t="shared" si="87"/>
        <v>September</v>
      </c>
      <c r="K1868" t="str">
        <f t="shared" si="88"/>
        <v>Q3</v>
      </c>
      <c r="L1868">
        <f t="shared" si="89"/>
        <v>2025</v>
      </c>
    </row>
    <row r="1869" spans="1:12" x14ac:dyDescent="0.3">
      <c r="A1869" t="s">
        <v>3130</v>
      </c>
      <c r="B1869" t="s">
        <v>36</v>
      </c>
      <c r="C1869" t="s">
        <v>37</v>
      </c>
      <c r="D1869">
        <v>1</v>
      </c>
      <c r="E1869" s="1">
        <v>45712</v>
      </c>
      <c r="F1869" t="s">
        <v>568</v>
      </c>
      <c r="G1869">
        <v>5</v>
      </c>
      <c r="H1869" t="s">
        <v>581</v>
      </c>
      <c r="I1869" t="s">
        <v>570</v>
      </c>
      <c r="J1869" t="str">
        <f t="shared" si="87"/>
        <v>February</v>
      </c>
      <c r="K1869" t="str">
        <f t="shared" si="88"/>
        <v>Q1</v>
      </c>
      <c r="L1869">
        <f t="shared" si="89"/>
        <v>2025</v>
      </c>
    </row>
    <row r="1870" spans="1:12" x14ac:dyDescent="0.3">
      <c r="A1870" t="s">
        <v>3131</v>
      </c>
      <c r="B1870" t="s">
        <v>36</v>
      </c>
      <c r="C1870" t="s">
        <v>37</v>
      </c>
      <c r="D1870">
        <v>2</v>
      </c>
      <c r="E1870" s="1">
        <v>45723</v>
      </c>
      <c r="F1870" t="s">
        <v>580</v>
      </c>
      <c r="G1870">
        <v>4</v>
      </c>
      <c r="H1870" t="s">
        <v>581</v>
      </c>
      <c r="I1870" t="s">
        <v>570</v>
      </c>
      <c r="J1870" t="str">
        <f t="shared" si="87"/>
        <v>March</v>
      </c>
      <c r="K1870" t="str">
        <f t="shared" si="88"/>
        <v>Q1</v>
      </c>
      <c r="L1870">
        <f t="shared" si="89"/>
        <v>2025</v>
      </c>
    </row>
    <row r="1871" spans="1:12" x14ac:dyDescent="0.3">
      <c r="A1871" t="s">
        <v>3132</v>
      </c>
      <c r="B1871" t="s">
        <v>36</v>
      </c>
      <c r="C1871" t="s">
        <v>37</v>
      </c>
      <c r="D1871">
        <v>3</v>
      </c>
      <c r="E1871" s="1">
        <v>45733</v>
      </c>
      <c r="F1871" t="s">
        <v>580</v>
      </c>
      <c r="G1871">
        <v>5</v>
      </c>
      <c r="H1871" t="s">
        <v>581</v>
      </c>
      <c r="I1871" t="s">
        <v>570</v>
      </c>
      <c r="J1871" t="str">
        <f t="shared" si="87"/>
        <v>March</v>
      </c>
      <c r="K1871" t="str">
        <f t="shared" si="88"/>
        <v>Q1</v>
      </c>
      <c r="L1871">
        <f t="shared" si="89"/>
        <v>2025</v>
      </c>
    </row>
    <row r="1872" spans="1:12" x14ac:dyDescent="0.3">
      <c r="A1872" t="s">
        <v>3133</v>
      </c>
      <c r="B1872" t="s">
        <v>3134</v>
      </c>
      <c r="C1872" t="s">
        <v>92</v>
      </c>
      <c r="D1872">
        <v>1</v>
      </c>
      <c r="E1872" s="1">
        <v>45768</v>
      </c>
      <c r="F1872" t="s">
        <v>612</v>
      </c>
      <c r="G1872">
        <v>3</v>
      </c>
      <c r="H1872" t="s">
        <v>578</v>
      </c>
      <c r="I1872" t="s">
        <v>570</v>
      </c>
      <c r="J1872" t="str">
        <f t="shared" si="87"/>
        <v>April</v>
      </c>
      <c r="K1872" t="str">
        <f t="shared" si="88"/>
        <v>Q2</v>
      </c>
      <c r="L1872">
        <f t="shared" si="89"/>
        <v>2025</v>
      </c>
    </row>
    <row r="1873" spans="1:12" x14ac:dyDescent="0.3">
      <c r="A1873" t="s">
        <v>3135</v>
      </c>
      <c r="B1873" t="s">
        <v>3136</v>
      </c>
      <c r="C1873" t="s">
        <v>99</v>
      </c>
      <c r="D1873">
        <v>1</v>
      </c>
      <c r="E1873" s="1">
        <v>45855</v>
      </c>
      <c r="F1873" t="s">
        <v>625</v>
      </c>
      <c r="G1873">
        <v>4</v>
      </c>
      <c r="H1873" t="s">
        <v>581</v>
      </c>
      <c r="I1873" t="s">
        <v>570</v>
      </c>
      <c r="J1873" t="str">
        <f t="shared" si="87"/>
        <v>July</v>
      </c>
      <c r="K1873" t="str">
        <f t="shared" si="88"/>
        <v>Q3</v>
      </c>
      <c r="L1873">
        <f t="shared" si="89"/>
        <v>2025</v>
      </c>
    </row>
    <row r="1874" spans="1:12" x14ac:dyDescent="0.3">
      <c r="A1874" t="s">
        <v>3137</v>
      </c>
      <c r="B1874" t="s">
        <v>359</v>
      </c>
      <c r="C1874" t="s">
        <v>240</v>
      </c>
      <c r="D1874">
        <v>1</v>
      </c>
      <c r="E1874" s="1">
        <v>45960</v>
      </c>
      <c r="F1874" t="s">
        <v>596</v>
      </c>
      <c r="G1874">
        <v>5</v>
      </c>
      <c r="H1874" t="s">
        <v>581</v>
      </c>
      <c r="I1874" t="s">
        <v>570</v>
      </c>
      <c r="J1874" t="str">
        <f t="shared" si="87"/>
        <v>October</v>
      </c>
      <c r="K1874" t="str">
        <f t="shared" si="88"/>
        <v>Q4</v>
      </c>
      <c r="L1874">
        <f t="shared" si="89"/>
        <v>2025</v>
      </c>
    </row>
    <row r="1875" spans="1:12" x14ac:dyDescent="0.3">
      <c r="A1875" t="s">
        <v>3138</v>
      </c>
      <c r="B1875" t="s">
        <v>359</v>
      </c>
      <c r="C1875" t="s">
        <v>240</v>
      </c>
      <c r="D1875">
        <v>2</v>
      </c>
      <c r="E1875" s="1">
        <v>45972</v>
      </c>
      <c r="F1875" t="s">
        <v>596</v>
      </c>
      <c r="G1875">
        <v>3</v>
      </c>
      <c r="H1875" t="s">
        <v>578</v>
      </c>
      <c r="I1875" t="s">
        <v>570</v>
      </c>
      <c r="J1875" t="str">
        <f t="shared" si="87"/>
        <v>November</v>
      </c>
      <c r="K1875" t="str">
        <f t="shared" si="88"/>
        <v>Q4</v>
      </c>
      <c r="L1875">
        <f t="shared" si="89"/>
        <v>2025</v>
      </c>
    </row>
    <row r="1876" spans="1:12" x14ac:dyDescent="0.3">
      <c r="A1876" t="s">
        <v>3139</v>
      </c>
      <c r="B1876" t="s">
        <v>359</v>
      </c>
      <c r="C1876" t="s">
        <v>240</v>
      </c>
      <c r="D1876">
        <v>3</v>
      </c>
      <c r="E1876" s="1">
        <v>45984</v>
      </c>
      <c r="F1876" t="s">
        <v>568</v>
      </c>
      <c r="G1876">
        <v>4</v>
      </c>
      <c r="H1876" t="s">
        <v>581</v>
      </c>
      <c r="I1876" t="s">
        <v>570</v>
      </c>
      <c r="J1876" t="str">
        <f t="shared" si="87"/>
        <v>November</v>
      </c>
      <c r="K1876" t="str">
        <f t="shared" si="88"/>
        <v>Q4</v>
      </c>
      <c r="L1876">
        <f t="shared" si="89"/>
        <v>2025</v>
      </c>
    </row>
    <row r="1877" spans="1:12" x14ac:dyDescent="0.3">
      <c r="A1877" t="s">
        <v>3140</v>
      </c>
      <c r="B1877" t="s">
        <v>151</v>
      </c>
      <c r="C1877" t="s">
        <v>65</v>
      </c>
      <c r="D1877">
        <v>1</v>
      </c>
      <c r="E1877" s="1">
        <v>45937</v>
      </c>
      <c r="F1877" t="s">
        <v>586</v>
      </c>
      <c r="G1877">
        <v>5</v>
      </c>
      <c r="H1877" t="s">
        <v>581</v>
      </c>
      <c r="I1877" t="s">
        <v>570</v>
      </c>
      <c r="J1877" t="str">
        <f t="shared" si="87"/>
        <v>October</v>
      </c>
      <c r="K1877" t="str">
        <f t="shared" si="88"/>
        <v>Q4</v>
      </c>
      <c r="L1877">
        <f t="shared" si="89"/>
        <v>2025</v>
      </c>
    </row>
    <row r="1878" spans="1:12" x14ac:dyDescent="0.3">
      <c r="A1878" t="s">
        <v>3141</v>
      </c>
      <c r="B1878" t="s">
        <v>151</v>
      </c>
      <c r="C1878" t="s">
        <v>65</v>
      </c>
      <c r="D1878">
        <v>2</v>
      </c>
      <c r="E1878" s="1">
        <v>45948</v>
      </c>
      <c r="F1878" t="s">
        <v>663</v>
      </c>
      <c r="G1878">
        <v>4</v>
      </c>
      <c r="H1878" t="s">
        <v>581</v>
      </c>
      <c r="I1878" t="s">
        <v>570</v>
      </c>
      <c r="J1878" t="str">
        <f t="shared" si="87"/>
        <v>October</v>
      </c>
      <c r="K1878" t="str">
        <f t="shared" si="88"/>
        <v>Q4</v>
      </c>
      <c r="L1878">
        <f t="shared" si="89"/>
        <v>2025</v>
      </c>
    </row>
    <row r="1879" spans="1:12" x14ac:dyDescent="0.3">
      <c r="A1879" t="s">
        <v>3142</v>
      </c>
      <c r="B1879" t="s">
        <v>84</v>
      </c>
      <c r="C1879" t="s">
        <v>85</v>
      </c>
      <c r="D1879">
        <v>1</v>
      </c>
      <c r="E1879" s="1">
        <v>45844</v>
      </c>
      <c r="F1879" t="s">
        <v>580</v>
      </c>
      <c r="G1879">
        <v>3</v>
      </c>
      <c r="H1879" t="s">
        <v>578</v>
      </c>
      <c r="I1879" t="s">
        <v>570</v>
      </c>
      <c r="J1879" t="str">
        <f t="shared" si="87"/>
        <v>July</v>
      </c>
      <c r="K1879" t="str">
        <f t="shared" si="88"/>
        <v>Q3</v>
      </c>
      <c r="L1879">
        <f t="shared" si="89"/>
        <v>2025</v>
      </c>
    </row>
    <row r="1880" spans="1:12" x14ac:dyDescent="0.3">
      <c r="A1880" t="s">
        <v>3143</v>
      </c>
      <c r="B1880" t="s">
        <v>84</v>
      </c>
      <c r="C1880" t="s">
        <v>85</v>
      </c>
      <c r="D1880">
        <v>2</v>
      </c>
      <c r="E1880" s="1">
        <v>45851</v>
      </c>
      <c r="F1880" t="s">
        <v>663</v>
      </c>
      <c r="G1880">
        <v>4</v>
      </c>
      <c r="H1880" t="s">
        <v>581</v>
      </c>
      <c r="I1880" t="s">
        <v>570</v>
      </c>
      <c r="J1880" t="str">
        <f t="shared" si="87"/>
        <v>July</v>
      </c>
      <c r="K1880" t="str">
        <f t="shared" si="88"/>
        <v>Q3</v>
      </c>
      <c r="L1880">
        <f t="shared" si="89"/>
        <v>2025</v>
      </c>
    </row>
    <row r="1881" spans="1:12" x14ac:dyDescent="0.3">
      <c r="A1881" t="s">
        <v>3144</v>
      </c>
      <c r="B1881" t="s">
        <v>126</v>
      </c>
      <c r="C1881" t="s">
        <v>127</v>
      </c>
      <c r="D1881">
        <v>1</v>
      </c>
      <c r="E1881" s="1">
        <v>45961</v>
      </c>
      <c r="F1881" t="s">
        <v>625</v>
      </c>
      <c r="G1881">
        <v>4</v>
      </c>
      <c r="H1881" t="s">
        <v>581</v>
      </c>
      <c r="I1881" t="s">
        <v>570</v>
      </c>
      <c r="J1881" t="str">
        <f t="shared" si="87"/>
        <v>October</v>
      </c>
      <c r="K1881" t="str">
        <f t="shared" si="88"/>
        <v>Q4</v>
      </c>
      <c r="L1881">
        <f t="shared" si="89"/>
        <v>2025</v>
      </c>
    </row>
    <row r="1882" spans="1:12" x14ac:dyDescent="0.3">
      <c r="A1882" t="s">
        <v>3145</v>
      </c>
      <c r="B1882" t="s">
        <v>3146</v>
      </c>
      <c r="C1882" t="s">
        <v>85</v>
      </c>
      <c r="D1882">
        <v>1</v>
      </c>
      <c r="E1882" s="1">
        <v>45853</v>
      </c>
      <c r="F1882" t="s">
        <v>596</v>
      </c>
      <c r="G1882">
        <v>2</v>
      </c>
      <c r="H1882" t="s">
        <v>569</v>
      </c>
      <c r="I1882" t="s">
        <v>570</v>
      </c>
      <c r="J1882" t="str">
        <f t="shared" si="87"/>
        <v>July</v>
      </c>
      <c r="K1882" t="str">
        <f t="shared" si="88"/>
        <v>Q3</v>
      </c>
      <c r="L1882">
        <f t="shared" si="89"/>
        <v>2025</v>
      </c>
    </row>
    <row r="1883" spans="1:12" x14ac:dyDescent="0.3">
      <c r="A1883" t="s">
        <v>3147</v>
      </c>
      <c r="B1883" t="s">
        <v>3146</v>
      </c>
      <c r="C1883" t="s">
        <v>85</v>
      </c>
      <c r="D1883">
        <v>2</v>
      </c>
      <c r="E1883" s="1">
        <v>45863</v>
      </c>
      <c r="F1883" t="s">
        <v>596</v>
      </c>
      <c r="G1883">
        <v>1</v>
      </c>
      <c r="H1883" t="s">
        <v>569</v>
      </c>
      <c r="I1883" t="s">
        <v>570</v>
      </c>
      <c r="J1883" t="str">
        <f t="shared" si="87"/>
        <v>July</v>
      </c>
      <c r="K1883" t="str">
        <f t="shared" si="88"/>
        <v>Q3</v>
      </c>
      <c r="L1883">
        <f t="shared" si="89"/>
        <v>2025</v>
      </c>
    </row>
    <row r="1884" spans="1:12" x14ac:dyDescent="0.3">
      <c r="A1884" t="s">
        <v>3148</v>
      </c>
      <c r="B1884" t="s">
        <v>533</v>
      </c>
      <c r="C1884" t="s">
        <v>166</v>
      </c>
      <c r="D1884">
        <v>1</v>
      </c>
      <c r="E1884" s="1">
        <v>45786</v>
      </c>
      <c r="F1884" t="s">
        <v>621</v>
      </c>
      <c r="G1884">
        <v>4</v>
      </c>
      <c r="H1884" t="s">
        <v>581</v>
      </c>
      <c r="I1884" t="s">
        <v>570</v>
      </c>
      <c r="J1884" t="str">
        <f t="shared" si="87"/>
        <v>May</v>
      </c>
      <c r="K1884" t="str">
        <f t="shared" si="88"/>
        <v>Q2</v>
      </c>
      <c r="L1884">
        <f t="shared" si="89"/>
        <v>2025</v>
      </c>
    </row>
    <row r="1885" spans="1:12" x14ac:dyDescent="0.3">
      <c r="A1885" t="s">
        <v>3149</v>
      </c>
      <c r="B1885" t="s">
        <v>533</v>
      </c>
      <c r="C1885" t="s">
        <v>166</v>
      </c>
      <c r="D1885">
        <v>2</v>
      </c>
      <c r="E1885" s="1">
        <v>45796</v>
      </c>
      <c r="F1885" t="s">
        <v>596</v>
      </c>
      <c r="G1885">
        <v>5</v>
      </c>
      <c r="H1885" t="s">
        <v>581</v>
      </c>
      <c r="I1885" t="s">
        <v>570</v>
      </c>
      <c r="J1885" t="str">
        <f t="shared" si="87"/>
        <v>May</v>
      </c>
      <c r="K1885" t="str">
        <f t="shared" si="88"/>
        <v>Q2</v>
      </c>
      <c r="L1885">
        <f t="shared" si="89"/>
        <v>2025</v>
      </c>
    </row>
    <row r="1886" spans="1:12" x14ac:dyDescent="0.3">
      <c r="A1886" t="s">
        <v>3150</v>
      </c>
      <c r="B1886" t="s">
        <v>461</v>
      </c>
      <c r="C1886" t="s">
        <v>27</v>
      </c>
      <c r="D1886">
        <v>1</v>
      </c>
      <c r="E1886" s="1">
        <v>45882</v>
      </c>
      <c r="F1886" t="s">
        <v>625</v>
      </c>
      <c r="G1886">
        <v>4</v>
      </c>
      <c r="H1886" t="s">
        <v>581</v>
      </c>
      <c r="I1886" t="s">
        <v>570</v>
      </c>
      <c r="J1886" t="str">
        <f t="shared" si="87"/>
        <v>August</v>
      </c>
      <c r="K1886" t="str">
        <f t="shared" si="88"/>
        <v>Q3</v>
      </c>
      <c r="L1886">
        <f t="shared" si="89"/>
        <v>2025</v>
      </c>
    </row>
    <row r="1887" spans="1:12" x14ac:dyDescent="0.3">
      <c r="A1887" t="s">
        <v>3151</v>
      </c>
      <c r="B1887" t="s">
        <v>461</v>
      </c>
      <c r="C1887" t="s">
        <v>27</v>
      </c>
      <c r="D1887">
        <v>2</v>
      </c>
      <c r="E1887" s="1">
        <v>45894</v>
      </c>
      <c r="F1887" t="s">
        <v>584</v>
      </c>
      <c r="G1887">
        <v>5</v>
      </c>
      <c r="H1887" t="s">
        <v>581</v>
      </c>
      <c r="I1887" t="s">
        <v>570</v>
      </c>
      <c r="J1887" t="str">
        <f t="shared" si="87"/>
        <v>August</v>
      </c>
      <c r="K1887" t="str">
        <f t="shared" si="88"/>
        <v>Q3</v>
      </c>
      <c r="L1887">
        <f t="shared" si="89"/>
        <v>2025</v>
      </c>
    </row>
    <row r="1888" spans="1:12" x14ac:dyDescent="0.3">
      <c r="A1888" t="s">
        <v>3152</v>
      </c>
      <c r="B1888" t="s">
        <v>550</v>
      </c>
      <c r="C1888" t="s">
        <v>429</v>
      </c>
      <c r="D1888">
        <v>1</v>
      </c>
      <c r="E1888" s="1">
        <v>45768</v>
      </c>
      <c r="F1888" t="s">
        <v>590</v>
      </c>
      <c r="G1888">
        <v>3</v>
      </c>
      <c r="H1888" t="s">
        <v>578</v>
      </c>
      <c r="I1888" t="s">
        <v>570</v>
      </c>
      <c r="J1888" t="str">
        <f t="shared" si="87"/>
        <v>April</v>
      </c>
      <c r="K1888" t="str">
        <f t="shared" si="88"/>
        <v>Q2</v>
      </c>
      <c r="L1888">
        <f t="shared" si="89"/>
        <v>2025</v>
      </c>
    </row>
    <row r="1889" spans="1:12" x14ac:dyDescent="0.3">
      <c r="A1889" t="s">
        <v>3153</v>
      </c>
      <c r="B1889" t="s">
        <v>550</v>
      </c>
      <c r="C1889" t="s">
        <v>429</v>
      </c>
      <c r="D1889">
        <v>2</v>
      </c>
      <c r="E1889" s="1">
        <v>45776</v>
      </c>
      <c r="F1889" t="s">
        <v>741</v>
      </c>
      <c r="G1889">
        <v>4</v>
      </c>
      <c r="H1889" t="s">
        <v>581</v>
      </c>
      <c r="I1889" t="s">
        <v>570</v>
      </c>
      <c r="J1889" t="str">
        <f t="shared" si="87"/>
        <v>April</v>
      </c>
      <c r="K1889" t="str">
        <f t="shared" si="88"/>
        <v>Q2</v>
      </c>
      <c r="L1889">
        <f t="shared" si="89"/>
        <v>2025</v>
      </c>
    </row>
    <row r="1890" spans="1:12" x14ac:dyDescent="0.3">
      <c r="A1890" t="s">
        <v>3154</v>
      </c>
      <c r="B1890" t="s">
        <v>550</v>
      </c>
      <c r="C1890" t="s">
        <v>429</v>
      </c>
      <c r="D1890">
        <v>3</v>
      </c>
      <c r="E1890" s="1">
        <v>45781</v>
      </c>
      <c r="F1890" t="s">
        <v>590</v>
      </c>
      <c r="G1890">
        <v>5</v>
      </c>
      <c r="H1890" t="s">
        <v>581</v>
      </c>
      <c r="I1890" t="s">
        <v>570</v>
      </c>
      <c r="J1890" t="str">
        <f t="shared" si="87"/>
        <v>May</v>
      </c>
      <c r="K1890" t="str">
        <f t="shared" si="88"/>
        <v>Q2</v>
      </c>
      <c r="L1890">
        <f t="shared" si="89"/>
        <v>2025</v>
      </c>
    </row>
    <row r="1891" spans="1:12" x14ac:dyDescent="0.3">
      <c r="A1891" t="s">
        <v>3155</v>
      </c>
      <c r="B1891" t="s">
        <v>3156</v>
      </c>
      <c r="C1891" t="s">
        <v>10</v>
      </c>
      <c r="D1891">
        <v>1</v>
      </c>
      <c r="E1891" s="1">
        <v>45916</v>
      </c>
      <c r="F1891" t="s">
        <v>596</v>
      </c>
      <c r="G1891">
        <v>1</v>
      </c>
      <c r="H1891" t="s">
        <v>569</v>
      </c>
      <c r="I1891" t="s">
        <v>570</v>
      </c>
      <c r="J1891" t="str">
        <f t="shared" si="87"/>
        <v>September</v>
      </c>
      <c r="K1891" t="str">
        <f t="shared" si="88"/>
        <v>Q3</v>
      </c>
      <c r="L1891">
        <f t="shared" si="89"/>
        <v>2025</v>
      </c>
    </row>
    <row r="1892" spans="1:12" x14ac:dyDescent="0.3">
      <c r="A1892" t="s">
        <v>3157</v>
      </c>
      <c r="B1892" t="s">
        <v>3156</v>
      </c>
      <c r="C1892" t="s">
        <v>10</v>
      </c>
      <c r="D1892">
        <v>2</v>
      </c>
      <c r="E1892" s="1">
        <v>45920</v>
      </c>
      <c r="F1892" t="s">
        <v>572</v>
      </c>
      <c r="G1892">
        <v>3</v>
      </c>
      <c r="H1892" t="s">
        <v>578</v>
      </c>
      <c r="I1892" t="s">
        <v>570</v>
      </c>
      <c r="J1892" t="str">
        <f t="shared" si="87"/>
        <v>September</v>
      </c>
      <c r="K1892" t="str">
        <f t="shared" si="88"/>
        <v>Q3</v>
      </c>
      <c r="L1892">
        <f t="shared" si="89"/>
        <v>2025</v>
      </c>
    </row>
    <row r="1893" spans="1:12" x14ac:dyDescent="0.3">
      <c r="A1893" t="s">
        <v>3158</v>
      </c>
      <c r="B1893" t="s">
        <v>3156</v>
      </c>
      <c r="C1893" t="s">
        <v>10</v>
      </c>
      <c r="D1893">
        <v>3</v>
      </c>
      <c r="E1893" s="1">
        <v>45925</v>
      </c>
      <c r="F1893" t="s">
        <v>663</v>
      </c>
      <c r="G1893">
        <v>1</v>
      </c>
      <c r="H1893" t="s">
        <v>569</v>
      </c>
      <c r="I1893" t="s">
        <v>570</v>
      </c>
      <c r="J1893" t="str">
        <f t="shared" si="87"/>
        <v>September</v>
      </c>
      <c r="K1893" t="str">
        <f t="shared" si="88"/>
        <v>Q3</v>
      </c>
      <c r="L1893">
        <f t="shared" si="89"/>
        <v>2025</v>
      </c>
    </row>
    <row r="1894" spans="1:12" x14ac:dyDescent="0.3">
      <c r="A1894" t="s">
        <v>3159</v>
      </c>
      <c r="B1894" t="s">
        <v>317</v>
      </c>
      <c r="C1894" t="s">
        <v>240</v>
      </c>
      <c r="D1894">
        <v>1</v>
      </c>
      <c r="E1894" s="1">
        <v>45963</v>
      </c>
      <c r="F1894" t="s">
        <v>572</v>
      </c>
      <c r="G1894">
        <v>3</v>
      </c>
      <c r="H1894" t="s">
        <v>578</v>
      </c>
      <c r="I1894" t="s">
        <v>570</v>
      </c>
      <c r="J1894" t="str">
        <f t="shared" si="87"/>
        <v>November</v>
      </c>
      <c r="K1894" t="str">
        <f t="shared" si="88"/>
        <v>Q4</v>
      </c>
      <c r="L1894">
        <f t="shared" si="89"/>
        <v>2025</v>
      </c>
    </row>
    <row r="1895" spans="1:12" x14ac:dyDescent="0.3">
      <c r="A1895" t="s">
        <v>3160</v>
      </c>
      <c r="B1895" t="s">
        <v>317</v>
      </c>
      <c r="C1895" t="s">
        <v>240</v>
      </c>
      <c r="D1895">
        <v>2</v>
      </c>
      <c r="E1895" s="1">
        <v>45975</v>
      </c>
      <c r="F1895" t="s">
        <v>572</v>
      </c>
      <c r="G1895">
        <v>2</v>
      </c>
      <c r="H1895" t="s">
        <v>569</v>
      </c>
      <c r="I1895" t="s">
        <v>570</v>
      </c>
      <c r="J1895" t="str">
        <f t="shared" si="87"/>
        <v>November</v>
      </c>
      <c r="K1895" t="str">
        <f t="shared" si="88"/>
        <v>Q4</v>
      </c>
      <c r="L1895">
        <f t="shared" si="89"/>
        <v>2025</v>
      </c>
    </row>
    <row r="1896" spans="1:12" x14ac:dyDescent="0.3">
      <c r="A1896" t="s">
        <v>3161</v>
      </c>
      <c r="B1896" t="s">
        <v>317</v>
      </c>
      <c r="C1896" t="s">
        <v>240</v>
      </c>
      <c r="D1896">
        <v>3</v>
      </c>
      <c r="E1896" s="1">
        <v>45979</v>
      </c>
      <c r="F1896" t="s">
        <v>580</v>
      </c>
      <c r="G1896">
        <v>4</v>
      </c>
      <c r="H1896" t="s">
        <v>581</v>
      </c>
      <c r="I1896" t="s">
        <v>570</v>
      </c>
      <c r="J1896" t="str">
        <f t="shared" si="87"/>
        <v>November</v>
      </c>
      <c r="K1896" t="str">
        <f t="shared" si="88"/>
        <v>Q4</v>
      </c>
      <c r="L1896">
        <f t="shared" si="89"/>
        <v>2025</v>
      </c>
    </row>
    <row r="1897" spans="1:12" x14ac:dyDescent="0.3">
      <c r="A1897" t="s">
        <v>3162</v>
      </c>
      <c r="B1897" t="s">
        <v>3163</v>
      </c>
      <c r="C1897" t="s">
        <v>240</v>
      </c>
      <c r="D1897">
        <v>1</v>
      </c>
      <c r="E1897" s="1">
        <v>45950</v>
      </c>
      <c r="F1897" t="s">
        <v>572</v>
      </c>
      <c r="G1897">
        <v>1</v>
      </c>
      <c r="H1897" t="s">
        <v>569</v>
      </c>
      <c r="I1897" t="s">
        <v>608</v>
      </c>
      <c r="J1897" t="str">
        <f t="shared" si="87"/>
        <v>October</v>
      </c>
      <c r="K1897" t="str">
        <f t="shared" si="88"/>
        <v>Q4</v>
      </c>
      <c r="L1897">
        <f t="shared" si="89"/>
        <v>2025</v>
      </c>
    </row>
    <row r="1898" spans="1:12" x14ac:dyDescent="0.3">
      <c r="A1898" t="s">
        <v>3164</v>
      </c>
      <c r="B1898" t="s">
        <v>3165</v>
      </c>
      <c r="C1898" t="s">
        <v>127</v>
      </c>
      <c r="D1898">
        <v>1</v>
      </c>
      <c r="E1898" s="1">
        <v>45959</v>
      </c>
      <c r="F1898" t="s">
        <v>632</v>
      </c>
      <c r="G1898">
        <v>2</v>
      </c>
      <c r="H1898" t="s">
        <v>569</v>
      </c>
      <c r="I1898" t="s">
        <v>570</v>
      </c>
      <c r="J1898" t="str">
        <f t="shared" si="87"/>
        <v>October</v>
      </c>
      <c r="K1898" t="str">
        <f t="shared" si="88"/>
        <v>Q4</v>
      </c>
      <c r="L1898">
        <f t="shared" si="89"/>
        <v>2025</v>
      </c>
    </row>
    <row r="1899" spans="1:12" x14ac:dyDescent="0.3">
      <c r="A1899" t="s">
        <v>3166</v>
      </c>
      <c r="B1899" t="s">
        <v>3165</v>
      </c>
      <c r="C1899" t="s">
        <v>127</v>
      </c>
      <c r="D1899">
        <v>2</v>
      </c>
      <c r="E1899" s="1">
        <v>45966</v>
      </c>
      <c r="F1899" t="s">
        <v>584</v>
      </c>
      <c r="G1899">
        <v>1</v>
      </c>
      <c r="H1899" t="s">
        <v>569</v>
      </c>
      <c r="I1899" t="s">
        <v>570</v>
      </c>
      <c r="J1899" t="str">
        <f t="shared" si="87"/>
        <v>November</v>
      </c>
      <c r="K1899" t="str">
        <f t="shared" si="88"/>
        <v>Q4</v>
      </c>
      <c r="L1899">
        <f t="shared" si="89"/>
        <v>2025</v>
      </c>
    </row>
    <row r="1900" spans="1:12" x14ac:dyDescent="0.3">
      <c r="A1900" t="s">
        <v>3167</v>
      </c>
      <c r="B1900" t="s">
        <v>3165</v>
      </c>
      <c r="C1900" t="s">
        <v>127</v>
      </c>
      <c r="D1900">
        <v>3</v>
      </c>
      <c r="E1900" s="1">
        <v>45978</v>
      </c>
      <c r="F1900" t="s">
        <v>629</v>
      </c>
      <c r="G1900">
        <v>2</v>
      </c>
      <c r="H1900" t="s">
        <v>569</v>
      </c>
      <c r="I1900" t="s">
        <v>570</v>
      </c>
      <c r="J1900" t="str">
        <f t="shared" si="87"/>
        <v>November</v>
      </c>
      <c r="K1900" t="str">
        <f t="shared" si="88"/>
        <v>Q4</v>
      </c>
      <c r="L1900">
        <f t="shared" si="89"/>
        <v>2025</v>
      </c>
    </row>
    <row r="1901" spans="1:12" x14ac:dyDescent="0.3">
      <c r="A1901" t="s">
        <v>3168</v>
      </c>
      <c r="B1901" t="s">
        <v>523</v>
      </c>
      <c r="C1901" t="s">
        <v>37</v>
      </c>
      <c r="D1901">
        <v>1</v>
      </c>
      <c r="E1901" s="1">
        <v>45716</v>
      </c>
      <c r="F1901" t="s">
        <v>663</v>
      </c>
      <c r="G1901">
        <v>3</v>
      </c>
      <c r="H1901" t="s">
        <v>578</v>
      </c>
      <c r="I1901" t="s">
        <v>570</v>
      </c>
      <c r="J1901" t="str">
        <f t="shared" si="87"/>
        <v>February</v>
      </c>
      <c r="K1901" t="str">
        <f t="shared" si="88"/>
        <v>Q1</v>
      </c>
      <c r="L1901">
        <f t="shared" si="89"/>
        <v>2025</v>
      </c>
    </row>
    <row r="1902" spans="1:12" x14ac:dyDescent="0.3">
      <c r="A1902" t="s">
        <v>3169</v>
      </c>
      <c r="B1902" t="s">
        <v>523</v>
      </c>
      <c r="C1902" t="s">
        <v>37</v>
      </c>
      <c r="D1902">
        <v>2</v>
      </c>
      <c r="E1902" s="1">
        <v>45726</v>
      </c>
      <c r="F1902" t="s">
        <v>580</v>
      </c>
      <c r="G1902">
        <v>3</v>
      </c>
      <c r="H1902" t="s">
        <v>578</v>
      </c>
      <c r="I1902" t="s">
        <v>570</v>
      </c>
      <c r="J1902" t="str">
        <f t="shared" si="87"/>
        <v>March</v>
      </c>
      <c r="K1902" t="str">
        <f t="shared" si="88"/>
        <v>Q1</v>
      </c>
      <c r="L1902">
        <f t="shared" si="89"/>
        <v>2025</v>
      </c>
    </row>
    <row r="1903" spans="1:12" x14ac:dyDescent="0.3">
      <c r="A1903" t="s">
        <v>3170</v>
      </c>
      <c r="B1903" t="s">
        <v>523</v>
      </c>
      <c r="C1903" t="s">
        <v>37</v>
      </c>
      <c r="D1903">
        <v>3</v>
      </c>
      <c r="E1903" s="1">
        <v>45735</v>
      </c>
      <c r="F1903" t="s">
        <v>572</v>
      </c>
      <c r="G1903">
        <v>5</v>
      </c>
      <c r="H1903" t="s">
        <v>581</v>
      </c>
      <c r="I1903" t="s">
        <v>570</v>
      </c>
      <c r="J1903" t="str">
        <f t="shared" si="87"/>
        <v>March</v>
      </c>
      <c r="K1903" t="str">
        <f t="shared" si="88"/>
        <v>Q1</v>
      </c>
      <c r="L1903">
        <f t="shared" si="89"/>
        <v>2025</v>
      </c>
    </row>
    <row r="1904" spans="1:12" x14ac:dyDescent="0.3">
      <c r="A1904" t="s">
        <v>3171</v>
      </c>
      <c r="B1904" t="s">
        <v>3172</v>
      </c>
      <c r="C1904" t="s">
        <v>41</v>
      </c>
      <c r="D1904">
        <v>1</v>
      </c>
      <c r="E1904" s="1">
        <v>45831</v>
      </c>
      <c r="F1904" t="s">
        <v>603</v>
      </c>
      <c r="G1904">
        <v>3</v>
      </c>
      <c r="H1904" t="s">
        <v>578</v>
      </c>
      <c r="I1904" t="s">
        <v>570</v>
      </c>
      <c r="J1904" t="str">
        <f t="shared" si="87"/>
        <v>June</v>
      </c>
      <c r="K1904" t="str">
        <f t="shared" si="88"/>
        <v>Q2</v>
      </c>
      <c r="L1904">
        <f t="shared" si="89"/>
        <v>2025</v>
      </c>
    </row>
    <row r="1905" spans="1:12" x14ac:dyDescent="0.3">
      <c r="A1905" t="s">
        <v>3173</v>
      </c>
      <c r="B1905" t="s">
        <v>3172</v>
      </c>
      <c r="C1905" t="s">
        <v>41</v>
      </c>
      <c r="D1905">
        <v>2</v>
      </c>
      <c r="E1905" s="1">
        <v>45835</v>
      </c>
      <c r="F1905" t="s">
        <v>612</v>
      </c>
      <c r="G1905">
        <v>1</v>
      </c>
      <c r="H1905" t="s">
        <v>569</v>
      </c>
      <c r="I1905" t="s">
        <v>597</v>
      </c>
      <c r="J1905" t="str">
        <f t="shared" si="87"/>
        <v>June</v>
      </c>
      <c r="K1905" t="str">
        <f t="shared" si="88"/>
        <v>Q2</v>
      </c>
      <c r="L1905">
        <f t="shared" si="89"/>
        <v>2025</v>
      </c>
    </row>
    <row r="1906" spans="1:12" x14ac:dyDescent="0.3">
      <c r="A1906" t="s">
        <v>3174</v>
      </c>
      <c r="B1906" t="s">
        <v>3175</v>
      </c>
      <c r="C1906" t="s">
        <v>429</v>
      </c>
      <c r="D1906">
        <v>1</v>
      </c>
      <c r="E1906" s="1">
        <v>45765</v>
      </c>
      <c r="F1906" t="s">
        <v>580</v>
      </c>
      <c r="G1906">
        <v>2</v>
      </c>
      <c r="H1906" t="s">
        <v>569</v>
      </c>
      <c r="I1906" t="s">
        <v>570</v>
      </c>
      <c r="J1906" t="str">
        <f t="shared" si="87"/>
        <v>April</v>
      </c>
      <c r="K1906" t="str">
        <f t="shared" si="88"/>
        <v>Q2</v>
      </c>
      <c r="L1906">
        <f t="shared" si="89"/>
        <v>2025</v>
      </c>
    </row>
    <row r="1907" spans="1:12" x14ac:dyDescent="0.3">
      <c r="A1907" t="s">
        <v>3176</v>
      </c>
      <c r="B1907" t="s">
        <v>3175</v>
      </c>
      <c r="C1907" t="s">
        <v>429</v>
      </c>
      <c r="D1907">
        <v>2</v>
      </c>
      <c r="E1907" s="1">
        <v>45770</v>
      </c>
      <c r="F1907" t="s">
        <v>580</v>
      </c>
      <c r="G1907">
        <v>1</v>
      </c>
      <c r="H1907" t="s">
        <v>569</v>
      </c>
      <c r="I1907" t="s">
        <v>570</v>
      </c>
      <c r="J1907" t="str">
        <f t="shared" si="87"/>
        <v>April</v>
      </c>
      <c r="K1907" t="str">
        <f t="shared" si="88"/>
        <v>Q2</v>
      </c>
      <c r="L1907">
        <f t="shared" si="89"/>
        <v>2025</v>
      </c>
    </row>
    <row r="1908" spans="1:12" x14ac:dyDescent="0.3">
      <c r="A1908" t="s">
        <v>3177</v>
      </c>
      <c r="B1908" t="s">
        <v>3178</v>
      </c>
      <c r="C1908" t="s">
        <v>374</v>
      </c>
      <c r="D1908">
        <v>1</v>
      </c>
      <c r="E1908" s="1">
        <v>45748</v>
      </c>
      <c r="F1908" t="s">
        <v>596</v>
      </c>
      <c r="G1908">
        <v>4</v>
      </c>
      <c r="H1908" t="s">
        <v>581</v>
      </c>
      <c r="I1908" t="s">
        <v>570</v>
      </c>
      <c r="J1908" t="str">
        <f t="shared" si="87"/>
        <v>April</v>
      </c>
      <c r="K1908" t="str">
        <f t="shared" si="88"/>
        <v>Q2</v>
      </c>
      <c r="L1908">
        <f t="shared" si="89"/>
        <v>2025</v>
      </c>
    </row>
    <row r="1909" spans="1:12" x14ac:dyDescent="0.3">
      <c r="A1909" t="s">
        <v>3179</v>
      </c>
      <c r="B1909" t="s">
        <v>3178</v>
      </c>
      <c r="C1909" t="s">
        <v>374</v>
      </c>
      <c r="D1909">
        <v>2</v>
      </c>
      <c r="E1909" s="1">
        <v>45757</v>
      </c>
      <c r="F1909" t="s">
        <v>600</v>
      </c>
      <c r="G1909">
        <v>4</v>
      </c>
      <c r="H1909" t="s">
        <v>581</v>
      </c>
      <c r="I1909" t="s">
        <v>597</v>
      </c>
      <c r="J1909" t="str">
        <f t="shared" si="87"/>
        <v>April</v>
      </c>
      <c r="K1909" t="str">
        <f t="shared" si="88"/>
        <v>Q2</v>
      </c>
      <c r="L1909">
        <f t="shared" si="89"/>
        <v>2025</v>
      </c>
    </row>
    <row r="1910" spans="1:12" x14ac:dyDescent="0.3">
      <c r="A1910" t="s">
        <v>3180</v>
      </c>
      <c r="B1910" t="s">
        <v>3181</v>
      </c>
      <c r="C1910" t="s">
        <v>22</v>
      </c>
      <c r="D1910">
        <v>1</v>
      </c>
      <c r="E1910" s="1">
        <v>45845</v>
      </c>
      <c r="F1910" t="s">
        <v>577</v>
      </c>
      <c r="G1910">
        <v>2</v>
      </c>
      <c r="H1910" t="s">
        <v>569</v>
      </c>
      <c r="I1910" t="s">
        <v>570</v>
      </c>
      <c r="J1910" t="str">
        <f t="shared" si="87"/>
        <v>July</v>
      </c>
      <c r="K1910" t="str">
        <f t="shared" si="88"/>
        <v>Q3</v>
      </c>
      <c r="L1910">
        <f t="shared" si="89"/>
        <v>2025</v>
      </c>
    </row>
    <row r="1911" spans="1:12" x14ac:dyDescent="0.3">
      <c r="A1911" t="s">
        <v>3182</v>
      </c>
      <c r="B1911" t="s">
        <v>3181</v>
      </c>
      <c r="C1911" t="s">
        <v>22</v>
      </c>
      <c r="D1911">
        <v>2</v>
      </c>
      <c r="E1911" s="1">
        <v>45852</v>
      </c>
      <c r="F1911" t="s">
        <v>603</v>
      </c>
      <c r="G1911">
        <v>1</v>
      </c>
      <c r="H1911" t="s">
        <v>569</v>
      </c>
      <c r="I1911" t="s">
        <v>570</v>
      </c>
      <c r="J1911" t="str">
        <f t="shared" si="87"/>
        <v>July</v>
      </c>
      <c r="K1911" t="str">
        <f t="shared" si="88"/>
        <v>Q3</v>
      </c>
      <c r="L1911">
        <f t="shared" si="89"/>
        <v>2025</v>
      </c>
    </row>
    <row r="1912" spans="1:12" x14ac:dyDescent="0.3">
      <c r="A1912" t="s">
        <v>3183</v>
      </c>
      <c r="B1912" t="s">
        <v>3181</v>
      </c>
      <c r="C1912" t="s">
        <v>22</v>
      </c>
      <c r="D1912">
        <v>3</v>
      </c>
      <c r="E1912" s="1">
        <v>45859</v>
      </c>
      <c r="F1912" t="s">
        <v>612</v>
      </c>
      <c r="G1912">
        <v>1</v>
      </c>
      <c r="H1912" t="s">
        <v>569</v>
      </c>
      <c r="I1912" t="s">
        <v>570</v>
      </c>
      <c r="J1912" t="str">
        <f t="shared" si="87"/>
        <v>July</v>
      </c>
      <c r="K1912" t="str">
        <f t="shared" si="88"/>
        <v>Q3</v>
      </c>
      <c r="L1912">
        <f t="shared" si="89"/>
        <v>2025</v>
      </c>
    </row>
    <row r="1913" spans="1:12" x14ac:dyDescent="0.3">
      <c r="A1913" t="s">
        <v>3184</v>
      </c>
      <c r="B1913" t="s">
        <v>3185</v>
      </c>
      <c r="C1913" t="s">
        <v>195</v>
      </c>
      <c r="D1913">
        <v>1</v>
      </c>
      <c r="E1913" s="1">
        <v>45855</v>
      </c>
      <c r="F1913" t="s">
        <v>586</v>
      </c>
      <c r="G1913">
        <v>1</v>
      </c>
      <c r="H1913" t="s">
        <v>569</v>
      </c>
      <c r="I1913" t="s">
        <v>570</v>
      </c>
      <c r="J1913" t="str">
        <f t="shared" si="87"/>
        <v>July</v>
      </c>
      <c r="K1913" t="str">
        <f t="shared" si="88"/>
        <v>Q3</v>
      </c>
      <c r="L1913">
        <f t="shared" si="89"/>
        <v>2025</v>
      </c>
    </row>
    <row r="1914" spans="1:12" x14ac:dyDescent="0.3">
      <c r="A1914" t="s">
        <v>3186</v>
      </c>
      <c r="B1914" t="s">
        <v>3185</v>
      </c>
      <c r="C1914" t="s">
        <v>195</v>
      </c>
      <c r="D1914">
        <v>2</v>
      </c>
      <c r="E1914" s="1">
        <v>45866</v>
      </c>
      <c r="F1914" t="s">
        <v>575</v>
      </c>
      <c r="G1914">
        <v>1</v>
      </c>
      <c r="H1914" t="s">
        <v>569</v>
      </c>
      <c r="I1914" t="s">
        <v>570</v>
      </c>
      <c r="J1914" t="str">
        <f t="shared" si="87"/>
        <v>July</v>
      </c>
      <c r="K1914" t="str">
        <f t="shared" si="88"/>
        <v>Q3</v>
      </c>
      <c r="L1914">
        <f t="shared" si="89"/>
        <v>2025</v>
      </c>
    </row>
    <row r="1915" spans="1:12" x14ac:dyDescent="0.3">
      <c r="A1915" t="s">
        <v>3187</v>
      </c>
      <c r="B1915" t="s">
        <v>3188</v>
      </c>
      <c r="C1915" t="s">
        <v>240</v>
      </c>
      <c r="D1915">
        <v>1</v>
      </c>
      <c r="E1915" s="1">
        <v>45962</v>
      </c>
      <c r="F1915" t="s">
        <v>572</v>
      </c>
      <c r="G1915">
        <v>2</v>
      </c>
      <c r="H1915" t="s">
        <v>569</v>
      </c>
      <c r="I1915" t="s">
        <v>570</v>
      </c>
      <c r="J1915" t="str">
        <f t="shared" si="87"/>
        <v>November</v>
      </c>
      <c r="K1915" t="str">
        <f t="shared" si="88"/>
        <v>Q4</v>
      </c>
      <c r="L1915">
        <f t="shared" si="89"/>
        <v>2025</v>
      </c>
    </row>
    <row r="1916" spans="1:12" x14ac:dyDescent="0.3">
      <c r="A1916" t="s">
        <v>3189</v>
      </c>
      <c r="B1916" t="s">
        <v>3188</v>
      </c>
      <c r="C1916" t="s">
        <v>240</v>
      </c>
      <c r="D1916">
        <v>2</v>
      </c>
      <c r="E1916" s="1">
        <v>45969</v>
      </c>
      <c r="F1916" t="s">
        <v>663</v>
      </c>
      <c r="G1916">
        <v>5</v>
      </c>
      <c r="H1916" t="s">
        <v>581</v>
      </c>
      <c r="I1916" t="s">
        <v>570</v>
      </c>
      <c r="J1916" t="str">
        <f t="shared" si="87"/>
        <v>November</v>
      </c>
      <c r="K1916" t="str">
        <f t="shared" si="88"/>
        <v>Q4</v>
      </c>
      <c r="L1916">
        <f t="shared" si="89"/>
        <v>2025</v>
      </c>
    </row>
    <row r="1917" spans="1:12" x14ac:dyDescent="0.3">
      <c r="A1917" t="s">
        <v>3190</v>
      </c>
      <c r="B1917" t="s">
        <v>3191</v>
      </c>
      <c r="C1917" t="s">
        <v>45</v>
      </c>
      <c r="D1917">
        <v>1</v>
      </c>
      <c r="E1917" s="1">
        <v>45858</v>
      </c>
      <c r="F1917" t="s">
        <v>590</v>
      </c>
      <c r="G1917">
        <v>1</v>
      </c>
      <c r="H1917" t="s">
        <v>569</v>
      </c>
      <c r="I1917" t="s">
        <v>570</v>
      </c>
      <c r="J1917" t="str">
        <f t="shared" si="87"/>
        <v>July</v>
      </c>
      <c r="K1917" t="str">
        <f t="shared" si="88"/>
        <v>Q3</v>
      </c>
      <c r="L1917">
        <f t="shared" si="89"/>
        <v>2025</v>
      </c>
    </row>
    <row r="1918" spans="1:12" x14ac:dyDescent="0.3">
      <c r="A1918" t="s">
        <v>3192</v>
      </c>
      <c r="B1918" t="s">
        <v>3191</v>
      </c>
      <c r="C1918" t="s">
        <v>45</v>
      </c>
      <c r="D1918">
        <v>2</v>
      </c>
      <c r="E1918" s="1">
        <v>45864</v>
      </c>
      <c r="F1918" t="s">
        <v>766</v>
      </c>
      <c r="G1918">
        <v>2</v>
      </c>
      <c r="H1918" t="s">
        <v>569</v>
      </c>
      <c r="I1918" t="s">
        <v>570</v>
      </c>
      <c r="J1918" t="str">
        <f t="shared" si="87"/>
        <v>July</v>
      </c>
      <c r="K1918" t="str">
        <f t="shared" si="88"/>
        <v>Q3</v>
      </c>
      <c r="L1918">
        <f t="shared" si="89"/>
        <v>2025</v>
      </c>
    </row>
    <row r="1919" spans="1:12" x14ac:dyDescent="0.3">
      <c r="A1919" t="s">
        <v>3193</v>
      </c>
      <c r="B1919" t="s">
        <v>3194</v>
      </c>
      <c r="C1919" t="s">
        <v>429</v>
      </c>
      <c r="D1919">
        <v>1</v>
      </c>
      <c r="E1919" s="1">
        <v>45767</v>
      </c>
      <c r="F1919" t="s">
        <v>741</v>
      </c>
      <c r="G1919">
        <v>1</v>
      </c>
      <c r="H1919" t="s">
        <v>569</v>
      </c>
      <c r="I1919" t="s">
        <v>570</v>
      </c>
      <c r="J1919" t="str">
        <f t="shared" si="87"/>
        <v>April</v>
      </c>
      <c r="K1919" t="str">
        <f t="shared" si="88"/>
        <v>Q2</v>
      </c>
      <c r="L1919">
        <f t="shared" si="89"/>
        <v>2025</v>
      </c>
    </row>
    <row r="1920" spans="1:12" x14ac:dyDescent="0.3">
      <c r="A1920" t="s">
        <v>3195</v>
      </c>
      <c r="B1920" t="s">
        <v>3196</v>
      </c>
      <c r="C1920" t="s">
        <v>37</v>
      </c>
      <c r="D1920">
        <v>1</v>
      </c>
      <c r="E1920" s="1">
        <v>45711</v>
      </c>
      <c r="F1920" t="s">
        <v>572</v>
      </c>
      <c r="G1920">
        <v>4</v>
      </c>
      <c r="H1920" t="s">
        <v>581</v>
      </c>
      <c r="I1920" t="s">
        <v>570</v>
      </c>
      <c r="J1920" t="str">
        <f t="shared" si="87"/>
        <v>February</v>
      </c>
      <c r="K1920" t="str">
        <f t="shared" si="88"/>
        <v>Q1</v>
      </c>
      <c r="L1920">
        <f t="shared" si="89"/>
        <v>2025</v>
      </c>
    </row>
    <row r="1921" spans="1:12" x14ac:dyDescent="0.3">
      <c r="A1921" t="s">
        <v>3197</v>
      </c>
      <c r="B1921" t="s">
        <v>3196</v>
      </c>
      <c r="C1921" t="s">
        <v>37</v>
      </c>
      <c r="D1921">
        <v>2</v>
      </c>
      <c r="E1921" s="1">
        <v>45715</v>
      </c>
      <c r="F1921" t="s">
        <v>663</v>
      </c>
      <c r="G1921">
        <v>4</v>
      </c>
      <c r="H1921" t="s">
        <v>581</v>
      </c>
      <c r="I1921" t="s">
        <v>597</v>
      </c>
      <c r="J1921" t="str">
        <f t="shared" si="87"/>
        <v>February</v>
      </c>
      <c r="K1921" t="str">
        <f t="shared" si="88"/>
        <v>Q1</v>
      </c>
      <c r="L1921">
        <f t="shared" si="89"/>
        <v>2025</v>
      </c>
    </row>
    <row r="1922" spans="1:12" x14ac:dyDescent="0.3">
      <c r="A1922" t="s">
        <v>3198</v>
      </c>
      <c r="B1922" t="s">
        <v>535</v>
      </c>
      <c r="C1922" t="s">
        <v>156</v>
      </c>
      <c r="D1922">
        <v>1</v>
      </c>
      <c r="E1922" s="1">
        <v>45734</v>
      </c>
      <c r="F1922" t="s">
        <v>580</v>
      </c>
      <c r="G1922">
        <v>3</v>
      </c>
      <c r="H1922" t="s">
        <v>578</v>
      </c>
      <c r="I1922" t="s">
        <v>570</v>
      </c>
      <c r="J1922" t="str">
        <f t="shared" ref="J1922:J1985" si="90">TEXT(E1922,"mmmm")</f>
        <v>March</v>
      </c>
      <c r="K1922" t="str">
        <f t="shared" ref="K1922:K1985" si="91">"Q"&amp;ROUNDUP(MONTH(E1922)/3,0)</f>
        <v>Q1</v>
      </c>
      <c r="L1922">
        <f t="shared" ref="L1922:L1985" si="92">YEAR(E1922)</f>
        <v>2025</v>
      </c>
    </row>
    <row r="1923" spans="1:12" x14ac:dyDescent="0.3">
      <c r="A1923" t="s">
        <v>3199</v>
      </c>
      <c r="B1923" t="s">
        <v>535</v>
      </c>
      <c r="C1923" t="s">
        <v>156</v>
      </c>
      <c r="D1923">
        <v>2</v>
      </c>
      <c r="E1923" s="1">
        <v>45744</v>
      </c>
      <c r="F1923" t="s">
        <v>638</v>
      </c>
      <c r="G1923">
        <v>4</v>
      </c>
      <c r="H1923" t="s">
        <v>581</v>
      </c>
      <c r="I1923" t="s">
        <v>570</v>
      </c>
      <c r="J1923" t="str">
        <f t="shared" si="90"/>
        <v>March</v>
      </c>
      <c r="K1923" t="str">
        <f t="shared" si="91"/>
        <v>Q1</v>
      </c>
      <c r="L1923">
        <f t="shared" si="92"/>
        <v>2025</v>
      </c>
    </row>
    <row r="1924" spans="1:12" x14ac:dyDescent="0.3">
      <c r="A1924" t="s">
        <v>3200</v>
      </c>
      <c r="B1924" t="s">
        <v>3201</v>
      </c>
      <c r="C1924" t="s">
        <v>16</v>
      </c>
      <c r="D1924">
        <v>1</v>
      </c>
      <c r="E1924" s="1">
        <v>45764</v>
      </c>
      <c r="F1924" t="s">
        <v>596</v>
      </c>
      <c r="G1924">
        <v>1</v>
      </c>
      <c r="H1924" t="s">
        <v>569</v>
      </c>
      <c r="I1924" t="s">
        <v>570</v>
      </c>
      <c r="J1924" t="str">
        <f t="shared" si="90"/>
        <v>April</v>
      </c>
      <c r="K1924" t="str">
        <f t="shared" si="91"/>
        <v>Q2</v>
      </c>
      <c r="L1924">
        <f t="shared" si="92"/>
        <v>2025</v>
      </c>
    </row>
    <row r="1925" spans="1:12" x14ac:dyDescent="0.3">
      <c r="A1925" t="s">
        <v>3202</v>
      </c>
      <c r="B1925" t="s">
        <v>3203</v>
      </c>
      <c r="C1925" t="s">
        <v>187</v>
      </c>
      <c r="D1925">
        <v>1</v>
      </c>
      <c r="E1925" s="1">
        <v>45835</v>
      </c>
      <c r="F1925" t="s">
        <v>575</v>
      </c>
      <c r="G1925">
        <v>3</v>
      </c>
      <c r="H1925" t="s">
        <v>578</v>
      </c>
      <c r="I1925" t="s">
        <v>570</v>
      </c>
      <c r="J1925" t="str">
        <f t="shared" si="90"/>
        <v>June</v>
      </c>
      <c r="K1925" t="str">
        <f t="shared" si="91"/>
        <v>Q2</v>
      </c>
      <c r="L1925">
        <f t="shared" si="92"/>
        <v>2025</v>
      </c>
    </row>
    <row r="1926" spans="1:12" x14ac:dyDescent="0.3">
      <c r="A1926" t="s">
        <v>3204</v>
      </c>
      <c r="B1926" t="s">
        <v>3205</v>
      </c>
      <c r="C1926" t="s">
        <v>108</v>
      </c>
      <c r="D1926">
        <v>1</v>
      </c>
      <c r="E1926" s="1">
        <v>45761</v>
      </c>
      <c r="F1926" t="s">
        <v>572</v>
      </c>
      <c r="G1926">
        <v>3</v>
      </c>
      <c r="H1926" t="s">
        <v>578</v>
      </c>
      <c r="I1926" t="s">
        <v>570</v>
      </c>
      <c r="J1926" t="str">
        <f t="shared" si="90"/>
        <v>April</v>
      </c>
      <c r="K1926" t="str">
        <f t="shared" si="91"/>
        <v>Q2</v>
      </c>
      <c r="L1926">
        <f t="shared" si="92"/>
        <v>2025</v>
      </c>
    </row>
    <row r="1927" spans="1:12" x14ac:dyDescent="0.3">
      <c r="A1927" t="s">
        <v>3206</v>
      </c>
      <c r="B1927" t="s">
        <v>3205</v>
      </c>
      <c r="C1927" t="s">
        <v>108</v>
      </c>
      <c r="D1927">
        <v>2</v>
      </c>
      <c r="E1927" s="1">
        <v>45771</v>
      </c>
      <c r="F1927" t="s">
        <v>575</v>
      </c>
      <c r="G1927">
        <v>3</v>
      </c>
      <c r="H1927" t="s">
        <v>578</v>
      </c>
      <c r="I1927" t="s">
        <v>597</v>
      </c>
      <c r="J1927" t="str">
        <f t="shared" si="90"/>
        <v>April</v>
      </c>
      <c r="K1927" t="str">
        <f t="shared" si="91"/>
        <v>Q2</v>
      </c>
      <c r="L1927">
        <f t="shared" si="92"/>
        <v>2025</v>
      </c>
    </row>
    <row r="1928" spans="1:12" x14ac:dyDescent="0.3">
      <c r="A1928" t="s">
        <v>3207</v>
      </c>
      <c r="B1928" t="s">
        <v>3205</v>
      </c>
      <c r="C1928" t="s">
        <v>108</v>
      </c>
      <c r="D1928">
        <v>3</v>
      </c>
      <c r="E1928" s="1">
        <v>45779</v>
      </c>
      <c r="F1928" t="s">
        <v>572</v>
      </c>
      <c r="G1928">
        <v>2</v>
      </c>
      <c r="H1928" t="s">
        <v>569</v>
      </c>
      <c r="I1928" t="s">
        <v>570</v>
      </c>
      <c r="J1928" t="str">
        <f t="shared" si="90"/>
        <v>May</v>
      </c>
      <c r="K1928" t="str">
        <f t="shared" si="91"/>
        <v>Q2</v>
      </c>
      <c r="L1928">
        <f t="shared" si="92"/>
        <v>2025</v>
      </c>
    </row>
    <row r="1929" spans="1:12" x14ac:dyDescent="0.3">
      <c r="A1929" t="s">
        <v>3208</v>
      </c>
      <c r="B1929" t="s">
        <v>3209</v>
      </c>
      <c r="C1929" t="s">
        <v>176</v>
      </c>
      <c r="D1929">
        <v>1</v>
      </c>
      <c r="E1929" s="1">
        <v>45702</v>
      </c>
      <c r="F1929" t="s">
        <v>638</v>
      </c>
      <c r="G1929">
        <v>3</v>
      </c>
      <c r="H1929" t="s">
        <v>578</v>
      </c>
      <c r="I1929" t="s">
        <v>570</v>
      </c>
      <c r="J1929" t="str">
        <f t="shared" si="90"/>
        <v>February</v>
      </c>
      <c r="K1929" t="str">
        <f t="shared" si="91"/>
        <v>Q1</v>
      </c>
      <c r="L1929">
        <f t="shared" si="92"/>
        <v>2025</v>
      </c>
    </row>
    <row r="1930" spans="1:12" x14ac:dyDescent="0.3">
      <c r="A1930" t="s">
        <v>3210</v>
      </c>
      <c r="B1930" t="s">
        <v>3209</v>
      </c>
      <c r="C1930" t="s">
        <v>176</v>
      </c>
      <c r="D1930">
        <v>2</v>
      </c>
      <c r="E1930" s="1">
        <v>45706</v>
      </c>
      <c r="F1930" t="s">
        <v>572</v>
      </c>
      <c r="G1930">
        <v>2</v>
      </c>
      <c r="H1930" t="s">
        <v>569</v>
      </c>
      <c r="I1930" t="s">
        <v>570</v>
      </c>
      <c r="J1930" t="str">
        <f t="shared" si="90"/>
        <v>February</v>
      </c>
      <c r="K1930" t="str">
        <f t="shared" si="91"/>
        <v>Q1</v>
      </c>
      <c r="L1930">
        <f t="shared" si="92"/>
        <v>2025</v>
      </c>
    </row>
    <row r="1931" spans="1:12" x14ac:dyDescent="0.3">
      <c r="A1931" t="s">
        <v>3211</v>
      </c>
      <c r="B1931" t="s">
        <v>112</v>
      </c>
      <c r="C1931" t="s">
        <v>10</v>
      </c>
      <c r="D1931">
        <v>1</v>
      </c>
      <c r="E1931" s="1">
        <v>45923</v>
      </c>
      <c r="F1931" t="s">
        <v>586</v>
      </c>
      <c r="G1931">
        <v>4</v>
      </c>
      <c r="H1931" t="s">
        <v>581</v>
      </c>
      <c r="I1931" t="s">
        <v>570</v>
      </c>
      <c r="J1931" t="str">
        <f t="shared" si="90"/>
        <v>September</v>
      </c>
      <c r="K1931" t="str">
        <f t="shared" si="91"/>
        <v>Q3</v>
      </c>
      <c r="L1931">
        <f t="shared" si="92"/>
        <v>2025</v>
      </c>
    </row>
    <row r="1932" spans="1:12" x14ac:dyDescent="0.3">
      <c r="A1932" t="s">
        <v>3212</v>
      </c>
      <c r="B1932" t="s">
        <v>112</v>
      </c>
      <c r="C1932" t="s">
        <v>10</v>
      </c>
      <c r="D1932">
        <v>2</v>
      </c>
      <c r="E1932" s="1">
        <v>45929</v>
      </c>
      <c r="F1932" t="s">
        <v>580</v>
      </c>
      <c r="G1932">
        <v>4</v>
      </c>
      <c r="H1932" t="s">
        <v>581</v>
      </c>
      <c r="I1932" t="s">
        <v>570</v>
      </c>
      <c r="J1932" t="str">
        <f t="shared" si="90"/>
        <v>September</v>
      </c>
      <c r="K1932" t="str">
        <f t="shared" si="91"/>
        <v>Q3</v>
      </c>
      <c r="L1932">
        <f t="shared" si="92"/>
        <v>2025</v>
      </c>
    </row>
    <row r="1933" spans="1:12" x14ac:dyDescent="0.3">
      <c r="A1933" t="s">
        <v>3213</v>
      </c>
      <c r="B1933" t="s">
        <v>330</v>
      </c>
      <c r="C1933" t="s">
        <v>41</v>
      </c>
      <c r="D1933">
        <v>1</v>
      </c>
      <c r="E1933" s="1">
        <v>45817</v>
      </c>
      <c r="G1933">
        <v>4</v>
      </c>
      <c r="H1933" t="s">
        <v>581</v>
      </c>
      <c r="I1933" t="s">
        <v>570</v>
      </c>
      <c r="J1933" t="str">
        <f t="shared" si="90"/>
        <v>June</v>
      </c>
      <c r="K1933" t="str">
        <f t="shared" si="91"/>
        <v>Q2</v>
      </c>
      <c r="L1933">
        <f t="shared" si="92"/>
        <v>2025</v>
      </c>
    </row>
    <row r="1934" spans="1:12" x14ac:dyDescent="0.3">
      <c r="A1934" t="s">
        <v>3214</v>
      </c>
      <c r="B1934" t="s">
        <v>3215</v>
      </c>
      <c r="C1934" t="s">
        <v>340</v>
      </c>
      <c r="D1934">
        <v>1</v>
      </c>
      <c r="E1934" s="1">
        <v>45678</v>
      </c>
      <c r="F1934" t="s">
        <v>600</v>
      </c>
      <c r="G1934">
        <v>2</v>
      </c>
      <c r="H1934" t="s">
        <v>569</v>
      </c>
      <c r="I1934" t="s">
        <v>570</v>
      </c>
      <c r="J1934" t="str">
        <f t="shared" si="90"/>
        <v>January</v>
      </c>
      <c r="K1934" t="str">
        <f t="shared" si="91"/>
        <v>Q1</v>
      </c>
      <c r="L1934">
        <f t="shared" si="92"/>
        <v>2025</v>
      </c>
    </row>
    <row r="1935" spans="1:12" x14ac:dyDescent="0.3">
      <c r="A1935" t="s">
        <v>3216</v>
      </c>
      <c r="B1935" t="s">
        <v>3215</v>
      </c>
      <c r="C1935" t="s">
        <v>340</v>
      </c>
      <c r="D1935">
        <v>2</v>
      </c>
      <c r="E1935" s="1">
        <v>45684</v>
      </c>
      <c r="F1935" t="s">
        <v>743</v>
      </c>
      <c r="G1935">
        <v>1</v>
      </c>
      <c r="H1935" t="s">
        <v>569</v>
      </c>
      <c r="I1935" t="s">
        <v>570</v>
      </c>
      <c r="J1935" t="str">
        <f t="shared" si="90"/>
        <v>January</v>
      </c>
      <c r="K1935" t="str">
        <f t="shared" si="91"/>
        <v>Q1</v>
      </c>
      <c r="L1935">
        <f t="shared" si="92"/>
        <v>2025</v>
      </c>
    </row>
    <row r="1936" spans="1:12" x14ac:dyDescent="0.3">
      <c r="A1936" t="s">
        <v>3217</v>
      </c>
      <c r="B1936" t="s">
        <v>3215</v>
      </c>
      <c r="C1936" t="s">
        <v>340</v>
      </c>
      <c r="D1936">
        <v>3</v>
      </c>
      <c r="E1936" s="1">
        <v>45688</v>
      </c>
      <c r="F1936" t="s">
        <v>743</v>
      </c>
      <c r="G1936">
        <v>1</v>
      </c>
      <c r="H1936" t="s">
        <v>569</v>
      </c>
      <c r="I1936" t="s">
        <v>597</v>
      </c>
      <c r="J1936" t="str">
        <f t="shared" si="90"/>
        <v>January</v>
      </c>
      <c r="K1936" t="str">
        <f t="shared" si="91"/>
        <v>Q1</v>
      </c>
      <c r="L1936">
        <f t="shared" si="92"/>
        <v>2025</v>
      </c>
    </row>
    <row r="1937" spans="1:12" x14ac:dyDescent="0.3">
      <c r="A1937" t="s">
        <v>3218</v>
      </c>
      <c r="B1937" t="s">
        <v>3219</v>
      </c>
      <c r="C1937" t="s">
        <v>187</v>
      </c>
      <c r="D1937">
        <v>1</v>
      </c>
      <c r="E1937" s="1">
        <v>45835</v>
      </c>
      <c r="F1937" t="s">
        <v>572</v>
      </c>
      <c r="G1937">
        <v>3</v>
      </c>
      <c r="H1937" t="s">
        <v>578</v>
      </c>
      <c r="I1937" t="s">
        <v>570</v>
      </c>
      <c r="J1937" t="str">
        <f t="shared" si="90"/>
        <v>June</v>
      </c>
      <c r="K1937" t="str">
        <f t="shared" si="91"/>
        <v>Q2</v>
      </c>
      <c r="L1937">
        <f t="shared" si="92"/>
        <v>2025</v>
      </c>
    </row>
    <row r="1938" spans="1:12" x14ac:dyDescent="0.3">
      <c r="A1938" t="s">
        <v>3220</v>
      </c>
      <c r="B1938" t="s">
        <v>3219</v>
      </c>
      <c r="C1938" t="s">
        <v>187</v>
      </c>
      <c r="D1938">
        <v>2</v>
      </c>
      <c r="E1938" s="1">
        <v>45844</v>
      </c>
      <c r="F1938" t="s">
        <v>596</v>
      </c>
      <c r="G1938">
        <v>3</v>
      </c>
      <c r="H1938" t="s">
        <v>578</v>
      </c>
      <c r="I1938" t="s">
        <v>608</v>
      </c>
      <c r="J1938" t="str">
        <f t="shared" si="90"/>
        <v>July</v>
      </c>
      <c r="K1938" t="str">
        <f t="shared" si="91"/>
        <v>Q3</v>
      </c>
      <c r="L1938">
        <f t="shared" si="92"/>
        <v>2025</v>
      </c>
    </row>
    <row r="1939" spans="1:12" x14ac:dyDescent="0.3">
      <c r="A1939" t="s">
        <v>3221</v>
      </c>
      <c r="B1939" t="s">
        <v>3222</v>
      </c>
      <c r="C1939" t="s">
        <v>208</v>
      </c>
      <c r="D1939">
        <v>1</v>
      </c>
      <c r="E1939" s="1">
        <v>45809</v>
      </c>
      <c r="F1939" t="s">
        <v>590</v>
      </c>
      <c r="G1939">
        <v>1</v>
      </c>
      <c r="H1939" t="s">
        <v>569</v>
      </c>
      <c r="I1939" t="s">
        <v>570</v>
      </c>
      <c r="J1939" t="str">
        <f t="shared" si="90"/>
        <v>June</v>
      </c>
      <c r="K1939" t="str">
        <f t="shared" si="91"/>
        <v>Q2</v>
      </c>
      <c r="L1939">
        <f t="shared" si="92"/>
        <v>2025</v>
      </c>
    </row>
    <row r="1940" spans="1:12" x14ac:dyDescent="0.3">
      <c r="A1940" t="s">
        <v>3223</v>
      </c>
      <c r="B1940" t="s">
        <v>3224</v>
      </c>
      <c r="C1940" t="s">
        <v>195</v>
      </c>
      <c r="D1940">
        <v>1</v>
      </c>
      <c r="E1940" s="1">
        <v>45854</v>
      </c>
      <c r="F1940" t="s">
        <v>584</v>
      </c>
      <c r="G1940">
        <v>2</v>
      </c>
      <c r="H1940" t="s">
        <v>569</v>
      </c>
      <c r="I1940" t="s">
        <v>570</v>
      </c>
      <c r="J1940" t="str">
        <f t="shared" si="90"/>
        <v>July</v>
      </c>
      <c r="K1940" t="str">
        <f t="shared" si="91"/>
        <v>Q3</v>
      </c>
      <c r="L1940">
        <f t="shared" si="92"/>
        <v>2025</v>
      </c>
    </row>
    <row r="1941" spans="1:12" x14ac:dyDescent="0.3">
      <c r="A1941" t="s">
        <v>3225</v>
      </c>
      <c r="B1941" t="s">
        <v>3224</v>
      </c>
      <c r="C1941" t="s">
        <v>195</v>
      </c>
      <c r="D1941">
        <v>2</v>
      </c>
      <c r="E1941" s="1">
        <v>45863</v>
      </c>
      <c r="F1941" t="s">
        <v>592</v>
      </c>
      <c r="G1941">
        <v>2</v>
      </c>
      <c r="H1941" t="s">
        <v>569</v>
      </c>
      <c r="I1941" t="s">
        <v>570</v>
      </c>
      <c r="J1941" t="str">
        <f t="shared" si="90"/>
        <v>July</v>
      </c>
      <c r="K1941" t="str">
        <f t="shared" si="91"/>
        <v>Q3</v>
      </c>
      <c r="L1941">
        <f t="shared" si="92"/>
        <v>2025</v>
      </c>
    </row>
    <row r="1942" spans="1:12" x14ac:dyDescent="0.3">
      <c r="A1942" t="s">
        <v>3226</v>
      </c>
      <c r="B1942" t="s">
        <v>3227</v>
      </c>
      <c r="C1942" t="s">
        <v>195</v>
      </c>
      <c r="D1942">
        <v>1</v>
      </c>
      <c r="E1942" s="1">
        <v>45855</v>
      </c>
      <c r="F1942" t="s">
        <v>584</v>
      </c>
      <c r="G1942">
        <v>3</v>
      </c>
      <c r="H1942" t="s">
        <v>578</v>
      </c>
      <c r="I1942" t="s">
        <v>570</v>
      </c>
      <c r="J1942" t="str">
        <f t="shared" si="90"/>
        <v>July</v>
      </c>
      <c r="K1942" t="str">
        <f t="shared" si="91"/>
        <v>Q3</v>
      </c>
      <c r="L1942">
        <f t="shared" si="92"/>
        <v>2025</v>
      </c>
    </row>
    <row r="1943" spans="1:12" x14ac:dyDescent="0.3">
      <c r="A1943" t="s">
        <v>3228</v>
      </c>
      <c r="B1943" t="s">
        <v>3227</v>
      </c>
      <c r="C1943" t="s">
        <v>195</v>
      </c>
      <c r="D1943">
        <v>2</v>
      </c>
      <c r="E1943" s="1">
        <v>45860</v>
      </c>
      <c r="F1943" t="s">
        <v>632</v>
      </c>
      <c r="G1943">
        <v>2</v>
      </c>
      <c r="H1943" t="s">
        <v>569</v>
      </c>
      <c r="I1943" t="s">
        <v>570</v>
      </c>
      <c r="J1943" t="str">
        <f t="shared" si="90"/>
        <v>July</v>
      </c>
      <c r="K1943" t="str">
        <f t="shared" si="91"/>
        <v>Q3</v>
      </c>
      <c r="L1943">
        <f t="shared" si="92"/>
        <v>2025</v>
      </c>
    </row>
    <row r="1944" spans="1:12" x14ac:dyDescent="0.3">
      <c r="A1944" t="s">
        <v>3229</v>
      </c>
      <c r="B1944" t="s">
        <v>3227</v>
      </c>
      <c r="C1944" t="s">
        <v>195</v>
      </c>
      <c r="D1944">
        <v>3</v>
      </c>
      <c r="E1944" s="1">
        <v>45870</v>
      </c>
      <c r="F1944" t="s">
        <v>575</v>
      </c>
      <c r="G1944">
        <v>1</v>
      </c>
      <c r="H1944" t="s">
        <v>569</v>
      </c>
      <c r="I1944" t="s">
        <v>608</v>
      </c>
      <c r="J1944" t="str">
        <f t="shared" si="90"/>
        <v>August</v>
      </c>
      <c r="K1944" t="str">
        <f t="shared" si="91"/>
        <v>Q3</v>
      </c>
      <c r="L1944">
        <f t="shared" si="92"/>
        <v>2025</v>
      </c>
    </row>
    <row r="1945" spans="1:12" x14ac:dyDescent="0.3">
      <c r="A1945" t="s">
        <v>3230</v>
      </c>
      <c r="B1945" t="s">
        <v>267</v>
      </c>
      <c r="C1945" t="s">
        <v>195</v>
      </c>
      <c r="D1945">
        <v>1</v>
      </c>
      <c r="E1945" s="1">
        <v>45858</v>
      </c>
      <c r="F1945" t="s">
        <v>632</v>
      </c>
      <c r="G1945">
        <v>4</v>
      </c>
      <c r="H1945" t="s">
        <v>581</v>
      </c>
      <c r="I1945" t="s">
        <v>570</v>
      </c>
      <c r="J1945" t="str">
        <f t="shared" si="90"/>
        <v>July</v>
      </c>
      <c r="K1945" t="str">
        <f t="shared" si="91"/>
        <v>Q3</v>
      </c>
      <c r="L1945">
        <f t="shared" si="92"/>
        <v>2025</v>
      </c>
    </row>
    <row r="1946" spans="1:12" x14ac:dyDescent="0.3">
      <c r="A1946" t="s">
        <v>3231</v>
      </c>
      <c r="B1946" t="s">
        <v>3232</v>
      </c>
      <c r="C1946" t="s">
        <v>542</v>
      </c>
      <c r="D1946">
        <v>1</v>
      </c>
      <c r="E1946" s="1">
        <v>45809</v>
      </c>
      <c r="F1946" t="s">
        <v>741</v>
      </c>
      <c r="G1946">
        <v>2</v>
      </c>
      <c r="H1946" t="s">
        <v>569</v>
      </c>
      <c r="I1946" t="s">
        <v>570</v>
      </c>
      <c r="J1946" t="str">
        <f t="shared" si="90"/>
        <v>June</v>
      </c>
      <c r="K1946" t="str">
        <f t="shared" si="91"/>
        <v>Q2</v>
      </c>
      <c r="L1946">
        <f t="shared" si="92"/>
        <v>2025</v>
      </c>
    </row>
    <row r="1947" spans="1:12" x14ac:dyDescent="0.3">
      <c r="A1947" t="s">
        <v>3233</v>
      </c>
      <c r="B1947" t="s">
        <v>3232</v>
      </c>
      <c r="C1947" t="s">
        <v>542</v>
      </c>
      <c r="D1947">
        <v>2</v>
      </c>
      <c r="E1947" s="1">
        <v>45813</v>
      </c>
      <c r="F1947" t="s">
        <v>638</v>
      </c>
      <c r="G1947">
        <v>2</v>
      </c>
      <c r="H1947" t="s">
        <v>569</v>
      </c>
      <c r="I1947" t="s">
        <v>570</v>
      </c>
      <c r="J1947" t="str">
        <f t="shared" si="90"/>
        <v>June</v>
      </c>
      <c r="K1947" t="str">
        <f t="shared" si="91"/>
        <v>Q2</v>
      </c>
      <c r="L1947">
        <f t="shared" si="92"/>
        <v>2025</v>
      </c>
    </row>
    <row r="1948" spans="1:12" x14ac:dyDescent="0.3">
      <c r="A1948" t="s">
        <v>3234</v>
      </c>
      <c r="B1948" t="s">
        <v>3232</v>
      </c>
      <c r="C1948" t="s">
        <v>542</v>
      </c>
      <c r="D1948">
        <v>3</v>
      </c>
      <c r="E1948" s="1">
        <v>45821</v>
      </c>
      <c r="F1948" t="s">
        <v>766</v>
      </c>
      <c r="G1948">
        <v>1</v>
      </c>
      <c r="H1948" t="s">
        <v>569</v>
      </c>
      <c r="I1948" t="s">
        <v>570</v>
      </c>
      <c r="J1948" t="str">
        <f t="shared" si="90"/>
        <v>June</v>
      </c>
      <c r="K1948" t="str">
        <f t="shared" si="91"/>
        <v>Q2</v>
      </c>
      <c r="L1948">
        <f t="shared" si="92"/>
        <v>2025</v>
      </c>
    </row>
    <row r="1949" spans="1:12" x14ac:dyDescent="0.3">
      <c r="A1949" t="s">
        <v>3235</v>
      </c>
      <c r="B1949" t="s">
        <v>3236</v>
      </c>
      <c r="C1949" t="s">
        <v>195</v>
      </c>
      <c r="D1949">
        <v>1</v>
      </c>
      <c r="E1949" s="1">
        <v>45858</v>
      </c>
      <c r="F1949" t="s">
        <v>592</v>
      </c>
      <c r="G1949">
        <v>3</v>
      </c>
      <c r="H1949" t="s">
        <v>578</v>
      </c>
      <c r="I1949" t="s">
        <v>570</v>
      </c>
      <c r="J1949" t="str">
        <f t="shared" si="90"/>
        <v>July</v>
      </c>
      <c r="K1949" t="str">
        <f t="shared" si="91"/>
        <v>Q3</v>
      </c>
      <c r="L1949">
        <f t="shared" si="92"/>
        <v>2025</v>
      </c>
    </row>
    <row r="1950" spans="1:12" x14ac:dyDescent="0.3">
      <c r="A1950" t="s">
        <v>3237</v>
      </c>
      <c r="B1950" t="s">
        <v>3236</v>
      </c>
      <c r="C1950" t="s">
        <v>195</v>
      </c>
      <c r="D1950">
        <v>2</v>
      </c>
      <c r="E1950" s="1">
        <v>45867</v>
      </c>
      <c r="F1950" t="s">
        <v>612</v>
      </c>
      <c r="G1950">
        <v>2</v>
      </c>
      <c r="H1950" t="s">
        <v>569</v>
      </c>
      <c r="I1950" t="s">
        <v>570</v>
      </c>
      <c r="J1950" t="str">
        <f t="shared" si="90"/>
        <v>July</v>
      </c>
      <c r="K1950" t="str">
        <f t="shared" si="91"/>
        <v>Q3</v>
      </c>
      <c r="L1950">
        <f t="shared" si="92"/>
        <v>2025</v>
      </c>
    </row>
    <row r="1951" spans="1:12" x14ac:dyDescent="0.3">
      <c r="A1951" t="s">
        <v>3238</v>
      </c>
      <c r="B1951" t="s">
        <v>3236</v>
      </c>
      <c r="C1951" t="s">
        <v>195</v>
      </c>
      <c r="D1951">
        <v>3</v>
      </c>
      <c r="E1951" s="1">
        <v>45879</v>
      </c>
      <c r="F1951" t="s">
        <v>612</v>
      </c>
      <c r="G1951">
        <v>2</v>
      </c>
      <c r="H1951" t="s">
        <v>569</v>
      </c>
      <c r="I1951" t="s">
        <v>570</v>
      </c>
      <c r="J1951" t="str">
        <f t="shared" si="90"/>
        <v>August</v>
      </c>
      <c r="K1951" t="str">
        <f t="shared" si="91"/>
        <v>Q3</v>
      </c>
      <c r="L1951">
        <f t="shared" si="92"/>
        <v>2025</v>
      </c>
    </row>
    <row r="1952" spans="1:12" x14ac:dyDescent="0.3">
      <c r="A1952" t="s">
        <v>3239</v>
      </c>
      <c r="B1952" t="s">
        <v>3236</v>
      </c>
      <c r="C1952" t="s">
        <v>195</v>
      </c>
      <c r="D1952">
        <v>4</v>
      </c>
      <c r="E1952" s="1">
        <v>45886</v>
      </c>
      <c r="F1952" t="s">
        <v>584</v>
      </c>
      <c r="G1952">
        <v>3</v>
      </c>
      <c r="H1952" t="s">
        <v>578</v>
      </c>
      <c r="I1952" t="s">
        <v>570</v>
      </c>
      <c r="J1952" t="str">
        <f t="shared" si="90"/>
        <v>August</v>
      </c>
      <c r="K1952" t="str">
        <f t="shared" si="91"/>
        <v>Q3</v>
      </c>
      <c r="L1952">
        <f t="shared" si="92"/>
        <v>2025</v>
      </c>
    </row>
    <row r="1953" spans="1:12" x14ac:dyDescent="0.3">
      <c r="A1953" t="s">
        <v>3240</v>
      </c>
      <c r="B1953" t="s">
        <v>3241</v>
      </c>
      <c r="C1953" t="s">
        <v>62</v>
      </c>
      <c r="D1953">
        <v>1</v>
      </c>
      <c r="E1953" s="1">
        <v>45700</v>
      </c>
      <c r="F1953" t="s">
        <v>572</v>
      </c>
      <c r="G1953">
        <v>1</v>
      </c>
      <c r="H1953" t="s">
        <v>569</v>
      </c>
      <c r="I1953" t="s">
        <v>570</v>
      </c>
      <c r="J1953" t="str">
        <f t="shared" si="90"/>
        <v>February</v>
      </c>
      <c r="K1953" t="str">
        <f t="shared" si="91"/>
        <v>Q1</v>
      </c>
      <c r="L1953">
        <f t="shared" si="92"/>
        <v>2025</v>
      </c>
    </row>
    <row r="1954" spans="1:12" x14ac:dyDescent="0.3">
      <c r="A1954" t="s">
        <v>3242</v>
      </c>
      <c r="B1954" t="s">
        <v>3241</v>
      </c>
      <c r="C1954" t="s">
        <v>62</v>
      </c>
      <c r="D1954">
        <v>2</v>
      </c>
      <c r="E1954" s="1">
        <v>45712</v>
      </c>
      <c r="F1954" t="s">
        <v>577</v>
      </c>
      <c r="G1954">
        <v>1</v>
      </c>
      <c r="H1954" t="s">
        <v>569</v>
      </c>
      <c r="I1954" t="s">
        <v>570</v>
      </c>
      <c r="J1954" t="str">
        <f t="shared" si="90"/>
        <v>February</v>
      </c>
      <c r="K1954" t="str">
        <f t="shared" si="91"/>
        <v>Q1</v>
      </c>
      <c r="L1954">
        <f t="shared" si="92"/>
        <v>2025</v>
      </c>
    </row>
    <row r="1955" spans="1:12" x14ac:dyDescent="0.3">
      <c r="A1955" t="s">
        <v>3243</v>
      </c>
      <c r="B1955" t="s">
        <v>3244</v>
      </c>
      <c r="C1955" t="s">
        <v>133</v>
      </c>
      <c r="D1955">
        <v>1</v>
      </c>
      <c r="E1955" s="1">
        <v>45707</v>
      </c>
      <c r="F1955" t="s">
        <v>629</v>
      </c>
      <c r="G1955">
        <v>2</v>
      </c>
      <c r="H1955" t="s">
        <v>569</v>
      </c>
      <c r="I1955" t="s">
        <v>570</v>
      </c>
      <c r="J1955" t="str">
        <f t="shared" si="90"/>
        <v>February</v>
      </c>
      <c r="K1955" t="str">
        <f t="shared" si="91"/>
        <v>Q1</v>
      </c>
      <c r="L1955">
        <f t="shared" si="92"/>
        <v>2025</v>
      </c>
    </row>
    <row r="1956" spans="1:12" x14ac:dyDescent="0.3">
      <c r="A1956" t="s">
        <v>3245</v>
      </c>
      <c r="B1956" t="s">
        <v>3244</v>
      </c>
      <c r="C1956" t="s">
        <v>133</v>
      </c>
      <c r="D1956">
        <v>2</v>
      </c>
      <c r="E1956" s="1">
        <v>45717</v>
      </c>
      <c r="F1956" t="s">
        <v>592</v>
      </c>
      <c r="G1956">
        <v>1</v>
      </c>
      <c r="H1956" t="s">
        <v>569</v>
      </c>
      <c r="I1956" t="s">
        <v>570</v>
      </c>
      <c r="J1956" t="str">
        <f t="shared" si="90"/>
        <v>March</v>
      </c>
      <c r="K1956" t="str">
        <f t="shared" si="91"/>
        <v>Q1</v>
      </c>
      <c r="L1956">
        <f t="shared" si="92"/>
        <v>2025</v>
      </c>
    </row>
    <row r="1957" spans="1:12" x14ac:dyDescent="0.3">
      <c r="A1957" t="s">
        <v>3246</v>
      </c>
      <c r="B1957" t="s">
        <v>3244</v>
      </c>
      <c r="C1957" t="s">
        <v>133</v>
      </c>
      <c r="D1957">
        <v>3</v>
      </c>
      <c r="E1957" s="1">
        <v>45723</v>
      </c>
      <c r="G1957">
        <v>2</v>
      </c>
      <c r="H1957" t="s">
        <v>569</v>
      </c>
      <c r="I1957" t="s">
        <v>570</v>
      </c>
      <c r="J1957" t="str">
        <f t="shared" si="90"/>
        <v>March</v>
      </c>
      <c r="K1957" t="str">
        <f t="shared" si="91"/>
        <v>Q1</v>
      </c>
      <c r="L1957">
        <f t="shared" si="92"/>
        <v>2025</v>
      </c>
    </row>
    <row r="1958" spans="1:12" x14ac:dyDescent="0.3">
      <c r="A1958" t="s">
        <v>3247</v>
      </c>
      <c r="B1958" t="s">
        <v>3244</v>
      </c>
      <c r="C1958" t="s">
        <v>133</v>
      </c>
      <c r="D1958">
        <v>4</v>
      </c>
      <c r="E1958" s="1">
        <v>45729</v>
      </c>
      <c r="F1958" t="s">
        <v>632</v>
      </c>
      <c r="G1958">
        <v>1</v>
      </c>
      <c r="H1958" t="s">
        <v>569</v>
      </c>
      <c r="I1958" t="s">
        <v>570</v>
      </c>
      <c r="J1958" t="str">
        <f t="shared" si="90"/>
        <v>March</v>
      </c>
      <c r="K1958" t="str">
        <f t="shared" si="91"/>
        <v>Q1</v>
      </c>
      <c r="L1958">
        <f t="shared" si="92"/>
        <v>2025</v>
      </c>
    </row>
    <row r="1959" spans="1:12" x14ac:dyDescent="0.3">
      <c r="A1959" t="s">
        <v>3248</v>
      </c>
      <c r="B1959" t="s">
        <v>3249</v>
      </c>
      <c r="C1959" t="s">
        <v>973</v>
      </c>
      <c r="D1959">
        <v>1</v>
      </c>
      <c r="E1959" s="1">
        <v>45922</v>
      </c>
      <c r="F1959" t="s">
        <v>625</v>
      </c>
      <c r="G1959">
        <v>3</v>
      </c>
      <c r="H1959" t="s">
        <v>578</v>
      </c>
      <c r="I1959" t="s">
        <v>597</v>
      </c>
      <c r="J1959" t="str">
        <f t="shared" si="90"/>
        <v>September</v>
      </c>
      <c r="K1959" t="str">
        <f t="shared" si="91"/>
        <v>Q3</v>
      </c>
      <c r="L1959">
        <f t="shared" si="92"/>
        <v>2025</v>
      </c>
    </row>
    <row r="1960" spans="1:12" x14ac:dyDescent="0.3">
      <c r="A1960" t="s">
        <v>3250</v>
      </c>
      <c r="B1960" t="s">
        <v>3249</v>
      </c>
      <c r="C1960" t="s">
        <v>973</v>
      </c>
      <c r="D1960">
        <v>2</v>
      </c>
      <c r="E1960" s="1">
        <v>45934</v>
      </c>
      <c r="F1960" t="s">
        <v>636</v>
      </c>
      <c r="G1960">
        <v>3</v>
      </c>
      <c r="H1960" t="s">
        <v>578</v>
      </c>
      <c r="I1960" t="s">
        <v>570</v>
      </c>
      <c r="J1960" t="str">
        <f t="shared" si="90"/>
        <v>October</v>
      </c>
      <c r="K1960" t="str">
        <f t="shared" si="91"/>
        <v>Q4</v>
      </c>
      <c r="L1960">
        <f t="shared" si="92"/>
        <v>2025</v>
      </c>
    </row>
    <row r="1961" spans="1:12" x14ac:dyDescent="0.3">
      <c r="A1961" t="s">
        <v>3251</v>
      </c>
      <c r="B1961" t="s">
        <v>3249</v>
      </c>
      <c r="C1961" t="s">
        <v>973</v>
      </c>
      <c r="D1961">
        <v>3</v>
      </c>
      <c r="E1961" s="1">
        <v>45946</v>
      </c>
      <c r="F1961" t="s">
        <v>706</v>
      </c>
      <c r="G1961">
        <v>1</v>
      </c>
      <c r="H1961" t="s">
        <v>569</v>
      </c>
      <c r="I1961" t="s">
        <v>570</v>
      </c>
      <c r="J1961" t="str">
        <f t="shared" si="90"/>
        <v>October</v>
      </c>
      <c r="K1961" t="str">
        <f t="shared" si="91"/>
        <v>Q4</v>
      </c>
      <c r="L1961">
        <f t="shared" si="92"/>
        <v>2025</v>
      </c>
    </row>
    <row r="1962" spans="1:12" x14ac:dyDescent="0.3">
      <c r="A1962" t="s">
        <v>3252</v>
      </c>
      <c r="B1962" t="s">
        <v>3249</v>
      </c>
      <c r="C1962" t="s">
        <v>973</v>
      </c>
      <c r="D1962">
        <v>4</v>
      </c>
      <c r="E1962" s="1">
        <v>45950</v>
      </c>
      <c r="F1962" t="s">
        <v>706</v>
      </c>
      <c r="G1962">
        <v>3</v>
      </c>
      <c r="H1962" t="s">
        <v>578</v>
      </c>
      <c r="I1962" t="s">
        <v>570</v>
      </c>
      <c r="J1962" t="str">
        <f t="shared" si="90"/>
        <v>October</v>
      </c>
      <c r="K1962" t="str">
        <f t="shared" si="91"/>
        <v>Q4</v>
      </c>
      <c r="L1962">
        <f t="shared" si="92"/>
        <v>2025</v>
      </c>
    </row>
    <row r="1963" spans="1:12" x14ac:dyDescent="0.3">
      <c r="A1963" t="s">
        <v>3253</v>
      </c>
      <c r="B1963" t="s">
        <v>3254</v>
      </c>
      <c r="C1963" t="s">
        <v>65</v>
      </c>
      <c r="D1963">
        <v>1</v>
      </c>
      <c r="E1963" s="1">
        <v>45940</v>
      </c>
      <c r="F1963" t="s">
        <v>596</v>
      </c>
      <c r="G1963">
        <v>3</v>
      </c>
      <c r="H1963" t="s">
        <v>578</v>
      </c>
      <c r="I1963" t="s">
        <v>570</v>
      </c>
      <c r="J1963" t="str">
        <f t="shared" si="90"/>
        <v>October</v>
      </c>
      <c r="K1963" t="str">
        <f t="shared" si="91"/>
        <v>Q4</v>
      </c>
      <c r="L1963">
        <f t="shared" si="92"/>
        <v>2025</v>
      </c>
    </row>
    <row r="1964" spans="1:12" x14ac:dyDescent="0.3">
      <c r="A1964" t="s">
        <v>3255</v>
      </c>
      <c r="B1964" t="s">
        <v>3254</v>
      </c>
      <c r="C1964" t="s">
        <v>65</v>
      </c>
      <c r="D1964">
        <v>2</v>
      </c>
      <c r="E1964" s="1">
        <v>45951</v>
      </c>
      <c r="F1964" t="s">
        <v>568</v>
      </c>
      <c r="G1964">
        <v>3</v>
      </c>
      <c r="H1964" t="s">
        <v>578</v>
      </c>
      <c r="I1964" t="s">
        <v>597</v>
      </c>
      <c r="J1964" t="str">
        <f t="shared" si="90"/>
        <v>October</v>
      </c>
      <c r="K1964" t="str">
        <f t="shared" si="91"/>
        <v>Q4</v>
      </c>
      <c r="L1964">
        <f t="shared" si="92"/>
        <v>2025</v>
      </c>
    </row>
    <row r="1965" spans="1:12" x14ac:dyDescent="0.3">
      <c r="A1965" t="s">
        <v>3256</v>
      </c>
      <c r="B1965" t="s">
        <v>3254</v>
      </c>
      <c r="C1965" t="s">
        <v>65</v>
      </c>
      <c r="D1965">
        <v>3</v>
      </c>
      <c r="E1965" s="1">
        <v>45956</v>
      </c>
      <c r="F1965" t="s">
        <v>580</v>
      </c>
      <c r="G1965">
        <v>2</v>
      </c>
      <c r="H1965" t="s">
        <v>569</v>
      </c>
      <c r="I1965" t="s">
        <v>570</v>
      </c>
      <c r="J1965" t="str">
        <f t="shared" si="90"/>
        <v>October</v>
      </c>
      <c r="K1965" t="str">
        <f t="shared" si="91"/>
        <v>Q4</v>
      </c>
      <c r="L1965">
        <f t="shared" si="92"/>
        <v>2025</v>
      </c>
    </row>
    <row r="1966" spans="1:12" x14ac:dyDescent="0.3">
      <c r="A1966" t="s">
        <v>3257</v>
      </c>
      <c r="B1966" t="s">
        <v>3254</v>
      </c>
      <c r="C1966" t="s">
        <v>65</v>
      </c>
      <c r="D1966">
        <v>4</v>
      </c>
      <c r="E1966" s="1">
        <v>45963</v>
      </c>
      <c r="F1966" t="s">
        <v>580</v>
      </c>
      <c r="G1966">
        <v>1</v>
      </c>
      <c r="H1966" t="s">
        <v>569</v>
      </c>
      <c r="I1966" t="s">
        <v>570</v>
      </c>
      <c r="J1966" t="str">
        <f t="shared" si="90"/>
        <v>November</v>
      </c>
      <c r="K1966" t="str">
        <f t="shared" si="91"/>
        <v>Q4</v>
      </c>
      <c r="L1966">
        <f t="shared" si="92"/>
        <v>2025</v>
      </c>
    </row>
    <row r="1967" spans="1:12" x14ac:dyDescent="0.3">
      <c r="A1967" t="s">
        <v>3258</v>
      </c>
      <c r="B1967" t="s">
        <v>3259</v>
      </c>
      <c r="C1967" t="s">
        <v>260</v>
      </c>
      <c r="D1967">
        <v>1</v>
      </c>
      <c r="E1967" s="1">
        <v>45741</v>
      </c>
      <c r="F1967" t="s">
        <v>625</v>
      </c>
      <c r="G1967">
        <v>2</v>
      </c>
      <c r="H1967" t="s">
        <v>569</v>
      </c>
      <c r="I1967" t="s">
        <v>570</v>
      </c>
      <c r="J1967" t="str">
        <f t="shared" si="90"/>
        <v>March</v>
      </c>
      <c r="K1967" t="str">
        <f t="shared" si="91"/>
        <v>Q1</v>
      </c>
      <c r="L1967">
        <f t="shared" si="92"/>
        <v>2025</v>
      </c>
    </row>
    <row r="1968" spans="1:12" x14ac:dyDescent="0.3">
      <c r="A1968" t="s">
        <v>3260</v>
      </c>
      <c r="B1968" t="s">
        <v>3259</v>
      </c>
      <c r="C1968" t="s">
        <v>260</v>
      </c>
      <c r="D1968">
        <v>2</v>
      </c>
      <c r="E1968" s="1">
        <v>45746</v>
      </c>
      <c r="F1968" t="s">
        <v>605</v>
      </c>
      <c r="G1968">
        <v>2</v>
      </c>
      <c r="H1968" t="s">
        <v>569</v>
      </c>
      <c r="I1968" t="s">
        <v>570</v>
      </c>
      <c r="J1968" t="str">
        <f t="shared" si="90"/>
        <v>March</v>
      </c>
      <c r="K1968" t="str">
        <f t="shared" si="91"/>
        <v>Q1</v>
      </c>
      <c r="L1968">
        <f t="shared" si="92"/>
        <v>2025</v>
      </c>
    </row>
    <row r="1969" spans="1:12" x14ac:dyDescent="0.3">
      <c r="A1969" t="s">
        <v>3261</v>
      </c>
      <c r="B1969" t="s">
        <v>3259</v>
      </c>
      <c r="C1969" t="s">
        <v>260</v>
      </c>
      <c r="D1969">
        <v>3</v>
      </c>
      <c r="E1969" s="1">
        <v>45754</v>
      </c>
      <c r="F1969" t="s">
        <v>572</v>
      </c>
      <c r="G1969">
        <v>2</v>
      </c>
      <c r="H1969" t="s">
        <v>569</v>
      </c>
      <c r="I1969" t="s">
        <v>597</v>
      </c>
      <c r="J1969" t="str">
        <f t="shared" si="90"/>
        <v>April</v>
      </c>
      <c r="K1969" t="str">
        <f t="shared" si="91"/>
        <v>Q2</v>
      </c>
      <c r="L1969">
        <f t="shared" si="92"/>
        <v>2025</v>
      </c>
    </row>
    <row r="1970" spans="1:12" x14ac:dyDescent="0.3">
      <c r="A1970" t="s">
        <v>3262</v>
      </c>
      <c r="B1970" t="s">
        <v>3259</v>
      </c>
      <c r="C1970" t="s">
        <v>260</v>
      </c>
      <c r="D1970">
        <v>4</v>
      </c>
      <c r="E1970" s="1">
        <v>45762</v>
      </c>
      <c r="F1970" t="s">
        <v>612</v>
      </c>
      <c r="G1970">
        <v>1</v>
      </c>
      <c r="H1970" t="s">
        <v>569</v>
      </c>
      <c r="I1970" t="s">
        <v>570</v>
      </c>
      <c r="J1970" t="str">
        <f t="shared" si="90"/>
        <v>April</v>
      </c>
      <c r="K1970" t="str">
        <f t="shared" si="91"/>
        <v>Q2</v>
      </c>
      <c r="L1970">
        <f t="shared" si="92"/>
        <v>2025</v>
      </c>
    </row>
    <row r="1971" spans="1:12" x14ac:dyDescent="0.3">
      <c r="A1971" t="s">
        <v>3263</v>
      </c>
      <c r="B1971" t="s">
        <v>499</v>
      </c>
      <c r="C1971" t="s">
        <v>195</v>
      </c>
      <c r="D1971">
        <v>1</v>
      </c>
      <c r="E1971" s="1">
        <v>45854</v>
      </c>
      <c r="F1971" t="s">
        <v>592</v>
      </c>
      <c r="G1971">
        <v>4</v>
      </c>
      <c r="H1971" t="s">
        <v>581</v>
      </c>
      <c r="I1971" t="s">
        <v>570</v>
      </c>
      <c r="J1971" t="str">
        <f t="shared" si="90"/>
        <v>July</v>
      </c>
      <c r="K1971" t="str">
        <f t="shared" si="91"/>
        <v>Q3</v>
      </c>
      <c r="L1971">
        <f t="shared" si="92"/>
        <v>2025</v>
      </c>
    </row>
    <row r="1972" spans="1:12" x14ac:dyDescent="0.3">
      <c r="A1972" t="s">
        <v>3264</v>
      </c>
      <c r="B1972" t="s">
        <v>499</v>
      </c>
      <c r="C1972" t="s">
        <v>195</v>
      </c>
      <c r="D1972">
        <v>2</v>
      </c>
      <c r="E1972" s="1">
        <v>45864</v>
      </c>
      <c r="F1972" t="s">
        <v>584</v>
      </c>
      <c r="G1972">
        <v>4</v>
      </c>
      <c r="H1972" t="s">
        <v>581</v>
      </c>
      <c r="I1972" t="s">
        <v>570</v>
      </c>
      <c r="J1972" t="str">
        <f t="shared" si="90"/>
        <v>July</v>
      </c>
      <c r="K1972" t="str">
        <f t="shared" si="91"/>
        <v>Q3</v>
      </c>
      <c r="L1972">
        <f t="shared" si="92"/>
        <v>2025</v>
      </c>
    </row>
    <row r="1973" spans="1:12" x14ac:dyDescent="0.3">
      <c r="A1973" t="s">
        <v>3265</v>
      </c>
      <c r="B1973" t="s">
        <v>499</v>
      </c>
      <c r="C1973" t="s">
        <v>195</v>
      </c>
      <c r="D1973">
        <v>3</v>
      </c>
      <c r="E1973" s="1">
        <v>45869</v>
      </c>
      <c r="F1973" t="s">
        <v>584</v>
      </c>
      <c r="G1973">
        <v>3</v>
      </c>
      <c r="H1973" t="s">
        <v>578</v>
      </c>
      <c r="I1973" t="s">
        <v>570</v>
      </c>
      <c r="J1973" t="str">
        <f t="shared" si="90"/>
        <v>July</v>
      </c>
      <c r="K1973" t="str">
        <f t="shared" si="91"/>
        <v>Q3</v>
      </c>
      <c r="L1973">
        <f t="shared" si="92"/>
        <v>2025</v>
      </c>
    </row>
    <row r="1974" spans="1:12" x14ac:dyDescent="0.3">
      <c r="A1974" t="s">
        <v>3266</v>
      </c>
      <c r="B1974" t="s">
        <v>499</v>
      </c>
      <c r="C1974" t="s">
        <v>195</v>
      </c>
      <c r="D1974">
        <v>4</v>
      </c>
      <c r="E1974" s="1">
        <v>45881</v>
      </c>
      <c r="F1974" t="s">
        <v>586</v>
      </c>
      <c r="G1974">
        <v>4</v>
      </c>
      <c r="H1974" t="s">
        <v>581</v>
      </c>
      <c r="I1974" t="s">
        <v>570</v>
      </c>
      <c r="J1974" t="str">
        <f t="shared" si="90"/>
        <v>August</v>
      </c>
      <c r="K1974" t="str">
        <f t="shared" si="91"/>
        <v>Q3</v>
      </c>
      <c r="L1974">
        <f t="shared" si="92"/>
        <v>2025</v>
      </c>
    </row>
    <row r="1975" spans="1:12" x14ac:dyDescent="0.3">
      <c r="A1975" t="s">
        <v>3267</v>
      </c>
      <c r="B1975" t="s">
        <v>3268</v>
      </c>
      <c r="C1975" t="s">
        <v>68</v>
      </c>
      <c r="D1975">
        <v>1</v>
      </c>
      <c r="E1975" s="1">
        <v>45732</v>
      </c>
      <c r="F1975" t="s">
        <v>612</v>
      </c>
      <c r="G1975">
        <v>3</v>
      </c>
      <c r="H1975" t="s">
        <v>578</v>
      </c>
      <c r="I1975" t="s">
        <v>570</v>
      </c>
      <c r="J1975" t="str">
        <f t="shared" si="90"/>
        <v>March</v>
      </c>
      <c r="K1975" t="str">
        <f t="shared" si="91"/>
        <v>Q1</v>
      </c>
      <c r="L1975">
        <f t="shared" si="92"/>
        <v>2025</v>
      </c>
    </row>
    <row r="1976" spans="1:12" x14ac:dyDescent="0.3">
      <c r="A1976" t="s">
        <v>3269</v>
      </c>
      <c r="B1976" t="s">
        <v>3268</v>
      </c>
      <c r="C1976" t="s">
        <v>68</v>
      </c>
      <c r="D1976">
        <v>2</v>
      </c>
      <c r="E1976" s="1">
        <v>45740</v>
      </c>
      <c r="F1976" t="s">
        <v>586</v>
      </c>
      <c r="G1976">
        <v>5</v>
      </c>
      <c r="H1976" t="s">
        <v>581</v>
      </c>
      <c r="I1976" t="s">
        <v>570</v>
      </c>
      <c r="J1976" t="str">
        <f t="shared" si="90"/>
        <v>March</v>
      </c>
      <c r="K1976" t="str">
        <f t="shared" si="91"/>
        <v>Q1</v>
      </c>
      <c r="L1976">
        <f t="shared" si="92"/>
        <v>2025</v>
      </c>
    </row>
    <row r="1977" spans="1:12" x14ac:dyDescent="0.3">
      <c r="A1977" t="s">
        <v>3270</v>
      </c>
      <c r="B1977" t="s">
        <v>3268</v>
      </c>
      <c r="C1977" t="s">
        <v>68</v>
      </c>
      <c r="D1977">
        <v>3</v>
      </c>
      <c r="E1977" s="1">
        <v>45745</v>
      </c>
      <c r="F1977" t="s">
        <v>592</v>
      </c>
      <c r="G1977">
        <v>4</v>
      </c>
      <c r="H1977" t="s">
        <v>581</v>
      </c>
      <c r="I1977" t="s">
        <v>570</v>
      </c>
      <c r="J1977" t="str">
        <f t="shared" si="90"/>
        <v>March</v>
      </c>
      <c r="K1977" t="str">
        <f t="shared" si="91"/>
        <v>Q1</v>
      </c>
      <c r="L1977">
        <f t="shared" si="92"/>
        <v>2025</v>
      </c>
    </row>
    <row r="1978" spans="1:12" x14ac:dyDescent="0.3">
      <c r="A1978" t="s">
        <v>3271</v>
      </c>
      <c r="B1978" t="s">
        <v>3268</v>
      </c>
      <c r="C1978" t="s">
        <v>68</v>
      </c>
      <c r="D1978">
        <v>4</v>
      </c>
      <c r="E1978" s="1">
        <v>45757</v>
      </c>
      <c r="F1978" t="s">
        <v>584</v>
      </c>
      <c r="G1978">
        <v>5</v>
      </c>
      <c r="H1978" t="s">
        <v>581</v>
      </c>
      <c r="I1978" t="s">
        <v>570</v>
      </c>
      <c r="J1978" t="str">
        <f t="shared" si="90"/>
        <v>April</v>
      </c>
      <c r="K1978" t="str">
        <f t="shared" si="91"/>
        <v>Q2</v>
      </c>
      <c r="L1978">
        <f t="shared" si="92"/>
        <v>2025</v>
      </c>
    </row>
    <row r="1979" spans="1:12" x14ac:dyDescent="0.3">
      <c r="A1979" t="s">
        <v>3272</v>
      </c>
      <c r="B1979" t="s">
        <v>95</v>
      </c>
      <c r="C1979" t="s">
        <v>96</v>
      </c>
      <c r="D1979">
        <v>1</v>
      </c>
      <c r="E1979" s="1">
        <v>45882</v>
      </c>
      <c r="F1979" t="s">
        <v>625</v>
      </c>
      <c r="G1979">
        <v>3</v>
      </c>
      <c r="H1979" t="s">
        <v>578</v>
      </c>
      <c r="I1979" t="s">
        <v>570</v>
      </c>
      <c r="J1979" t="str">
        <f t="shared" si="90"/>
        <v>August</v>
      </c>
      <c r="K1979" t="str">
        <f t="shared" si="91"/>
        <v>Q3</v>
      </c>
      <c r="L1979">
        <f t="shared" si="92"/>
        <v>2025</v>
      </c>
    </row>
    <row r="1980" spans="1:12" x14ac:dyDescent="0.3">
      <c r="A1980" t="s">
        <v>3273</v>
      </c>
      <c r="B1980" t="s">
        <v>95</v>
      </c>
      <c r="C1980" t="s">
        <v>96</v>
      </c>
      <c r="D1980">
        <v>2</v>
      </c>
      <c r="E1980" s="1">
        <v>45892</v>
      </c>
      <c r="F1980" t="s">
        <v>612</v>
      </c>
      <c r="G1980">
        <v>4</v>
      </c>
      <c r="H1980" t="s">
        <v>581</v>
      </c>
      <c r="I1980" t="s">
        <v>570</v>
      </c>
      <c r="J1980" t="str">
        <f t="shared" si="90"/>
        <v>August</v>
      </c>
      <c r="K1980" t="str">
        <f t="shared" si="91"/>
        <v>Q3</v>
      </c>
      <c r="L1980">
        <f t="shared" si="92"/>
        <v>2025</v>
      </c>
    </row>
    <row r="1981" spans="1:12" x14ac:dyDescent="0.3">
      <c r="A1981" t="s">
        <v>3274</v>
      </c>
      <c r="B1981" t="s">
        <v>235</v>
      </c>
      <c r="C1981" t="s">
        <v>65</v>
      </c>
      <c r="D1981">
        <v>1</v>
      </c>
      <c r="E1981" s="1">
        <v>45926</v>
      </c>
      <c r="F1981" t="s">
        <v>596</v>
      </c>
      <c r="G1981">
        <v>4</v>
      </c>
      <c r="H1981" t="s">
        <v>581</v>
      </c>
      <c r="I1981" t="s">
        <v>570</v>
      </c>
      <c r="J1981" t="str">
        <f t="shared" si="90"/>
        <v>September</v>
      </c>
      <c r="K1981" t="str">
        <f t="shared" si="91"/>
        <v>Q3</v>
      </c>
      <c r="L1981">
        <f t="shared" si="92"/>
        <v>2025</v>
      </c>
    </row>
    <row r="1982" spans="1:12" x14ac:dyDescent="0.3">
      <c r="A1982" t="s">
        <v>3275</v>
      </c>
      <c r="B1982" t="s">
        <v>235</v>
      </c>
      <c r="C1982" t="s">
        <v>65</v>
      </c>
      <c r="D1982">
        <v>2</v>
      </c>
      <c r="E1982" s="1">
        <v>45935</v>
      </c>
      <c r="F1982" t="s">
        <v>568</v>
      </c>
      <c r="G1982">
        <v>4</v>
      </c>
      <c r="H1982" t="s">
        <v>581</v>
      </c>
      <c r="I1982" t="s">
        <v>570</v>
      </c>
      <c r="J1982" t="str">
        <f t="shared" si="90"/>
        <v>October</v>
      </c>
      <c r="K1982" t="str">
        <f t="shared" si="91"/>
        <v>Q4</v>
      </c>
      <c r="L1982">
        <f t="shared" si="92"/>
        <v>2025</v>
      </c>
    </row>
    <row r="1983" spans="1:12" x14ac:dyDescent="0.3">
      <c r="A1983" t="s">
        <v>3276</v>
      </c>
      <c r="B1983" t="s">
        <v>3277</v>
      </c>
      <c r="C1983" t="s">
        <v>326</v>
      </c>
      <c r="D1983">
        <v>1</v>
      </c>
      <c r="E1983" s="1">
        <v>45755</v>
      </c>
      <c r="F1983" t="s">
        <v>638</v>
      </c>
      <c r="G1983">
        <v>4</v>
      </c>
      <c r="H1983" t="s">
        <v>581</v>
      </c>
      <c r="I1983" t="s">
        <v>570</v>
      </c>
      <c r="J1983" t="str">
        <f t="shared" si="90"/>
        <v>April</v>
      </c>
      <c r="K1983" t="str">
        <f t="shared" si="91"/>
        <v>Q2</v>
      </c>
      <c r="L1983">
        <f t="shared" si="92"/>
        <v>2025</v>
      </c>
    </row>
    <row r="1984" spans="1:12" x14ac:dyDescent="0.3">
      <c r="A1984" t="s">
        <v>3278</v>
      </c>
      <c r="B1984" t="s">
        <v>3277</v>
      </c>
      <c r="C1984" t="s">
        <v>326</v>
      </c>
      <c r="D1984">
        <v>2</v>
      </c>
      <c r="E1984" s="1">
        <v>45766</v>
      </c>
      <c r="F1984" t="s">
        <v>596</v>
      </c>
      <c r="G1984">
        <v>4</v>
      </c>
      <c r="H1984" t="s">
        <v>581</v>
      </c>
      <c r="I1984" t="s">
        <v>570</v>
      </c>
      <c r="J1984" t="str">
        <f t="shared" si="90"/>
        <v>April</v>
      </c>
      <c r="K1984" t="str">
        <f t="shared" si="91"/>
        <v>Q2</v>
      </c>
      <c r="L1984">
        <f t="shared" si="92"/>
        <v>2025</v>
      </c>
    </row>
    <row r="1985" spans="1:12" x14ac:dyDescent="0.3">
      <c r="A1985" t="s">
        <v>3279</v>
      </c>
      <c r="B1985" t="s">
        <v>3277</v>
      </c>
      <c r="C1985" t="s">
        <v>326</v>
      </c>
      <c r="D1985">
        <v>3</v>
      </c>
      <c r="E1985" s="1">
        <v>45778</v>
      </c>
      <c r="F1985" t="s">
        <v>596</v>
      </c>
      <c r="G1985">
        <v>4</v>
      </c>
      <c r="H1985" t="s">
        <v>581</v>
      </c>
      <c r="I1985" t="s">
        <v>597</v>
      </c>
      <c r="J1985" t="str">
        <f t="shared" si="90"/>
        <v>May</v>
      </c>
      <c r="K1985" t="str">
        <f t="shared" si="91"/>
        <v>Q2</v>
      </c>
      <c r="L1985">
        <f t="shared" si="92"/>
        <v>2025</v>
      </c>
    </row>
    <row r="1986" spans="1:12" x14ac:dyDescent="0.3">
      <c r="A1986" t="s">
        <v>3280</v>
      </c>
      <c r="B1986" t="s">
        <v>3281</v>
      </c>
      <c r="C1986" t="s">
        <v>191</v>
      </c>
      <c r="D1986">
        <v>1</v>
      </c>
      <c r="E1986" s="1">
        <v>45666</v>
      </c>
      <c r="F1986" t="s">
        <v>600</v>
      </c>
      <c r="G1986">
        <v>2</v>
      </c>
      <c r="H1986" t="s">
        <v>569</v>
      </c>
      <c r="I1986" t="s">
        <v>570</v>
      </c>
      <c r="J1986" t="str">
        <f t="shared" ref="J1986:J2049" si="93">TEXT(E1986,"mmmm")</f>
        <v>January</v>
      </c>
      <c r="K1986" t="str">
        <f t="shared" ref="K1986:K2049" si="94">"Q"&amp;ROUNDUP(MONTH(E1986)/3,0)</f>
        <v>Q1</v>
      </c>
      <c r="L1986">
        <f t="shared" ref="L1986:L2049" si="95">YEAR(E1986)</f>
        <v>2025</v>
      </c>
    </row>
    <row r="1987" spans="1:12" x14ac:dyDescent="0.3">
      <c r="A1987" t="s">
        <v>3282</v>
      </c>
      <c r="B1987" t="s">
        <v>3281</v>
      </c>
      <c r="C1987" t="s">
        <v>191</v>
      </c>
      <c r="D1987">
        <v>2</v>
      </c>
      <c r="E1987" s="1">
        <v>45672</v>
      </c>
      <c r="F1987" t="s">
        <v>621</v>
      </c>
      <c r="G1987">
        <v>1</v>
      </c>
      <c r="H1987" t="s">
        <v>569</v>
      </c>
      <c r="I1987" t="s">
        <v>570</v>
      </c>
      <c r="J1987" t="str">
        <f t="shared" si="93"/>
        <v>January</v>
      </c>
      <c r="K1987" t="str">
        <f t="shared" si="94"/>
        <v>Q1</v>
      </c>
      <c r="L1987">
        <f t="shared" si="95"/>
        <v>2025</v>
      </c>
    </row>
    <row r="1988" spans="1:12" x14ac:dyDescent="0.3">
      <c r="A1988" t="s">
        <v>3283</v>
      </c>
      <c r="B1988" t="s">
        <v>3284</v>
      </c>
      <c r="C1988" t="s">
        <v>156</v>
      </c>
      <c r="D1988">
        <v>1</v>
      </c>
      <c r="E1988" s="1">
        <v>45740</v>
      </c>
      <c r="F1988" t="s">
        <v>741</v>
      </c>
      <c r="G1988">
        <v>4</v>
      </c>
      <c r="H1988" t="s">
        <v>581</v>
      </c>
      <c r="I1988" t="s">
        <v>570</v>
      </c>
      <c r="J1988" t="str">
        <f t="shared" si="93"/>
        <v>March</v>
      </c>
      <c r="K1988" t="str">
        <f t="shared" si="94"/>
        <v>Q1</v>
      </c>
      <c r="L1988">
        <f t="shared" si="95"/>
        <v>2025</v>
      </c>
    </row>
    <row r="1989" spans="1:12" x14ac:dyDescent="0.3">
      <c r="A1989" t="s">
        <v>3285</v>
      </c>
      <c r="B1989" t="s">
        <v>3286</v>
      </c>
      <c r="C1989" t="s">
        <v>96</v>
      </c>
      <c r="D1989">
        <v>1</v>
      </c>
      <c r="E1989" s="1">
        <v>45889</v>
      </c>
      <c r="F1989" t="s">
        <v>625</v>
      </c>
      <c r="G1989">
        <v>1</v>
      </c>
      <c r="H1989" t="s">
        <v>569</v>
      </c>
      <c r="I1989" t="s">
        <v>570</v>
      </c>
      <c r="J1989" t="str">
        <f t="shared" si="93"/>
        <v>August</v>
      </c>
      <c r="K1989" t="str">
        <f t="shared" si="94"/>
        <v>Q3</v>
      </c>
      <c r="L1989">
        <f t="shared" si="95"/>
        <v>2025</v>
      </c>
    </row>
    <row r="1990" spans="1:12" x14ac:dyDescent="0.3">
      <c r="A1990" t="s">
        <v>3287</v>
      </c>
      <c r="B1990" t="s">
        <v>3286</v>
      </c>
      <c r="C1990" t="s">
        <v>96</v>
      </c>
      <c r="D1990">
        <v>2</v>
      </c>
      <c r="E1990" s="1">
        <v>45897</v>
      </c>
      <c r="F1990" t="s">
        <v>572</v>
      </c>
      <c r="G1990">
        <v>1</v>
      </c>
      <c r="H1990" t="s">
        <v>569</v>
      </c>
      <c r="I1990" t="s">
        <v>570</v>
      </c>
      <c r="J1990" t="str">
        <f t="shared" si="93"/>
        <v>August</v>
      </c>
      <c r="K1990" t="str">
        <f t="shared" si="94"/>
        <v>Q3</v>
      </c>
      <c r="L1990">
        <f t="shared" si="95"/>
        <v>2025</v>
      </c>
    </row>
    <row r="1991" spans="1:12" x14ac:dyDescent="0.3">
      <c r="A1991" t="s">
        <v>3288</v>
      </c>
      <c r="B1991" t="s">
        <v>122</v>
      </c>
      <c r="C1991" t="s">
        <v>123</v>
      </c>
      <c r="D1991">
        <v>1</v>
      </c>
      <c r="E1991" s="1">
        <v>45788</v>
      </c>
      <c r="F1991" t="s">
        <v>584</v>
      </c>
      <c r="G1991">
        <v>5</v>
      </c>
      <c r="H1991" t="s">
        <v>581</v>
      </c>
      <c r="I1991" t="s">
        <v>570</v>
      </c>
      <c r="J1991" t="str">
        <f t="shared" si="93"/>
        <v>May</v>
      </c>
      <c r="K1991" t="str">
        <f t="shared" si="94"/>
        <v>Q2</v>
      </c>
      <c r="L1991">
        <f t="shared" si="95"/>
        <v>2025</v>
      </c>
    </row>
    <row r="1992" spans="1:12" x14ac:dyDescent="0.3">
      <c r="A1992" t="s">
        <v>3289</v>
      </c>
      <c r="B1992" t="s">
        <v>122</v>
      </c>
      <c r="C1992" t="s">
        <v>123</v>
      </c>
      <c r="D1992">
        <v>2</v>
      </c>
      <c r="E1992" s="1">
        <v>45797</v>
      </c>
      <c r="F1992" t="s">
        <v>766</v>
      </c>
      <c r="G1992">
        <v>4</v>
      </c>
      <c r="H1992" t="s">
        <v>581</v>
      </c>
      <c r="I1992" t="s">
        <v>570</v>
      </c>
      <c r="J1992" t="str">
        <f t="shared" si="93"/>
        <v>May</v>
      </c>
      <c r="K1992" t="str">
        <f t="shared" si="94"/>
        <v>Q2</v>
      </c>
      <c r="L1992">
        <f t="shared" si="95"/>
        <v>2025</v>
      </c>
    </row>
    <row r="1993" spans="1:12" x14ac:dyDescent="0.3">
      <c r="A1993" t="s">
        <v>3290</v>
      </c>
      <c r="B1993" t="s">
        <v>122</v>
      </c>
      <c r="C1993" t="s">
        <v>123</v>
      </c>
      <c r="D1993">
        <v>3</v>
      </c>
      <c r="E1993" s="1">
        <v>45806</v>
      </c>
      <c r="F1993" t="s">
        <v>632</v>
      </c>
      <c r="G1993">
        <v>4</v>
      </c>
      <c r="H1993" t="s">
        <v>581</v>
      </c>
      <c r="I1993" t="s">
        <v>570</v>
      </c>
      <c r="J1993" t="str">
        <f t="shared" si="93"/>
        <v>May</v>
      </c>
      <c r="K1993" t="str">
        <f t="shared" si="94"/>
        <v>Q2</v>
      </c>
      <c r="L1993">
        <f t="shared" si="95"/>
        <v>2025</v>
      </c>
    </row>
    <row r="1994" spans="1:12" x14ac:dyDescent="0.3">
      <c r="A1994" t="s">
        <v>3291</v>
      </c>
      <c r="B1994" t="s">
        <v>369</v>
      </c>
      <c r="C1994" t="s">
        <v>156</v>
      </c>
      <c r="D1994">
        <v>1</v>
      </c>
      <c r="E1994" s="1">
        <v>45729</v>
      </c>
      <c r="F1994" t="s">
        <v>590</v>
      </c>
      <c r="G1994">
        <v>3</v>
      </c>
      <c r="H1994" t="s">
        <v>578</v>
      </c>
      <c r="I1994" t="s">
        <v>570</v>
      </c>
      <c r="J1994" t="str">
        <f t="shared" si="93"/>
        <v>March</v>
      </c>
      <c r="K1994" t="str">
        <f t="shared" si="94"/>
        <v>Q1</v>
      </c>
      <c r="L1994">
        <f t="shared" si="95"/>
        <v>2025</v>
      </c>
    </row>
    <row r="1995" spans="1:12" x14ac:dyDescent="0.3">
      <c r="A1995" t="s">
        <v>3292</v>
      </c>
      <c r="B1995" t="s">
        <v>369</v>
      </c>
      <c r="C1995" t="s">
        <v>156</v>
      </c>
      <c r="D1995">
        <v>2</v>
      </c>
      <c r="E1995" s="1">
        <v>45735</v>
      </c>
      <c r="F1995" t="s">
        <v>638</v>
      </c>
      <c r="G1995">
        <v>4</v>
      </c>
      <c r="H1995" t="s">
        <v>581</v>
      </c>
      <c r="I1995" t="s">
        <v>570</v>
      </c>
      <c r="J1995" t="str">
        <f t="shared" si="93"/>
        <v>March</v>
      </c>
      <c r="K1995" t="str">
        <f t="shared" si="94"/>
        <v>Q1</v>
      </c>
      <c r="L1995">
        <f t="shared" si="95"/>
        <v>2025</v>
      </c>
    </row>
    <row r="1996" spans="1:12" x14ac:dyDescent="0.3">
      <c r="A1996" t="s">
        <v>3293</v>
      </c>
      <c r="B1996" t="s">
        <v>309</v>
      </c>
      <c r="C1996" t="s">
        <v>78</v>
      </c>
      <c r="D1996">
        <v>1</v>
      </c>
      <c r="E1996" s="1">
        <v>45907</v>
      </c>
      <c r="F1996" t="s">
        <v>586</v>
      </c>
      <c r="G1996">
        <v>3</v>
      </c>
      <c r="H1996" t="s">
        <v>578</v>
      </c>
      <c r="I1996" t="s">
        <v>570</v>
      </c>
      <c r="J1996" t="str">
        <f t="shared" si="93"/>
        <v>September</v>
      </c>
      <c r="K1996" t="str">
        <f t="shared" si="94"/>
        <v>Q3</v>
      </c>
      <c r="L1996">
        <f t="shared" si="95"/>
        <v>2025</v>
      </c>
    </row>
    <row r="1997" spans="1:12" x14ac:dyDescent="0.3">
      <c r="A1997" t="s">
        <v>3294</v>
      </c>
      <c r="B1997" t="s">
        <v>309</v>
      </c>
      <c r="C1997" t="s">
        <v>78</v>
      </c>
      <c r="D1997">
        <v>2</v>
      </c>
      <c r="E1997" s="1">
        <v>45912</v>
      </c>
      <c r="F1997" t="s">
        <v>663</v>
      </c>
      <c r="G1997">
        <v>5</v>
      </c>
      <c r="H1997" t="s">
        <v>581</v>
      </c>
      <c r="I1997" t="s">
        <v>570</v>
      </c>
      <c r="J1997" t="str">
        <f t="shared" si="93"/>
        <v>September</v>
      </c>
      <c r="K1997" t="str">
        <f t="shared" si="94"/>
        <v>Q3</v>
      </c>
      <c r="L1997">
        <f t="shared" si="95"/>
        <v>2025</v>
      </c>
    </row>
    <row r="1998" spans="1:12" x14ac:dyDescent="0.3">
      <c r="A1998" t="s">
        <v>3295</v>
      </c>
      <c r="B1998" t="s">
        <v>3296</v>
      </c>
      <c r="C1998" t="s">
        <v>133</v>
      </c>
      <c r="D1998">
        <v>1</v>
      </c>
      <c r="E1998" s="1">
        <v>45696</v>
      </c>
      <c r="F1998" t="s">
        <v>592</v>
      </c>
      <c r="G1998">
        <v>1</v>
      </c>
      <c r="H1998" t="s">
        <v>569</v>
      </c>
      <c r="I1998" t="s">
        <v>570</v>
      </c>
      <c r="J1998" t="str">
        <f t="shared" si="93"/>
        <v>February</v>
      </c>
      <c r="K1998" t="str">
        <f t="shared" si="94"/>
        <v>Q1</v>
      </c>
      <c r="L1998">
        <f t="shared" si="95"/>
        <v>2025</v>
      </c>
    </row>
    <row r="1999" spans="1:12" x14ac:dyDescent="0.3">
      <c r="A1999" t="s">
        <v>3297</v>
      </c>
      <c r="B1999" t="s">
        <v>3296</v>
      </c>
      <c r="C1999" t="s">
        <v>133</v>
      </c>
      <c r="D1999">
        <v>2</v>
      </c>
      <c r="E1999" s="1">
        <v>45707</v>
      </c>
      <c r="F1999" t="s">
        <v>584</v>
      </c>
      <c r="G1999">
        <v>3</v>
      </c>
      <c r="H1999" t="s">
        <v>578</v>
      </c>
      <c r="I1999" t="s">
        <v>570</v>
      </c>
      <c r="J1999" t="str">
        <f t="shared" si="93"/>
        <v>February</v>
      </c>
      <c r="K1999" t="str">
        <f t="shared" si="94"/>
        <v>Q1</v>
      </c>
      <c r="L1999">
        <f t="shared" si="95"/>
        <v>2025</v>
      </c>
    </row>
    <row r="2000" spans="1:12" x14ac:dyDescent="0.3">
      <c r="A2000" t="s">
        <v>3298</v>
      </c>
      <c r="B2000" t="s">
        <v>3296</v>
      </c>
      <c r="C2000" t="s">
        <v>133</v>
      </c>
      <c r="D2000">
        <v>3</v>
      </c>
      <c r="E2000" s="1">
        <v>45717</v>
      </c>
      <c r="F2000" t="s">
        <v>592</v>
      </c>
      <c r="G2000">
        <v>1</v>
      </c>
      <c r="H2000" t="s">
        <v>569</v>
      </c>
      <c r="I2000" t="s">
        <v>570</v>
      </c>
      <c r="J2000" t="str">
        <f t="shared" si="93"/>
        <v>March</v>
      </c>
      <c r="K2000" t="str">
        <f t="shared" si="94"/>
        <v>Q1</v>
      </c>
      <c r="L2000">
        <f t="shared" si="95"/>
        <v>2025</v>
      </c>
    </row>
    <row r="2001" spans="1:12" x14ac:dyDescent="0.3">
      <c r="A2001" t="s">
        <v>3299</v>
      </c>
      <c r="B2001" t="s">
        <v>3300</v>
      </c>
      <c r="C2001" t="s">
        <v>65</v>
      </c>
      <c r="D2001">
        <v>1</v>
      </c>
      <c r="E2001" s="1">
        <v>45927</v>
      </c>
      <c r="F2001" t="s">
        <v>580</v>
      </c>
      <c r="G2001">
        <v>1</v>
      </c>
      <c r="H2001" t="s">
        <v>569</v>
      </c>
      <c r="I2001" t="s">
        <v>570</v>
      </c>
      <c r="J2001" t="str">
        <f t="shared" si="93"/>
        <v>September</v>
      </c>
      <c r="K2001" t="str">
        <f t="shared" si="94"/>
        <v>Q3</v>
      </c>
      <c r="L2001">
        <f t="shared" si="95"/>
        <v>2025</v>
      </c>
    </row>
    <row r="2002" spans="1:12" x14ac:dyDescent="0.3">
      <c r="A2002" t="s">
        <v>3301</v>
      </c>
      <c r="B2002" t="s">
        <v>3300</v>
      </c>
      <c r="C2002" t="s">
        <v>65</v>
      </c>
      <c r="D2002">
        <v>2</v>
      </c>
      <c r="E2002" s="1">
        <v>45936</v>
      </c>
      <c r="F2002" t="s">
        <v>596</v>
      </c>
      <c r="G2002">
        <v>1</v>
      </c>
      <c r="H2002" t="s">
        <v>569</v>
      </c>
      <c r="I2002" t="s">
        <v>570</v>
      </c>
      <c r="J2002" t="str">
        <f t="shared" si="93"/>
        <v>October</v>
      </c>
      <c r="K2002" t="str">
        <f t="shared" si="94"/>
        <v>Q4</v>
      </c>
      <c r="L2002">
        <f t="shared" si="95"/>
        <v>2025</v>
      </c>
    </row>
    <row r="2003" spans="1:12" x14ac:dyDescent="0.3">
      <c r="A2003" t="s">
        <v>3302</v>
      </c>
      <c r="B2003" t="s">
        <v>3300</v>
      </c>
      <c r="C2003" t="s">
        <v>65</v>
      </c>
      <c r="D2003">
        <v>3</v>
      </c>
      <c r="E2003" s="1">
        <v>45940</v>
      </c>
      <c r="F2003" t="s">
        <v>663</v>
      </c>
      <c r="G2003">
        <v>1</v>
      </c>
      <c r="H2003" t="s">
        <v>569</v>
      </c>
      <c r="I2003" t="s">
        <v>570</v>
      </c>
      <c r="J2003" t="str">
        <f t="shared" si="93"/>
        <v>October</v>
      </c>
      <c r="K2003" t="str">
        <f t="shared" si="94"/>
        <v>Q4</v>
      </c>
      <c r="L2003">
        <f t="shared" si="95"/>
        <v>2025</v>
      </c>
    </row>
    <row r="2004" spans="1:12" x14ac:dyDescent="0.3">
      <c r="A2004" t="s">
        <v>3303</v>
      </c>
      <c r="B2004" t="s">
        <v>259</v>
      </c>
      <c r="C2004" t="s">
        <v>260</v>
      </c>
      <c r="D2004">
        <v>1</v>
      </c>
      <c r="E2004" s="1">
        <v>45740</v>
      </c>
      <c r="F2004" t="s">
        <v>605</v>
      </c>
      <c r="G2004">
        <v>3</v>
      </c>
      <c r="H2004" t="s">
        <v>578</v>
      </c>
      <c r="I2004" t="s">
        <v>608</v>
      </c>
      <c r="J2004" t="str">
        <f t="shared" si="93"/>
        <v>March</v>
      </c>
      <c r="K2004" t="str">
        <f t="shared" si="94"/>
        <v>Q1</v>
      </c>
      <c r="L2004">
        <f t="shared" si="95"/>
        <v>2025</v>
      </c>
    </row>
    <row r="2005" spans="1:12" x14ac:dyDescent="0.3">
      <c r="A2005" t="s">
        <v>3304</v>
      </c>
      <c r="B2005" t="s">
        <v>259</v>
      </c>
      <c r="C2005" t="s">
        <v>260</v>
      </c>
      <c r="D2005">
        <v>2</v>
      </c>
      <c r="E2005" s="1">
        <v>45749</v>
      </c>
      <c r="F2005" t="s">
        <v>572</v>
      </c>
      <c r="G2005">
        <v>5</v>
      </c>
      <c r="H2005" t="s">
        <v>581</v>
      </c>
      <c r="I2005" t="s">
        <v>570</v>
      </c>
      <c r="J2005" t="str">
        <f t="shared" si="93"/>
        <v>April</v>
      </c>
      <c r="K2005" t="str">
        <f t="shared" si="94"/>
        <v>Q2</v>
      </c>
      <c r="L2005">
        <f t="shared" si="95"/>
        <v>2025</v>
      </c>
    </row>
    <row r="2006" spans="1:12" x14ac:dyDescent="0.3">
      <c r="A2006" t="s">
        <v>3305</v>
      </c>
      <c r="B2006" t="s">
        <v>3306</v>
      </c>
      <c r="C2006" t="s">
        <v>73</v>
      </c>
      <c r="D2006">
        <v>1</v>
      </c>
      <c r="E2006" s="1">
        <v>45803</v>
      </c>
      <c r="F2006" t="s">
        <v>741</v>
      </c>
      <c r="G2006">
        <v>2</v>
      </c>
      <c r="H2006" t="s">
        <v>569</v>
      </c>
      <c r="I2006" t="s">
        <v>570</v>
      </c>
      <c r="J2006" t="str">
        <f t="shared" si="93"/>
        <v>May</v>
      </c>
      <c r="K2006" t="str">
        <f t="shared" si="94"/>
        <v>Q2</v>
      </c>
      <c r="L2006">
        <f t="shared" si="95"/>
        <v>2025</v>
      </c>
    </row>
    <row r="2007" spans="1:12" x14ac:dyDescent="0.3">
      <c r="A2007" t="s">
        <v>3307</v>
      </c>
      <c r="B2007" t="s">
        <v>3306</v>
      </c>
      <c r="C2007" t="s">
        <v>73</v>
      </c>
      <c r="D2007">
        <v>2</v>
      </c>
      <c r="E2007" s="1">
        <v>45807</v>
      </c>
      <c r="F2007" t="s">
        <v>988</v>
      </c>
      <c r="G2007">
        <v>3</v>
      </c>
      <c r="H2007" t="s">
        <v>578</v>
      </c>
      <c r="I2007" t="s">
        <v>570</v>
      </c>
      <c r="J2007" t="str">
        <f t="shared" si="93"/>
        <v>May</v>
      </c>
      <c r="K2007" t="str">
        <f t="shared" si="94"/>
        <v>Q2</v>
      </c>
      <c r="L2007">
        <f t="shared" si="95"/>
        <v>2025</v>
      </c>
    </row>
    <row r="2008" spans="1:12" x14ac:dyDescent="0.3">
      <c r="A2008" t="s">
        <v>3308</v>
      </c>
      <c r="B2008" t="s">
        <v>3306</v>
      </c>
      <c r="C2008" t="s">
        <v>73</v>
      </c>
      <c r="D2008">
        <v>3</v>
      </c>
      <c r="E2008" s="1">
        <v>45811</v>
      </c>
      <c r="F2008" t="s">
        <v>741</v>
      </c>
      <c r="G2008">
        <v>2</v>
      </c>
      <c r="H2008" t="s">
        <v>569</v>
      </c>
      <c r="I2008" t="s">
        <v>570</v>
      </c>
      <c r="J2008" t="str">
        <f t="shared" si="93"/>
        <v>June</v>
      </c>
      <c r="K2008" t="str">
        <f t="shared" si="94"/>
        <v>Q2</v>
      </c>
      <c r="L2008">
        <f t="shared" si="95"/>
        <v>2025</v>
      </c>
    </row>
    <row r="2009" spans="1:12" x14ac:dyDescent="0.3">
      <c r="A2009" t="s">
        <v>3309</v>
      </c>
      <c r="B2009" t="s">
        <v>422</v>
      </c>
      <c r="C2009" t="s">
        <v>41</v>
      </c>
      <c r="D2009">
        <v>1</v>
      </c>
      <c r="E2009" s="1">
        <v>45820</v>
      </c>
      <c r="F2009" t="s">
        <v>612</v>
      </c>
      <c r="G2009">
        <v>4</v>
      </c>
      <c r="H2009" t="s">
        <v>581</v>
      </c>
      <c r="I2009" t="s">
        <v>570</v>
      </c>
      <c r="J2009" t="str">
        <f t="shared" si="93"/>
        <v>June</v>
      </c>
      <c r="K2009" t="str">
        <f t="shared" si="94"/>
        <v>Q2</v>
      </c>
      <c r="L2009">
        <f t="shared" si="95"/>
        <v>2025</v>
      </c>
    </row>
    <row r="2010" spans="1:12" x14ac:dyDescent="0.3">
      <c r="A2010" t="s">
        <v>3310</v>
      </c>
      <c r="B2010" t="s">
        <v>422</v>
      </c>
      <c r="C2010" t="s">
        <v>41</v>
      </c>
      <c r="D2010">
        <v>2</v>
      </c>
      <c r="E2010" s="1">
        <v>45827</v>
      </c>
      <c r="F2010" t="s">
        <v>577</v>
      </c>
      <c r="G2010">
        <v>3</v>
      </c>
      <c r="H2010" t="s">
        <v>578</v>
      </c>
      <c r="I2010" t="s">
        <v>570</v>
      </c>
      <c r="J2010" t="str">
        <f t="shared" si="93"/>
        <v>June</v>
      </c>
      <c r="K2010" t="str">
        <f t="shared" si="94"/>
        <v>Q2</v>
      </c>
      <c r="L2010">
        <f t="shared" si="95"/>
        <v>2025</v>
      </c>
    </row>
    <row r="2011" spans="1:12" x14ac:dyDescent="0.3">
      <c r="A2011" t="s">
        <v>3311</v>
      </c>
      <c r="B2011" t="s">
        <v>422</v>
      </c>
      <c r="C2011" t="s">
        <v>41</v>
      </c>
      <c r="D2011">
        <v>3</v>
      </c>
      <c r="E2011" s="1">
        <v>45831</v>
      </c>
      <c r="F2011" t="s">
        <v>603</v>
      </c>
      <c r="G2011">
        <v>4</v>
      </c>
      <c r="H2011" t="s">
        <v>581</v>
      </c>
      <c r="I2011" t="s">
        <v>570</v>
      </c>
      <c r="J2011" t="str">
        <f t="shared" si="93"/>
        <v>June</v>
      </c>
      <c r="K2011" t="str">
        <f t="shared" si="94"/>
        <v>Q2</v>
      </c>
      <c r="L2011">
        <f t="shared" si="95"/>
        <v>2025</v>
      </c>
    </row>
    <row r="2012" spans="1:12" x14ac:dyDescent="0.3">
      <c r="A2012" t="s">
        <v>3312</v>
      </c>
      <c r="B2012" t="s">
        <v>422</v>
      </c>
      <c r="C2012" t="s">
        <v>41</v>
      </c>
      <c r="D2012">
        <v>4</v>
      </c>
      <c r="E2012" s="1">
        <v>45841</v>
      </c>
      <c r="F2012" t="s">
        <v>577</v>
      </c>
      <c r="G2012">
        <v>4</v>
      </c>
      <c r="H2012" t="s">
        <v>581</v>
      </c>
      <c r="I2012" t="s">
        <v>570</v>
      </c>
      <c r="J2012" t="str">
        <f t="shared" si="93"/>
        <v>July</v>
      </c>
      <c r="K2012" t="str">
        <f t="shared" si="94"/>
        <v>Q3</v>
      </c>
      <c r="L2012">
        <f t="shared" si="95"/>
        <v>2025</v>
      </c>
    </row>
    <row r="2013" spans="1:12" x14ac:dyDescent="0.3">
      <c r="A2013" t="s">
        <v>3313</v>
      </c>
      <c r="B2013" t="s">
        <v>3314</v>
      </c>
      <c r="C2013" t="s">
        <v>260</v>
      </c>
      <c r="D2013">
        <v>1</v>
      </c>
      <c r="E2013" s="1">
        <v>45738</v>
      </c>
      <c r="F2013" t="s">
        <v>625</v>
      </c>
      <c r="G2013">
        <v>3</v>
      </c>
      <c r="H2013" t="s">
        <v>578</v>
      </c>
      <c r="I2013" t="s">
        <v>570</v>
      </c>
      <c r="J2013" t="str">
        <f t="shared" si="93"/>
        <v>March</v>
      </c>
      <c r="K2013" t="str">
        <f t="shared" si="94"/>
        <v>Q1</v>
      </c>
      <c r="L2013">
        <f t="shared" si="95"/>
        <v>2025</v>
      </c>
    </row>
    <row r="2014" spans="1:12" x14ac:dyDescent="0.3">
      <c r="A2014" t="s">
        <v>3315</v>
      </c>
      <c r="B2014" t="s">
        <v>3314</v>
      </c>
      <c r="C2014" t="s">
        <v>260</v>
      </c>
      <c r="D2014">
        <v>2</v>
      </c>
      <c r="E2014" s="1">
        <v>45748</v>
      </c>
      <c r="F2014" t="s">
        <v>577</v>
      </c>
      <c r="G2014">
        <v>1</v>
      </c>
      <c r="H2014" t="s">
        <v>569</v>
      </c>
      <c r="I2014" t="s">
        <v>570</v>
      </c>
      <c r="J2014" t="str">
        <f t="shared" si="93"/>
        <v>April</v>
      </c>
      <c r="K2014" t="str">
        <f t="shared" si="94"/>
        <v>Q2</v>
      </c>
      <c r="L2014">
        <f t="shared" si="95"/>
        <v>2025</v>
      </c>
    </row>
    <row r="2015" spans="1:12" x14ac:dyDescent="0.3">
      <c r="A2015" t="s">
        <v>3316</v>
      </c>
      <c r="B2015" t="s">
        <v>3314</v>
      </c>
      <c r="C2015" t="s">
        <v>260</v>
      </c>
      <c r="D2015">
        <v>3</v>
      </c>
      <c r="E2015" s="1">
        <v>45757</v>
      </c>
      <c r="F2015" t="s">
        <v>572</v>
      </c>
      <c r="G2015">
        <v>3</v>
      </c>
      <c r="H2015" t="s">
        <v>578</v>
      </c>
      <c r="I2015" t="s">
        <v>570</v>
      </c>
      <c r="J2015" t="str">
        <f t="shared" si="93"/>
        <v>April</v>
      </c>
      <c r="K2015" t="str">
        <f t="shared" si="94"/>
        <v>Q2</v>
      </c>
      <c r="L2015">
        <f t="shared" si="95"/>
        <v>2025</v>
      </c>
    </row>
    <row r="2016" spans="1:12" x14ac:dyDescent="0.3">
      <c r="A2016" t="s">
        <v>3317</v>
      </c>
      <c r="B2016" t="s">
        <v>307</v>
      </c>
      <c r="C2016" t="s">
        <v>156</v>
      </c>
      <c r="D2016">
        <v>1</v>
      </c>
      <c r="E2016" s="1">
        <v>45735</v>
      </c>
      <c r="F2016" t="s">
        <v>766</v>
      </c>
      <c r="G2016">
        <v>4</v>
      </c>
      <c r="H2016" t="s">
        <v>581</v>
      </c>
      <c r="I2016" t="s">
        <v>570</v>
      </c>
      <c r="J2016" t="str">
        <f t="shared" si="93"/>
        <v>March</v>
      </c>
      <c r="K2016" t="str">
        <f t="shared" si="94"/>
        <v>Q1</v>
      </c>
      <c r="L2016">
        <f t="shared" si="95"/>
        <v>2025</v>
      </c>
    </row>
    <row r="2017" spans="1:12" x14ac:dyDescent="0.3">
      <c r="A2017" t="s">
        <v>3318</v>
      </c>
      <c r="B2017" t="s">
        <v>3319</v>
      </c>
      <c r="C2017" t="s">
        <v>41</v>
      </c>
      <c r="D2017">
        <v>1</v>
      </c>
      <c r="E2017" s="1">
        <v>45824</v>
      </c>
      <c r="F2017" t="s">
        <v>572</v>
      </c>
      <c r="G2017">
        <v>2</v>
      </c>
      <c r="H2017" t="s">
        <v>569</v>
      </c>
      <c r="I2017" t="s">
        <v>570</v>
      </c>
      <c r="J2017" t="str">
        <f t="shared" si="93"/>
        <v>June</v>
      </c>
      <c r="K2017" t="str">
        <f t="shared" si="94"/>
        <v>Q2</v>
      </c>
      <c r="L2017">
        <f t="shared" si="95"/>
        <v>2025</v>
      </c>
    </row>
    <row r="2018" spans="1:12" x14ac:dyDescent="0.3">
      <c r="A2018" t="s">
        <v>3320</v>
      </c>
      <c r="B2018" t="s">
        <v>3319</v>
      </c>
      <c r="C2018" t="s">
        <v>41</v>
      </c>
      <c r="D2018">
        <v>2</v>
      </c>
      <c r="E2018" s="1">
        <v>45834</v>
      </c>
      <c r="F2018" t="s">
        <v>612</v>
      </c>
      <c r="G2018">
        <v>1</v>
      </c>
      <c r="H2018" t="s">
        <v>569</v>
      </c>
      <c r="I2018" t="s">
        <v>570</v>
      </c>
      <c r="J2018" t="str">
        <f t="shared" si="93"/>
        <v>June</v>
      </c>
      <c r="K2018" t="str">
        <f t="shared" si="94"/>
        <v>Q2</v>
      </c>
      <c r="L2018">
        <f t="shared" si="95"/>
        <v>2025</v>
      </c>
    </row>
    <row r="2019" spans="1:12" x14ac:dyDescent="0.3">
      <c r="A2019" t="s">
        <v>3321</v>
      </c>
      <c r="B2019" t="s">
        <v>3319</v>
      </c>
      <c r="C2019" t="s">
        <v>41</v>
      </c>
      <c r="D2019">
        <v>3</v>
      </c>
      <c r="E2019" s="1">
        <v>45840</v>
      </c>
      <c r="F2019" t="s">
        <v>572</v>
      </c>
      <c r="G2019">
        <v>1</v>
      </c>
      <c r="H2019" t="s">
        <v>569</v>
      </c>
      <c r="I2019" t="s">
        <v>570</v>
      </c>
      <c r="J2019" t="str">
        <f t="shared" si="93"/>
        <v>July</v>
      </c>
      <c r="K2019" t="str">
        <f t="shared" si="94"/>
        <v>Q3</v>
      </c>
      <c r="L2019">
        <f t="shared" si="95"/>
        <v>2025</v>
      </c>
    </row>
    <row r="2020" spans="1:12" x14ac:dyDescent="0.3">
      <c r="A2020" t="s">
        <v>3322</v>
      </c>
      <c r="B2020" t="s">
        <v>3323</v>
      </c>
      <c r="C2020" t="s">
        <v>10</v>
      </c>
      <c r="D2020">
        <v>1</v>
      </c>
      <c r="E2020" s="1">
        <v>45917</v>
      </c>
      <c r="F2020" t="s">
        <v>572</v>
      </c>
      <c r="G2020">
        <v>1</v>
      </c>
      <c r="H2020" t="s">
        <v>569</v>
      </c>
      <c r="I2020" t="s">
        <v>570</v>
      </c>
      <c r="J2020" t="str">
        <f t="shared" si="93"/>
        <v>September</v>
      </c>
      <c r="K2020" t="str">
        <f t="shared" si="94"/>
        <v>Q3</v>
      </c>
      <c r="L2020">
        <f t="shared" si="95"/>
        <v>2025</v>
      </c>
    </row>
    <row r="2021" spans="1:12" x14ac:dyDescent="0.3">
      <c r="A2021" t="s">
        <v>3324</v>
      </c>
      <c r="B2021" t="s">
        <v>3323</v>
      </c>
      <c r="C2021" t="s">
        <v>10</v>
      </c>
      <c r="D2021">
        <v>2</v>
      </c>
      <c r="E2021" s="1">
        <v>45924</v>
      </c>
      <c r="F2021" t="s">
        <v>596</v>
      </c>
      <c r="G2021">
        <v>1</v>
      </c>
      <c r="H2021" t="s">
        <v>569</v>
      </c>
      <c r="I2021" t="s">
        <v>570</v>
      </c>
      <c r="J2021" t="str">
        <f t="shared" si="93"/>
        <v>September</v>
      </c>
      <c r="K2021" t="str">
        <f t="shared" si="94"/>
        <v>Q3</v>
      </c>
      <c r="L2021">
        <f t="shared" si="95"/>
        <v>2025</v>
      </c>
    </row>
    <row r="2022" spans="1:12" x14ac:dyDescent="0.3">
      <c r="A2022" t="s">
        <v>3325</v>
      </c>
      <c r="B2022" t="s">
        <v>64</v>
      </c>
      <c r="C2022" t="s">
        <v>65</v>
      </c>
      <c r="D2022">
        <v>1</v>
      </c>
      <c r="E2022" s="1">
        <v>45940</v>
      </c>
      <c r="F2022" t="s">
        <v>586</v>
      </c>
      <c r="G2022">
        <v>3</v>
      </c>
      <c r="H2022" t="s">
        <v>578</v>
      </c>
      <c r="I2022" t="s">
        <v>570</v>
      </c>
      <c r="J2022" t="str">
        <f t="shared" si="93"/>
        <v>October</v>
      </c>
      <c r="K2022" t="str">
        <f t="shared" si="94"/>
        <v>Q4</v>
      </c>
      <c r="L2022">
        <f t="shared" si="95"/>
        <v>2025</v>
      </c>
    </row>
    <row r="2023" spans="1:12" x14ac:dyDescent="0.3">
      <c r="A2023" t="s">
        <v>3326</v>
      </c>
      <c r="B2023" t="s">
        <v>64</v>
      </c>
      <c r="C2023" t="s">
        <v>65</v>
      </c>
      <c r="D2023">
        <v>2</v>
      </c>
      <c r="E2023" s="1">
        <v>45949</v>
      </c>
      <c r="F2023" t="s">
        <v>596</v>
      </c>
      <c r="G2023">
        <v>4</v>
      </c>
      <c r="H2023" t="s">
        <v>581</v>
      </c>
      <c r="I2023" t="s">
        <v>570</v>
      </c>
      <c r="J2023" t="str">
        <f t="shared" si="93"/>
        <v>October</v>
      </c>
      <c r="K2023" t="str">
        <f t="shared" si="94"/>
        <v>Q4</v>
      </c>
      <c r="L2023">
        <f t="shared" si="95"/>
        <v>2025</v>
      </c>
    </row>
    <row r="2024" spans="1:12" x14ac:dyDescent="0.3">
      <c r="A2024" t="s">
        <v>3327</v>
      </c>
      <c r="B2024" t="s">
        <v>3328</v>
      </c>
      <c r="C2024" t="s">
        <v>240</v>
      </c>
      <c r="D2024">
        <v>1</v>
      </c>
      <c r="E2024" s="1">
        <v>45963</v>
      </c>
      <c r="F2024" t="s">
        <v>663</v>
      </c>
      <c r="G2024">
        <v>2</v>
      </c>
      <c r="H2024" t="s">
        <v>569</v>
      </c>
      <c r="I2024" t="s">
        <v>570</v>
      </c>
      <c r="J2024" t="str">
        <f t="shared" si="93"/>
        <v>November</v>
      </c>
      <c r="K2024" t="str">
        <f t="shared" si="94"/>
        <v>Q4</v>
      </c>
      <c r="L2024">
        <f t="shared" si="95"/>
        <v>2025</v>
      </c>
    </row>
    <row r="2025" spans="1:12" x14ac:dyDescent="0.3">
      <c r="A2025" t="s">
        <v>3329</v>
      </c>
      <c r="B2025" t="s">
        <v>3328</v>
      </c>
      <c r="C2025" t="s">
        <v>240</v>
      </c>
      <c r="D2025">
        <v>2</v>
      </c>
      <c r="E2025" s="1">
        <v>45973</v>
      </c>
      <c r="F2025" t="s">
        <v>568</v>
      </c>
      <c r="G2025">
        <v>3</v>
      </c>
      <c r="H2025" t="s">
        <v>578</v>
      </c>
      <c r="I2025" t="s">
        <v>608</v>
      </c>
      <c r="J2025" t="str">
        <f t="shared" si="93"/>
        <v>November</v>
      </c>
      <c r="K2025" t="str">
        <f t="shared" si="94"/>
        <v>Q4</v>
      </c>
      <c r="L2025">
        <f t="shared" si="95"/>
        <v>2025</v>
      </c>
    </row>
    <row r="2026" spans="1:12" x14ac:dyDescent="0.3">
      <c r="A2026" t="s">
        <v>3330</v>
      </c>
      <c r="B2026" t="s">
        <v>3331</v>
      </c>
      <c r="C2026" t="s">
        <v>340</v>
      </c>
      <c r="D2026">
        <v>1</v>
      </c>
      <c r="E2026" s="1">
        <v>45688</v>
      </c>
      <c r="F2026" t="s">
        <v>741</v>
      </c>
      <c r="G2026">
        <v>4</v>
      </c>
      <c r="H2026" t="s">
        <v>581</v>
      </c>
      <c r="I2026" t="s">
        <v>570</v>
      </c>
      <c r="J2026" t="str">
        <f t="shared" si="93"/>
        <v>January</v>
      </c>
      <c r="K2026" t="str">
        <f t="shared" si="94"/>
        <v>Q1</v>
      </c>
      <c r="L2026">
        <f t="shared" si="95"/>
        <v>2025</v>
      </c>
    </row>
    <row r="2027" spans="1:12" x14ac:dyDescent="0.3">
      <c r="A2027" t="s">
        <v>3332</v>
      </c>
      <c r="B2027" t="s">
        <v>3331</v>
      </c>
      <c r="C2027" t="s">
        <v>340</v>
      </c>
      <c r="D2027">
        <v>2</v>
      </c>
      <c r="E2027" s="1">
        <v>45697</v>
      </c>
      <c r="F2027" t="s">
        <v>600</v>
      </c>
      <c r="G2027">
        <v>4</v>
      </c>
      <c r="H2027" t="s">
        <v>581</v>
      </c>
      <c r="I2027" t="s">
        <v>570</v>
      </c>
      <c r="J2027" t="str">
        <f t="shared" si="93"/>
        <v>February</v>
      </c>
      <c r="K2027" t="str">
        <f t="shared" si="94"/>
        <v>Q1</v>
      </c>
      <c r="L2027">
        <f t="shared" si="95"/>
        <v>2025</v>
      </c>
    </row>
    <row r="2028" spans="1:12" x14ac:dyDescent="0.3">
      <c r="A2028" t="s">
        <v>3333</v>
      </c>
      <c r="B2028" t="s">
        <v>3331</v>
      </c>
      <c r="C2028" t="s">
        <v>340</v>
      </c>
      <c r="D2028">
        <v>3</v>
      </c>
      <c r="E2028" s="1">
        <v>45706</v>
      </c>
      <c r="F2028" t="s">
        <v>621</v>
      </c>
      <c r="G2028">
        <v>3</v>
      </c>
      <c r="H2028" t="s">
        <v>578</v>
      </c>
      <c r="I2028" t="s">
        <v>570</v>
      </c>
      <c r="J2028" t="str">
        <f t="shared" si="93"/>
        <v>February</v>
      </c>
      <c r="K2028" t="str">
        <f t="shared" si="94"/>
        <v>Q1</v>
      </c>
      <c r="L2028">
        <f t="shared" si="95"/>
        <v>2025</v>
      </c>
    </row>
    <row r="2029" spans="1:12" x14ac:dyDescent="0.3">
      <c r="A2029" t="s">
        <v>3334</v>
      </c>
      <c r="B2029" t="s">
        <v>3335</v>
      </c>
      <c r="C2029" t="s">
        <v>51</v>
      </c>
      <c r="D2029">
        <v>1</v>
      </c>
      <c r="E2029" s="1">
        <v>45946</v>
      </c>
      <c r="F2029" t="s">
        <v>572</v>
      </c>
      <c r="G2029">
        <v>2</v>
      </c>
      <c r="H2029" t="s">
        <v>569</v>
      </c>
      <c r="I2029" t="s">
        <v>570</v>
      </c>
      <c r="J2029" t="str">
        <f t="shared" si="93"/>
        <v>October</v>
      </c>
      <c r="K2029" t="str">
        <f t="shared" si="94"/>
        <v>Q4</v>
      </c>
      <c r="L2029">
        <f t="shared" si="95"/>
        <v>2025</v>
      </c>
    </row>
    <row r="2030" spans="1:12" x14ac:dyDescent="0.3">
      <c r="A2030" t="s">
        <v>3336</v>
      </c>
      <c r="B2030" t="s">
        <v>3337</v>
      </c>
      <c r="C2030" t="s">
        <v>176</v>
      </c>
      <c r="D2030">
        <v>1</v>
      </c>
      <c r="E2030" s="1">
        <v>45705</v>
      </c>
      <c r="F2030" t="s">
        <v>621</v>
      </c>
      <c r="G2030">
        <v>2</v>
      </c>
      <c r="H2030" t="s">
        <v>569</v>
      </c>
      <c r="I2030" t="s">
        <v>570</v>
      </c>
      <c r="J2030" t="str">
        <f t="shared" si="93"/>
        <v>February</v>
      </c>
      <c r="K2030" t="str">
        <f t="shared" si="94"/>
        <v>Q1</v>
      </c>
      <c r="L2030">
        <f t="shared" si="95"/>
        <v>2025</v>
      </c>
    </row>
    <row r="2031" spans="1:12" x14ac:dyDescent="0.3">
      <c r="A2031" t="s">
        <v>3338</v>
      </c>
      <c r="B2031" t="s">
        <v>3337</v>
      </c>
      <c r="C2031" t="s">
        <v>176</v>
      </c>
      <c r="D2031">
        <v>2</v>
      </c>
      <c r="E2031" s="1">
        <v>45715</v>
      </c>
      <c r="F2031" t="s">
        <v>577</v>
      </c>
      <c r="G2031">
        <v>1</v>
      </c>
      <c r="H2031" t="s">
        <v>569</v>
      </c>
      <c r="I2031" t="s">
        <v>570</v>
      </c>
      <c r="J2031" t="str">
        <f t="shared" si="93"/>
        <v>February</v>
      </c>
      <c r="K2031" t="str">
        <f t="shared" si="94"/>
        <v>Q1</v>
      </c>
      <c r="L2031">
        <f t="shared" si="95"/>
        <v>2025</v>
      </c>
    </row>
    <row r="2032" spans="1:12" x14ac:dyDescent="0.3">
      <c r="A2032" t="s">
        <v>3339</v>
      </c>
      <c r="B2032" t="s">
        <v>3337</v>
      </c>
      <c r="C2032" t="s">
        <v>176</v>
      </c>
      <c r="D2032">
        <v>3</v>
      </c>
      <c r="E2032" s="1">
        <v>45727</v>
      </c>
      <c r="F2032" t="s">
        <v>596</v>
      </c>
      <c r="G2032">
        <v>1</v>
      </c>
      <c r="H2032" t="s">
        <v>569</v>
      </c>
      <c r="I2032" t="s">
        <v>570</v>
      </c>
      <c r="J2032" t="str">
        <f t="shared" si="93"/>
        <v>March</v>
      </c>
      <c r="K2032" t="str">
        <f t="shared" si="94"/>
        <v>Q1</v>
      </c>
      <c r="L2032">
        <f t="shared" si="95"/>
        <v>2025</v>
      </c>
    </row>
    <row r="2033" spans="1:12" x14ac:dyDescent="0.3">
      <c r="A2033" t="s">
        <v>3340</v>
      </c>
      <c r="B2033" t="s">
        <v>3341</v>
      </c>
      <c r="C2033" t="s">
        <v>41</v>
      </c>
      <c r="D2033">
        <v>1</v>
      </c>
      <c r="E2033" s="1">
        <v>45822</v>
      </c>
      <c r="G2033">
        <v>2</v>
      </c>
      <c r="H2033" t="s">
        <v>569</v>
      </c>
      <c r="I2033" t="s">
        <v>570</v>
      </c>
      <c r="J2033" t="str">
        <f t="shared" si="93"/>
        <v>June</v>
      </c>
      <c r="K2033" t="str">
        <f t="shared" si="94"/>
        <v>Q2</v>
      </c>
      <c r="L2033">
        <f t="shared" si="95"/>
        <v>2025</v>
      </c>
    </row>
    <row r="2034" spans="1:12" x14ac:dyDescent="0.3">
      <c r="A2034" t="s">
        <v>3342</v>
      </c>
      <c r="B2034" t="s">
        <v>3341</v>
      </c>
      <c r="C2034" t="s">
        <v>41</v>
      </c>
      <c r="D2034">
        <v>2</v>
      </c>
      <c r="E2034" s="1">
        <v>45826</v>
      </c>
      <c r="F2034" t="s">
        <v>603</v>
      </c>
      <c r="G2034">
        <v>1</v>
      </c>
      <c r="H2034" t="s">
        <v>569</v>
      </c>
      <c r="I2034" t="s">
        <v>570</v>
      </c>
      <c r="J2034" t="str">
        <f t="shared" si="93"/>
        <v>June</v>
      </c>
      <c r="K2034" t="str">
        <f t="shared" si="94"/>
        <v>Q2</v>
      </c>
      <c r="L2034">
        <f t="shared" si="95"/>
        <v>2025</v>
      </c>
    </row>
    <row r="2035" spans="1:12" x14ac:dyDescent="0.3">
      <c r="A2035" t="s">
        <v>3343</v>
      </c>
      <c r="B2035" t="s">
        <v>3341</v>
      </c>
      <c r="C2035" t="s">
        <v>41</v>
      </c>
      <c r="D2035">
        <v>3</v>
      </c>
      <c r="E2035" s="1">
        <v>45831</v>
      </c>
      <c r="F2035" t="s">
        <v>603</v>
      </c>
      <c r="G2035">
        <v>3</v>
      </c>
      <c r="H2035" t="s">
        <v>578</v>
      </c>
      <c r="I2035" t="s">
        <v>570</v>
      </c>
      <c r="J2035" t="str">
        <f t="shared" si="93"/>
        <v>June</v>
      </c>
      <c r="K2035" t="str">
        <f t="shared" si="94"/>
        <v>Q2</v>
      </c>
      <c r="L2035">
        <f t="shared" si="95"/>
        <v>2025</v>
      </c>
    </row>
    <row r="2036" spans="1:12" x14ac:dyDescent="0.3">
      <c r="A2036" t="s">
        <v>3344</v>
      </c>
      <c r="B2036" t="s">
        <v>3341</v>
      </c>
      <c r="C2036" t="s">
        <v>41</v>
      </c>
      <c r="D2036">
        <v>4</v>
      </c>
      <c r="E2036" s="1">
        <v>45843</v>
      </c>
      <c r="F2036" t="s">
        <v>625</v>
      </c>
      <c r="G2036">
        <v>1</v>
      </c>
      <c r="H2036" t="s">
        <v>569</v>
      </c>
      <c r="I2036" t="s">
        <v>608</v>
      </c>
      <c r="J2036" t="str">
        <f t="shared" si="93"/>
        <v>July</v>
      </c>
      <c r="K2036" t="str">
        <f t="shared" si="94"/>
        <v>Q3</v>
      </c>
      <c r="L2036">
        <f t="shared" si="95"/>
        <v>2025</v>
      </c>
    </row>
    <row r="2037" spans="1:12" x14ac:dyDescent="0.3">
      <c r="A2037" t="s">
        <v>3345</v>
      </c>
      <c r="B2037" t="s">
        <v>3346</v>
      </c>
      <c r="C2037" t="s">
        <v>260</v>
      </c>
      <c r="D2037">
        <v>1</v>
      </c>
      <c r="E2037" s="1">
        <v>45750</v>
      </c>
      <c r="F2037" t="s">
        <v>605</v>
      </c>
      <c r="G2037">
        <v>2</v>
      </c>
      <c r="H2037" t="s">
        <v>569</v>
      </c>
      <c r="I2037" t="s">
        <v>570</v>
      </c>
      <c r="J2037" t="str">
        <f t="shared" si="93"/>
        <v>April</v>
      </c>
      <c r="K2037" t="str">
        <f t="shared" si="94"/>
        <v>Q2</v>
      </c>
      <c r="L2037">
        <f t="shared" si="95"/>
        <v>2025</v>
      </c>
    </row>
    <row r="2038" spans="1:12" x14ac:dyDescent="0.3">
      <c r="A2038" t="s">
        <v>3347</v>
      </c>
      <c r="B2038" t="s">
        <v>3346</v>
      </c>
      <c r="C2038" t="s">
        <v>260</v>
      </c>
      <c r="D2038">
        <v>2</v>
      </c>
      <c r="E2038" s="1">
        <v>45754</v>
      </c>
      <c r="F2038" t="s">
        <v>577</v>
      </c>
      <c r="G2038">
        <v>3</v>
      </c>
      <c r="H2038" t="s">
        <v>578</v>
      </c>
      <c r="I2038" t="s">
        <v>570</v>
      </c>
      <c r="J2038" t="str">
        <f t="shared" si="93"/>
        <v>April</v>
      </c>
      <c r="K2038" t="str">
        <f t="shared" si="94"/>
        <v>Q2</v>
      </c>
      <c r="L2038">
        <f t="shared" si="95"/>
        <v>2025</v>
      </c>
    </row>
    <row r="2039" spans="1:12" x14ac:dyDescent="0.3">
      <c r="A2039" t="s">
        <v>3348</v>
      </c>
      <c r="B2039" t="s">
        <v>3346</v>
      </c>
      <c r="C2039" t="s">
        <v>260</v>
      </c>
      <c r="D2039">
        <v>3</v>
      </c>
      <c r="E2039" s="1">
        <v>45761</v>
      </c>
      <c r="F2039" t="s">
        <v>572</v>
      </c>
      <c r="G2039">
        <v>1</v>
      </c>
      <c r="H2039" t="s">
        <v>569</v>
      </c>
      <c r="I2039" t="s">
        <v>570</v>
      </c>
      <c r="J2039" t="str">
        <f t="shared" si="93"/>
        <v>April</v>
      </c>
      <c r="K2039" t="str">
        <f t="shared" si="94"/>
        <v>Q2</v>
      </c>
      <c r="L2039">
        <f t="shared" si="95"/>
        <v>2025</v>
      </c>
    </row>
    <row r="2040" spans="1:12" x14ac:dyDescent="0.3">
      <c r="A2040" t="s">
        <v>3349</v>
      </c>
      <c r="B2040" t="s">
        <v>3346</v>
      </c>
      <c r="C2040" t="s">
        <v>260</v>
      </c>
      <c r="D2040">
        <v>4</v>
      </c>
      <c r="E2040" s="1">
        <v>45772</v>
      </c>
      <c r="F2040" t="s">
        <v>577</v>
      </c>
      <c r="G2040">
        <v>1</v>
      </c>
      <c r="H2040" t="s">
        <v>569</v>
      </c>
      <c r="I2040" t="s">
        <v>570</v>
      </c>
      <c r="J2040" t="str">
        <f t="shared" si="93"/>
        <v>April</v>
      </c>
      <c r="K2040" t="str">
        <f t="shared" si="94"/>
        <v>Q2</v>
      </c>
      <c r="L2040">
        <f t="shared" si="95"/>
        <v>2025</v>
      </c>
    </row>
    <row r="2041" spans="1:12" x14ac:dyDescent="0.3">
      <c r="A2041" t="s">
        <v>3350</v>
      </c>
      <c r="B2041" t="s">
        <v>3351</v>
      </c>
      <c r="C2041" t="s">
        <v>195</v>
      </c>
      <c r="D2041">
        <v>1</v>
      </c>
      <c r="E2041" s="1">
        <v>45853</v>
      </c>
      <c r="F2041" t="s">
        <v>592</v>
      </c>
      <c r="G2041">
        <v>3</v>
      </c>
      <c r="H2041" t="s">
        <v>578</v>
      </c>
      <c r="I2041" t="s">
        <v>570</v>
      </c>
      <c r="J2041" t="str">
        <f t="shared" si="93"/>
        <v>July</v>
      </c>
      <c r="K2041" t="str">
        <f t="shared" si="94"/>
        <v>Q3</v>
      </c>
      <c r="L2041">
        <f t="shared" si="95"/>
        <v>2025</v>
      </c>
    </row>
    <row r="2042" spans="1:12" x14ac:dyDescent="0.3">
      <c r="A2042" t="s">
        <v>3352</v>
      </c>
      <c r="B2042" t="s">
        <v>3351</v>
      </c>
      <c r="C2042" t="s">
        <v>195</v>
      </c>
      <c r="D2042">
        <v>2</v>
      </c>
      <c r="E2042" s="1">
        <v>45857</v>
      </c>
      <c r="F2042" t="s">
        <v>592</v>
      </c>
      <c r="G2042">
        <v>2</v>
      </c>
      <c r="H2042" t="s">
        <v>569</v>
      </c>
      <c r="I2042" t="s">
        <v>570</v>
      </c>
      <c r="J2042" t="str">
        <f t="shared" si="93"/>
        <v>July</v>
      </c>
      <c r="K2042" t="str">
        <f t="shared" si="94"/>
        <v>Q3</v>
      </c>
      <c r="L2042">
        <f t="shared" si="95"/>
        <v>2025</v>
      </c>
    </row>
    <row r="2043" spans="1:12" x14ac:dyDescent="0.3">
      <c r="A2043" t="s">
        <v>3353</v>
      </c>
      <c r="B2043" t="s">
        <v>3351</v>
      </c>
      <c r="C2043" t="s">
        <v>195</v>
      </c>
      <c r="D2043">
        <v>3</v>
      </c>
      <c r="E2043" s="1">
        <v>45865</v>
      </c>
      <c r="F2043" t="s">
        <v>586</v>
      </c>
      <c r="G2043">
        <v>1</v>
      </c>
      <c r="H2043" t="s">
        <v>569</v>
      </c>
      <c r="I2043" t="s">
        <v>570</v>
      </c>
      <c r="J2043" t="str">
        <f t="shared" si="93"/>
        <v>July</v>
      </c>
      <c r="K2043" t="str">
        <f t="shared" si="94"/>
        <v>Q3</v>
      </c>
      <c r="L2043">
        <f t="shared" si="95"/>
        <v>2025</v>
      </c>
    </row>
    <row r="2044" spans="1:12" x14ac:dyDescent="0.3">
      <c r="A2044" t="s">
        <v>3354</v>
      </c>
      <c r="B2044" t="s">
        <v>3355</v>
      </c>
      <c r="C2044" t="s">
        <v>240</v>
      </c>
      <c r="D2044">
        <v>1</v>
      </c>
      <c r="E2044" s="1">
        <v>45961</v>
      </c>
      <c r="F2044" t="s">
        <v>596</v>
      </c>
      <c r="G2044">
        <v>2</v>
      </c>
      <c r="H2044" t="s">
        <v>569</v>
      </c>
      <c r="I2044" t="s">
        <v>570</v>
      </c>
      <c r="J2044" t="str">
        <f t="shared" si="93"/>
        <v>October</v>
      </c>
      <c r="K2044" t="str">
        <f t="shared" si="94"/>
        <v>Q4</v>
      </c>
      <c r="L2044">
        <f t="shared" si="95"/>
        <v>2025</v>
      </c>
    </row>
    <row r="2045" spans="1:12" x14ac:dyDescent="0.3">
      <c r="A2045" t="s">
        <v>3356</v>
      </c>
      <c r="B2045" t="s">
        <v>3355</v>
      </c>
      <c r="C2045" t="s">
        <v>240</v>
      </c>
      <c r="D2045">
        <v>2</v>
      </c>
      <c r="E2045" s="1">
        <v>45970</v>
      </c>
      <c r="F2045" t="s">
        <v>572</v>
      </c>
      <c r="G2045">
        <v>3</v>
      </c>
      <c r="H2045" t="s">
        <v>578</v>
      </c>
      <c r="I2045" t="s">
        <v>570</v>
      </c>
      <c r="J2045" t="str">
        <f t="shared" si="93"/>
        <v>November</v>
      </c>
      <c r="K2045" t="str">
        <f t="shared" si="94"/>
        <v>Q4</v>
      </c>
      <c r="L2045">
        <f t="shared" si="95"/>
        <v>2025</v>
      </c>
    </row>
    <row r="2046" spans="1:12" x14ac:dyDescent="0.3">
      <c r="A2046" t="s">
        <v>3357</v>
      </c>
      <c r="B2046" t="s">
        <v>3358</v>
      </c>
      <c r="C2046" t="s">
        <v>73</v>
      </c>
      <c r="D2046">
        <v>1</v>
      </c>
      <c r="E2046" s="1">
        <v>45797</v>
      </c>
      <c r="F2046" t="s">
        <v>988</v>
      </c>
      <c r="G2046">
        <v>2</v>
      </c>
      <c r="H2046" t="s">
        <v>569</v>
      </c>
      <c r="I2046" t="s">
        <v>608</v>
      </c>
      <c r="J2046" t="str">
        <f t="shared" si="93"/>
        <v>May</v>
      </c>
      <c r="K2046" t="str">
        <f t="shared" si="94"/>
        <v>Q2</v>
      </c>
      <c r="L2046">
        <f t="shared" si="95"/>
        <v>2025</v>
      </c>
    </row>
    <row r="2047" spans="1:12" x14ac:dyDescent="0.3">
      <c r="A2047" t="s">
        <v>3359</v>
      </c>
      <c r="B2047" t="s">
        <v>3358</v>
      </c>
      <c r="C2047" t="s">
        <v>73</v>
      </c>
      <c r="D2047">
        <v>2</v>
      </c>
      <c r="E2047" s="1">
        <v>45802</v>
      </c>
      <c r="F2047" t="s">
        <v>741</v>
      </c>
      <c r="G2047">
        <v>3</v>
      </c>
      <c r="H2047" t="s">
        <v>578</v>
      </c>
      <c r="I2047" t="s">
        <v>570</v>
      </c>
      <c r="J2047" t="str">
        <f t="shared" si="93"/>
        <v>May</v>
      </c>
      <c r="K2047" t="str">
        <f t="shared" si="94"/>
        <v>Q2</v>
      </c>
      <c r="L2047">
        <f t="shared" si="95"/>
        <v>2025</v>
      </c>
    </row>
    <row r="2048" spans="1:12" x14ac:dyDescent="0.3">
      <c r="A2048" t="s">
        <v>3360</v>
      </c>
      <c r="B2048" t="s">
        <v>3358</v>
      </c>
      <c r="C2048" t="s">
        <v>73</v>
      </c>
      <c r="D2048">
        <v>3</v>
      </c>
      <c r="E2048" s="1">
        <v>45814</v>
      </c>
      <c r="F2048" t="s">
        <v>743</v>
      </c>
      <c r="G2048">
        <v>3</v>
      </c>
      <c r="H2048" t="s">
        <v>578</v>
      </c>
      <c r="I2048" t="s">
        <v>570</v>
      </c>
      <c r="J2048" t="str">
        <f t="shared" si="93"/>
        <v>June</v>
      </c>
      <c r="K2048" t="str">
        <f t="shared" si="94"/>
        <v>Q2</v>
      </c>
      <c r="L2048">
        <f t="shared" si="95"/>
        <v>2025</v>
      </c>
    </row>
    <row r="2049" spans="1:12" x14ac:dyDescent="0.3">
      <c r="A2049" t="s">
        <v>3361</v>
      </c>
      <c r="B2049" t="s">
        <v>3362</v>
      </c>
      <c r="C2049" t="s">
        <v>156</v>
      </c>
      <c r="D2049">
        <v>1</v>
      </c>
      <c r="E2049" s="1">
        <v>45740</v>
      </c>
      <c r="F2049" t="s">
        <v>592</v>
      </c>
      <c r="G2049">
        <v>3</v>
      </c>
      <c r="H2049" t="s">
        <v>578</v>
      </c>
      <c r="I2049" t="s">
        <v>570</v>
      </c>
      <c r="J2049" t="str">
        <f t="shared" si="93"/>
        <v>March</v>
      </c>
      <c r="K2049" t="str">
        <f t="shared" si="94"/>
        <v>Q1</v>
      </c>
      <c r="L2049">
        <f t="shared" si="95"/>
        <v>2025</v>
      </c>
    </row>
    <row r="2050" spans="1:12" x14ac:dyDescent="0.3">
      <c r="A2050" t="s">
        <v>3363</v>
      </c>
      <c r="B2050" t="s">
        <v>3362</v>
      </c>
      <c r="C2050" t="s">
        <v>156</v>
      </c>
      <c r="D2050">
        <v>2</v>
      </c>
      <c r="E2050" s="1">
        <v>45746</v>
      </c>
      <c r="F2050" t="s">
        <v>766</v>
      </c>
      <c r="G2050">
        <v>3</v>
      </c>
      <c r="H2050" t="s">
        <v>578</v>
      </c>
      <c r="I2050" t="s">
        <v>570</v>
      </c>
      <c r="J2050" t="str">
        <f t="shared" ref="J2050:J2113" si="96">TEXT(E2050,"mmmm")</f>
        <v>March</v>
      </c>
      <c r="K2050" t="str">
        <f t="shared" ref="K2050:K2113" si="97">"Q"&amp;ROUNDUP(MONTH(E2050)/3,0)</f>
        <v>Q1</v>
      </c>
      <c r="L2050">
        <f t="shared" ref="L2050:L2113" si="98">YEAR(E2050)</f>
        <v>2025</v>
      </c>
    </row>
    <row r="2051" spans="1:12" x14ac:dyDescent="0.3">
      <c r="A2051" t="s">
        <v>3364</v>
      </c>
      <c r="B2051" t="s">
        <v>3365</v>
      </c>
      <c r="C2051" t="s">
        <v>88</v>
      </c>
      <c r="D2051">
        <v>1</v>
      </c>
      <c r="E2051" s="1">
        <v>45747</v>
      </c>
      <c r="F2051" t="s">
        <v>577</v>
      </c>
      <c r="G2051">
        <v>2</v>
      </c>
      <c r="H2051" t="s">
        <v>569</v>
      </c>
      <c r="I2051" t="s">
        <v>570</v>
      </c>
      <c r="J2051" t="str">
        <f t="shared" si="96"/>
        <v>March</v>
      </c>
      <c r="K2051" t="str">
        <f t="shared" si="97"/>
        <v>Q1</v>
      </c>
      <c r="L2051">
        <f t="shared" si="98"/>
        <v>2025</v>
      </c>
    </row>
    <row r="2052" spans="1:12" x14ac:dyDescent="0.3">
      <c r="A2052" t="s">
        <v>3366</v>
      </c>
      <c r="B2052" t="s">
        <v>3365</v>
      </c>
      <c r="C2052" t="s">
        <v>88</v>
      </c>
      <c r="D2052">
        <v>2</v>
      </c>
      <c r="E2052" s="1">
        <v>45756</v>
      </c>
      <c r="F2052" t="s">
        <v>638</v>
      </c>
      <c r="G2052">
        <v>2</v>
      </c>
      <c r="H2052" t="s">
        <v>569</v>
      </c>
      <c r="I2052" t="s">
        <v>570</v>
      </c>
      <c r="J2052" t="str">
        <f t="shared" si="96"/>
        <v>April</v>
      </c>
      <c r="K2052" t="str">
        <f t="shared" si="97"/>
        <v>Q2</v>
      </c>
      <c r="L2052">
        <f t="shared" si="98"/>
        <v>2025</v>
      </c>
    </row>
    <row r="2053" spans="1:12" x14ac:dyDescent="0.3">
      <c r="A2053" t="s">
        <v>3367</v>
      </c>
      <c r="B2053" t="s">
        <v>3365</v>
      </c>
      <c r="C2053" t="s">
        <v>88</v>
      </c>
      <c r="D2053">
        <v>3</v>
      </c>
      <c r="E2053" s="1">
        <v>45766</v>
      </c>
      <c r="F2053" t="s">
        <v>572</v>
      </c>
      <c r="G2053">
        <v>3</v>
      </c>
      <c r="H2053" t="s">
        <v>578</v>
      </c>
      <c r="I2053" t="s">
        <v>608</v>
      </c>
      <c r="J2053" t="str">
        <f t="shared" si="96"/>
        <v>April</v>
      </c>
      <c r="K2053" t="str">
        <f t="shared" si="97"/>
        <v>Q2</v>
      </c>
      <c r="L2053">
        <f t="shared" si="98"/>
        <v>2025</v>
      </c>
    </row>
    <row r="2054" spans="1:12" x14ac:dyDescent="0.3">
      <c r="A2054" t="s">
        <v>3368</v>
      </c>
      <c r="B2054" t="s">
        <v>295</v>
      </c>
      <c r="C2054" t="s">
        <v>41</v>
      </c>
      <c r="D2054">
        <v>1</v>
      </c>
      <c r="E2054" s="1">
        <v>45826</v>
      </c>
      <c r="F2054" t="s">
        <v>605</v>
      </c>
      <c r="G2054">
        <v>4</v>
      </c>
      <c r="H2054" t="s">
        <v>581</v>
      </c>
      <c r="I2054" t="s">
        <v>570</v>
      </c>
      <c r="J2054" t="str">
        <f t="shared" si="96"/>
        <v>June</v>
      </c>
      <c r="K2054" t="str">
        <f t="shared" si="97"/>
        <v>Q2</v>
      </c>
      <c r="L2054">
        <f t="shared" si="98"/>
        <v>2025</v>
      </c>
    </row>
    <row r="2055" spans="1:12" x14ac:dyDescent="0.3">
      <c r="A2055" t="s">
        <v>3369</v>
      </c>
      <c r="B2055" t="s">
        <v>295</v>
      </c>
      <c r="C2055" t="s">
        <v>41</v>
      </c>
      <c r="D2055">
        <v>2</v>
      </c>
      <c r="E2055" s="1">
        <v>45833</v>
      </c>
      <c r="F2055" t="s">
        <v>577</v>
      </c>
      <c r="G2055">
        <v>4</v>
      </c>
      <c r="H2055" t="s">
        <v>581</v>
      </c>
      <c r="I2055" t="s">
        <v>570</v>
      </c>
      <c r="J2055" t="str">
        <f t="shared" si="96"/>
        <v>June</v>
      </c>
      <c r="K2055" t="str">
        <f t="shared" si="97"/>
        <v>Q2</v>
      </c>
      <c r="L2055">
        <f t="shared" si="98"/>
        <v>2025</v>
      </c>
    </row>
    <row r="2056" spans="1:12" x14ac:dyDescent="0.3">
      <c r="A2056" t="s">
        <v>3370</v>
      </c>
      <c r="B2056" t="s">
        <v>451</v>
      </c>
      <c r="C2056" t="s">
        <v>88</v>
      </c>
      <c r="D2056">
        <v>1</v>
      </c>
      <c r="E2056" s="1">
        <v>45759</v>
      </c>
      <c r="F2056" t="s">
        <v>638</v>
      </c>
      <c r="G2056">
        <v>5</v>
      </c>
      <c r="H2056" t="s">
        <v>581</v>
      </c>
      <c r="I2056" t="s">
        <v>570</v>
      </c>
      <c r="J2056" t="str">
        <f t="shared" si="96"/>
        <v>April</v>
      </c>
      <c r="K2056" t="str">
        <f t="shared" si="97"/>
        <v>Q2</v>
      </c>
      <c r="L2056">
        <f t="shared" si="98"/>
        <v>2025</v>
      </c>
    </row>
    <row r="2057" spans="1:12" x14ac:dyDescent="0.3">
      <c r="A2057" t="s">
        <v>3371</v>
      </c>
      <c r="B2057" t="s">
        <v>3372</v>
      </c>
      <c r="C2057" t="s">
        <v>292</v>
      </c>
      <c r="D2057">
        <v>1</v>
      </c>
      <c r="E2057" s="1">
        <v>45715</v>
      </c>
      <c r="F2057" t="s">
        <v>596</v>
      </c>
      <c r="G2057">
        <v>2</v>
      </c>
      <c r="H2057" t="s">
        <v>569</v>
      </c>
      <c r="I2057" t="s">
        <v>570</v>
      </c>
      <c r="J2057" t="str">
        <f t="shared" si="96"/>
        <v>February</v>
      </c>
      <c r="K2057" t="str">
        <f t="shared" si="97"/>
        <v>Q1</v>
      </c>
      <c r="L2057">
        <f t="shared" si="98"/>
        <v>2025</v>
      </c>
    </row>
    <row r="2058" spans="1:12" x14ac:dyDescent="0.3">
      <c r="A2058" t="s">
        <v>3373</v>
      </c>
      <c r="B2058" t="s">
        <v>3372</v>
      </c>
      <c r="C2058" t="s">
        <v>292</v>
      </c>
      <c r="D2058">
        <v>2</v>
      </c>
      <c r="E2058" s="1">
        <v>45721</v>
      </c>
      <c r="G2058">
        <v>2</v>
      </c>
      <c r="H2058" t="s">
        <v>569</v>
      </c>
      <c r="I2058" t="s">
        <v>570</v>
      </c>
      <c r="J2058" t="str">
        <f t="shared" si="96"/>
        <v>March</v>
      </c>
      <c r="K2058" t="str">
        <f t="shared" si="97"/>
        <v>Q1</v>
      </c>
      <c r="L2058">
        <f t="shared" si="98"/>
        <v>2025</v>
      </c>
    </row>
    <row r="2059" spans="1:12" x14ac:dyDescent="0.3">
      <c r="A2059" t="s">
        <v>3374</v>
      </c>
      <c r="B2059" t="s">
        <v>3375</v>
      </c>
      <c r="C2059" t="s">
        <v>32</v>
      </c>
      <c r="D2059">
        <v>1</v>
      </c>
      <c r="E2059" s="1">
        <v>45764</v>
      </c>
      <c r="F2059" t="s">
        <v>638</v>
      </c>
      <c r="G2059">
        <v>1</v>
      </c>
      <c r="H2059" t="s">
        <v>569</v>
      </c>
      <c r="I2059" t="s">
        <v>597</v>
      </c>
      <c r="J2059" t="str">
        <f t="shared" si="96"/>
        <v>April</v>
      </c>
      <c r="K2059" t="str">
        <f t="shared" si="97"/>
        <v>Q2</v>
      </c>
      <c r="L2059">
        <f t="shared" si="98"/>
        <v>2025</v>
      </c>
    </row>
    <row r="2060" spans="1:12" x14ac:dyDescent="0.3">
      <c r="A2060" t="s">
        <v>3376</v>
      </c>
      <c r="B2060" t="s">
        <v>3375</v>
      </c>
      <c r="C2060" t="s">
        <v>32</v>
      </c>
      <c r="D2060">
        <v>2</v>
      </c>
      <c r="E2060" s="1">
        <v>45774</v>
      </c>
      <c r="F2060" t="s">
        <v>621</v>
      </c>
      <c r="G2060">
        <v>1</v>
      </c>
      <c r="H2060" t="s">
        <v>569</v>
      </c>
      <c r="I2060" t="s">
        <v>570</v>
      </c>
      <c r="J2060" t="str">
        <f t="shared" si="96"/>
        <v>April</v>
      </c>
      <c r="K2060" t="str">
        <f t="shared" si="97"/>
        <v>Q2</v>
      </c>
      <c r="L2060">
        <f t="shared" si="98"/>
        <v>2025</v>
      </c>
    </row>
    <row r="2061" spans="1:12" x14ac:dyDescent="0.3">
      <c r="A2061" t="s">
        <v>3377</v>
      </c>
      <c r="B2061" t="s">
        <v>3378</v>
      </c>
      <c r="C2061" t="s">
        <v>166</v>
      </c>
      <c r="D2061">
        <v>1</v>
      </c>
      <c r="E2061" s="1">
        <v>45792</v>
      </c>
      <c r="F2061" t="s">
        <v>638</v>
      </c>
      <c r="G2061">
        <v>1</v>
      </c>
      <c r="H2061" t="s">
        <v>569</v>
      </c>
      <c r="I2061" t="s">
        <v>570</v>
      </c>
      <c r="J2061" t="str">
        <f t="shared" si="96"/>
        <v>May</v>
      </c>
      <c r="K2061" t="str">
        <f t="shared" si="97"/>
        <v>Q2</v>
      </c>
      <c r="L2061">
        <f t="shared" si="98"/>
        <v>2025</v>
      </c>
    </row>
    <row r="2062" spans="1:12" x14ac:dyDescent="0.3">
      <c r="A2062" t="s">
        <v>3379</v>
      </c>
      <c r="B2062" t="s">
        <v>3380</v>
      </c>
      <c r="C2062" t="s">
        <v>99</v>
      </c>
      <c r="D2062">
        <v>1</v>
      </c>
      <c r="E2062" s="1">
        <v>45864</v>
      </c>
      <c r="F2062" t="s">
        <v>658</v>
      </c>
      <c r="G2062">
        <v>1</v>
      </c>
      <c r="H2062" t="s">
        <v>569</v>
      </c>
      <c r="I2062" t="s">
        <v>570</v>
      </c>
      <c r="J2062" t="str">
        <f t="shared" si="96"/>
        <v>July</v>
      </c>
      <c r="K2062" t="str">
        <f t="shared" si="97"/>
        <v>Q3</v>
      </c>
      <c r="L2062">
        <f t="shared" si="98"/>
        <v>2025</v>
      </c>
    </row>
    <row r="2063" spans="1:12" x14ac:dyDescent="0.3">
      <c r="A2063" t="s">
        <v>3381</v>
      </c>
      <c r="B2063" t="s">
        <v>3382</v>
      </c>
      <c r="C2063" t="s">
        <v>147</v>
      </c>
      <c r="D2063">
        <v>1</v>
      </c>
      <c r="E2063" s="1">
        <v>45821</v>
      </c>
      <c r="F2063" t="s">
        <v>580</v>
      </c>
      <c r="G2063">
        <v>2</v>
      </c>
      <c r="H2063" t="s">
        <v>569</v>
      </c>
      <c r="I2063" t="s">
        <v>570</v>
      </c>
      <c r="J2063" t="str">
        <f t="shared" si="96"/>
        <v>June</v>
      </c>
      <c r="K2063" t="str">
        <f t="shared" si="97"/>
        <v>Q2</v>
      </c>
      <c r="L2063">
        <f t="shared" si="98"/>
        <v>2025</v>
      </c>
    </row>
    <row r="2064" spans="1:12" x14ac:dyDescent="0.3">
      <c r="A2064" t="s">
        <v>3383</v>
      </c>
      <c r="B2064" t="s">
        <v>3384</v>
      </c>
      <c r="C2064" t="s">
        <v>88</v>
      </c>
      <c r="D2064">
        <v>1</v>
      </c>
      <c r="E2064" s="1">
        <v>45748</v>
      </c>
      <c r="F2064" t="s">
        <v>572</v>
      </c>
      <c r="G2064">
        <v>1</v>
      </c>
      <c r="H2064" t="s">
        <v>569</v>
      </c>
      <c r="I2064" t="s">
        <v>570</v>
      </c>
      <c r="J2064" t="str">
        <f t="shared" si="96"/>
        <v>April</v>
      </c>
      <c r="K2064" t="str">
        <f t="shared" si="97"/>
        <v>Q2</v>
      </c>
      <c r="L2064">
        <f t="shared" si="98"/>
        <v>2025</v>
      </c>
    </row>
    <row r="2065" spans="1:12" x14ac:dyDescent="0.3">
      <c r="A2065" t="s">
        <v>3385</v>
      </c>
      <c r="B2065" t="s">
        <v>3386</v>
      </c>
      <c r="C2065" t="s">
        <v>340</v>
      </c>
      <c r="D2065">
        <v>1</v>
      </c>
      <c r="E2065" s="1">
        <v>45687</v>
      </c>
      <c r="F2065" t="s">
        <v>621</v>
      </c>
      <c r="G2065">
        <v>3</v>
      </c>
      <c r="H2065" t="s">
        <v>578</v>
      </c>
      <c r="I2065" t="s">
        <v>570</v>
      </c>
      <c r="J2065" t="str">
        <f t="shared" si="96"/>
        <v>January</v>
      </c>
      <c r="K2065" t="str">
        <f t="shared" si="97"/>
        <v>Q1</v>
      </c>
      <c r="L2065">
        <f t="shared" si="98"/>
        <v>2025</v>
      </c>
    </row>
    <row r="2066" spans="1:12" x14ac:dyDescent="0.3">
      <c r="A2066" t="s">
        <v>3387</v>
      </c>
      <c r="B2066" t="s">
        <v>3388</v>
      </c>
      <c r="C2066" t="s">
        <v>92</v>
      </c>
      <c r="D2066">
        <v>1</v>
      </c>
      <c r="E2066" s="1">
        <v>45776</v>
      </c>
      <c r="F2066" t="s">
        <v>577</v>
      </c>
      <c r="G2066">
        <v>1</v>
      </c>
      <c r="H2066" t="s">
        <v>569</v>
      </c>
      <c r="I2066" t="s">
        <v>570</v>
      </c>
      <c r="J2066" t="str">
        <f t="shared" si="96"/>
        <v>April</v>
      </c>
      <c r="K2066" t="str">
        <f t="shared" si="97"/>
        <v>Q2</v>
      </c>
      <c r="L2066">
        <f t="shared" si="98"/>
        <v>2025</v>
      </c>
    </row>
    <row r="2067" spans="1:12" x14ac:dyDescent="0.3">
      <c r="A2067" t="s">
        <v>3389</v>
      </c>
      <c r="B2067" t="s">
        <v>3388</v>
      </c>
      <c r="C2067" t="s">
        <v>92</v>
      </c>
      <c r="D2067">
        <v>2</v>
      </c>
      <c r="E2067" s="1">
        <v>45788</v>
      </c>
      <c r="F2067" t="s">
        <v>612</v>
      </c>
      <c r="G2067">
        <v>2</v>
      </c>
      <c r="H2067" t="s">
        <v>569</v>
      </c>
      <c r="I2067" t="s">
        <v>570</v>
      </c>
      <c r="J2067" t="str">
        <f t="shared" si="96"/>
        <v>May</v>
      </c>
      <c r="K2067" t="str">
        <f t="shared" si="97"/>
        <v>Q2</v>
      </c>
      <c r="L2067">
        <f t="shared" si="98"/>
        <v>2025</v>
      </c>
    </row>
    <row r="2068" spans="1:12" x14ac:dyDescent="0.3">
      <c r="A2068" t="s">
        <v>3390</v>
      </c>
      <c r="B2068" t="s">
        <v>3391</v>
      </c>
      <c r="C2068" t="s">
        <v>51</v>
      </c>
      <c r="D2068">
        <v>1</v>
      </c>
      <c r="E2068" s="1">
        <v>45955</v>
      </c>
      <c r="F2068" t="s">
        <v>586</v>
      </c>
      <c r="G2068">
        <v>2</v>
      </c>
      <c r="H2068" t="s">
        <v>569</v>
      </c>
      <c r="I2068" t="s">
        <v>570</v>
      </c>
      <c r="J2068" t="str">
        <f t="shared" si="96"/>
        <v>October</v>
      </c>
      <c r="K2068" t="str">
        <f t="shared" si="97"/>
        <v>Q4</v>
      </c>
      <c r="L2068">
        <f t="shared" si="98"/>
        <v>2025</v>
      </c>
    </row>
    <row r="2069" spans="1:12" x14ac:dyDescent="0.3">
      <c r="A2069" t="s">
        <v>3392</v>
      </c>
      <c r="B2069" t="s">
        <v>3391</v>
      </c>
      <c r="C2069" t="s">
        <v>51</v>
      </c>
      <c r="D2069">
        <v>2</v>
      </c>
      <c r="E2069" s="1">
        <v>45964</v>
      </c>
      <c r="F2069" t="s">
        <v>596</v>
      </c>
      <c r="G2069">
        <v>1</v>
      </c>
      <c r="H2069" t="s">
        <v>569</v>
      </c>
      <c r="I2069" t="s">
        <v>570</v>
      </c>
      <c r="J2069" t="str">
        <f t="shared" si="96"/>
        <v>November</v>
      </c>
      <c r="K2069" t="str">
        <f t="shared" si="97"/>
        <v>Q4</v>
      </c>
      <c r="L2069">
        <f t="shared" si="98"/>
        <v>2025</v>
      </c>
    </row>
    <row r="2070" spans="1:12" x14ac:dyDescent="0.3">
      <c r="A2070" t="s">
        <v>3393</v>
      </c>
      <c r="B2070" t="s">
        <v>3391</v>
      </c>
      <c r="C2070" t="s">
        <v>51</v>
      </c>
      <c r="D2070">
        <v>3</v>
      </c>
      <c r="E2070" s="1">
        <v>45969</v>
      </c>
      <c r="F2070" t="s">
        <v>572</v>
      </c>
      <c r="G2070">
        <v>1</v>
      </c>
      <c r="H2070" t="s">
        <v>569</v>
      </c>
      <c r="I2070" t="s">
        <v>570</v>
      </c>
      <c r="J2070" t="str">
        <f t="shared" si="96"/>
        <v>November</v>
      </c>
      <c r="K2070" t="str">
        <f t="shared" si="97"/>
        <v>Q4</v>
      </c>
      <c r="L2070">
        <f t="shared" si="98"/>
        <v>2025</v>
      </c>
    </row>
    <row r="2071" spans="1:12" x14ac:dyDescent="0.3">
      <c r="A2071" t="s">
        <v>3394</v>
      </c>
      <c r="B2071" t="s">
        <v>3395</v>
      </c>
      <c r="C2071" t="s">
        <v>16</v>
      </c>
      <c r="D2071">
        <v>1</v>
      </c>
      <c r="E2071" s="1">
        <v>45756</v>
      </c>
      <c r="F2071" t="s">
        <v>575</v>
      </c>
      <c r="G2071">
        <v>1</v>
      </c>
      <c r="H2071" t="s">
        <v>569</v>
      </c>
      <c r="I2071" t="s">
        <v>570</v>
      </c>
      <c r="J2071" t="str">
        <f t="shared" si="96"/>
        <v>April</v>
      </c>
      <c r="K2071" t="str">
        <f t="shared" si="97"/>
        <v>Q2</v>
      </c>
      <c r="L2071">
        <f t="shared" si="98"/>
        <v>2025</v>
      </c>
    </row>
    <row r="2072" spans="1:12" x14ac:dyDescent="0.3">
      <c r="A2072" t="s">
        <v>3396</v>
      </c>
      <c r="B2072" t="s">
        <v>3395</v>
      </c>
      <c r="C2072" t="s">
        <v>16</v>
      </c>
      <c r="D2072">
        <v>2</v>
      </c>
      <c r="E2072" s="1">
        <v>45764</v>
      </c>
      <c r="F2072" t="s">
        <v>706</v>
      </c>
      <c r="G2072">
        <v>1</v>
      </c>
      <c r="H2072" t="s">
        <v>569</v>
      </c>
      <c r="I2072" t="s">
        <v>570</v>
      </c>
      <c r="J2072" t="str">
        <f t="shared" si="96"/>
        <v>April</v>
      </c>
      <c r="K2072" t="str">
        <f t="shared" si="97"/>
        <v>Q2</v>
      </c>
      <c r="L2072">
        <f t="shared" si="98"/>
        <v>2025</v>
      </c>
    </row>
    <row r="2073" spans="1:12" x14ac:dyDescent="0.3">
      <c r="A2073" t="s">
        <v>3397</v>
      </c>
      <c r="B2073" t="s">
        <v>3395</v>
      </c>
      <c r="C2073" t="s">
        <v>16</v>
      </c>
      <c r="D2073">
        <v>3</v>
      </c>
      <c r="E2073" s="1">
        <v>45773</v>
      </c>
      <c r="F2073" t="s">
        <v>600</v>
      </c>
      <c r="G2073">
        <v>3</v>
      </c>
      <c r="H2073" t="s">
        <v>578</v>
      </c>
      <c r="I2073" t="s">
        <v>570</v>
      </c>
      <c r="J2073" t="str">
        <f t="shared" si="96"/>
        <v>April</v>
      </c>
      <c r="K2073" t="str">
        <f t="shared" si="97"/>
        <v>Q2</v>
      </c>
      <c r="L2073">
        <f t="shared" si="98"/>
        <v>2025</v>
      </c>
    </row>
    <row r="2074" spans="1:12" x14ac:dyDescent="0.3">
      <c r="A2074" t="s">
        <v>3398</v>
      </c>
      <c r="B2074" t="s">
        <v>481</v>
      </c>
      <c r="C2074" t="s">
        <v>22</v>
      </c>
      <c r="D2074">
        <v>1</v>
      </c>
      <c r="E2074" s="1">
        <v>45852</v>
      </c>
      <c r="G2074">
        <v>4</v>
      </c>
      <c r="H2074" t="s">
        <v>581</v>
      </c>
      <c r="I2074" t="s">
        <v>570</v>
      </c>
      <c r="J2074" t="str">
        <f t="shared" si="96"/>
        <v>July</v>
      </c>
      <c r="K2074" t="str">
        <f t="shared" si="97"/>
        <v>Q3</v>
      </c>
      <c r="L2074">
        <f t="shared" si="98"/>
        <v>2025</v>
      </c>
    </row>
    <row r="2075" spans="1:12" x14ac:dyDescent="0.3">
      <c r="A2075" t="s">
        <v>3399</v>
      </c>
      <c r="B2075" t="s">
        <v>3400</v>
      </c>
      <c r="C2075" t="s">
        <v>429</v>
      </c>
      <c r="D2075">
        <v>1</v>
      </c>
      <c r="E2075" s="1">
        <v>45770</v>
      </c>
      <c r="F2075" t="s">
        <v>590</v>
      </c>
      <c r="G2075">
        <v>2</v>
      </c>
      <c r="H2075" t="s">
        <v>569</v>
      </c>
      <c r="I2075" t="s">
        <v>570</v>
      </c>
      <c r="J2075" t="str">
        <f t="shared" si="96"/>
        <v>April</v>
      </c>
      <c r="K2075" t="str">
        <f t="shared" si="97"/>
        <v>Q2</v>
      </c>
      <c r="L2075">
        <f t="shared" si="98"/>
        <v>2025</v>
      </c>
    </row>
    <row r="2076" spans="1:12" x14ac:dyDescent="0.3">
      <c r="A2076" t="s">
        <v>3401</v>
      </c>
      <c r="B2076" t="s">
        <v>3400</v>
      </c>
      <c r="C2076" t="s">
        <v>429</v>
      </c>
      <c r="D2076">
        <v>2</v>
      </c>
      <c r="E2076" s="1">
        <v>45781</v>
      </c>
      <c r="F2076" t="s">
        <v>766</v>
      </c>
      <c r="G2076">
        <v>3</v>
      </c>
      <c r="H2076" t="s">
        <v>578</v>
      </c>
      <c r="I2076" t="s">
        <v>570</v>
      </c>
      <c r="J2076" t="str">
        <f t="shared" si="96"/>
        <v>May</v>
      </c>
      <c r="K2076" t="str">
        <f t="shared" si="97"/>
        <v>Q2</v>
      </c>
      <c r="L2076">
        <f t="shared" si="98"/>
        <v>2025</v>
      </c>
    </row>
    <row r="2077" spans="1:12" x14ac:dyDescent="0.3">
      <c r="A2077" t="s">
        <v>3402</v>
      </c>
      <c r="B2077" t="s">
        <v>3400</v>
      </c>
      <c r="C2077" t="s">
        <v>429</v>
      </c>
      <c r="D2077">
        <v>3</v>
      </c>
      <c r="E2077" s="1">
        <v>45791</v>
      </c>
      <c r="F2077" t="s">
        <v>766</v>
      </c>
      <c r="G2077">
        <v>1</v>
      </c>
      <c r="H2077" t="s">
        <v>569</v>
      </c>
      <c r="I2077" t="s">
        <v>570</v>
      </c>
      <c r="J2077" t="str">
        <f t="shared" si="96"/>
        <v>May</v>
      </c>
      <c r="K2077" t="str">
        <f t="shared" si="97"/>
        <v>Q2</v>
      </c>
      <c r="L2077">
        <f t="shared" si="98"/>
        <v>2025</v>
      </c>
    </row>
    <row r="2078" spans="1:12" x14ac:dyDescent="0.3">
      <c r="A2078" t="s">
        <v>3403</v>
      </c>
      <c r="B2078" t="s">
        <v>3400</v>
      </c>
      <c r="C2078" t="s">
        <v>429</v>
      </c>
      <c r="D2078">
        <v>4</v>
      </c>
      <c r="E2078" s="1">
        <v>45802</v>
      </c>
      <c r="F2078" t="s">
        <v>741</v>
      </c>
      <c r="G2078">
        <v>3</v>
      </c>
      <c r="H2078" t="s">
        <v>578</v>
      </c>
      <c r="I2078" t="s">
        <v>570</v>
      </c>
      <c r="J2078" t="str">
        <f t="shared" si="96"/>
        <v>May</v>
      </c>
      <c r="K2078" t="str">
        <f t="shared" si="97"/>
        <v>Q2</v>
      </c>
      <c r="L2078">
        <f t="shared" si="98"/>
        <v>2025</v>
      </c>
    </row>
    <row r="2079" spans="1:12" x14ac:dyDescent="0.3">
      <c r="A2079" t="s">
        <v>3404</v>
      </c>
      <c r="B2079" t="s">
        <v>3405</v>
      </c>
      <c r="C2079" t="s">
        <v>51</v>
      </c>
      <c r="D2079">
        <v>1</v>
      </c>
      <c r="E2079" s="1">
        <v>45955</v>
      </c>
      <c r="F2079" t="s">
        <v>596</v>
      </c>
      <c r="G2079">
        <v>1</v>
      </c>
      <c r="H2079" t="s">
        <v>569</v>
      </c>
      <c r="I2079" t="s">
        <v>570</v>
      </c>
      <c r="J2079" t="str">
        <f t="shared" si="96"/>
        <v>October</v>
      </c>
      <c r="K2079" t="str">
        <f t="shared" si="97"/>
        <v>Q4</v>
      </c>
      <c r="L2079">
        <f t="shared" si="98"/>
        <v>2025</v>
      </c>
    </row>
    <row r="2080" spans="1:12" x14ac:dyDescent="0.3">
      <c r="A2080" t="s">
        <v>3406</v>
      </c>
      <c r="B2080" t="s">
        <v>3407</v>
      </c>
      <c r="C2080" t="s">
        <v>156</v>
      </c>
      <c r="D2080">
        <v>1</v>
      </c>
      <c r="E2080" s="1">
        <v>45725</v>
      </c>
      <c r="F2080" t="s">
        <v>590</v>
      </c>
      <c r="G2080">
        <v>2</v>
      </c>
      <c r="H2080" t="s">
        <v>569</v>
      </c>
      <c r="I2080" t="s">
        <v>570</v>
      </c>
      <c r="J2080" t="str">
        <f t="shared" si="96"/>
        <v>March</v>
      </c>
      <c r="K2080" t="str">
        <f t="shared" si="97"/>
        <v>Q1</v>
      </c>
      <c r="L2080">
        <f t="shared" si="98"/>
        <v>2025</v>
      </c>
    </row>
    <row r="2081" spans="1:12" x14ac:dyDescent="0.3">
      <c r="A2081" t="s">
        <v>3408</v>
      </c>
      <c r="B2081" t="s">
        <v>3407</v>
      </c>
      <c r="C2081" t="s">
        <v>156</v>
      </c>
      <c r="D2081">
        <v>2</v>
      </c>
      <c r="E2081" s="1">
        <v>45736</v>
      </c>
      <c r="F2081" t="s">
        <v>580</v>
      </c>
      <c r="G2081">
        <v>3</v>
      </c>
      <c r="H2081" t="s">
        <v>578</v>
      </c>
      <c r="I2081" t="s">
        <v>570</v>
      </c>
      <c r="J2081" t="str">
        <f t="shared" si="96"/>
        <v>March</v>
      </c>
      <c r="K2081" t="str">
        <f t="shared" si="97"/>
        <v>Q1</v>
      </c>
      <c r="L2081">
        <f t="shared" si="98"/>
        <v>2025</v>
      </c>
    </row>
    <row r="2082" spans="1:12" x14ac:dyDescent="0.3">
      <c r="A2082" t="s">
        <v>3409</v>
      </c>
      <c r="B2082" t="s">
        <v>3407</v>
      </c>
      <c r="C2082" t="s">
        <v>156</v>
      </c>
      <c r="D2082">
        <v>3</v>
      </c>
      <c r="E2082" s="1">
        <v>45747</v>
      </c>
      <c r="F2082" t="s">
        <v>638</v>
      </c>
      <c r="G2082">
        <v>2</v>
      </c>
      <c r="H2082" t="s">
        <v>569</v>
      </c>
      <c r="I2082" t="s">
        <v>570</v>
      </c>
      <c r="J2082" t="str">
        <f t="shared" si="96"/>
        <v>March</v>
      </c>
      <c r="K2082" t="str">
        <f t="shared" si="97"/>
        <v>Q1</v>
      </c>
      <c r="L2082">
        <f t="shared" si="98"/>
        <v>2025</v>
      </c>
    </row>
    <row r="2083" spans="1:12" x14ac:dyDescent="0.3">
      <c r="A2083" t="s">
        <v>3410</v>
      </c>
      <c r="B2083" t="s">
        <v>3411</v>
      </c>
      <c r="C2083" t="s">
        <v>85</v>
      </c>
      <c r="D2083">
        <v>1</v>
      </c>
      <c r="E2083" s="1">
        <v>45848</v>
      </c>
      <c r="F2083" t="s">
        <v>596</v>
      </c>
      <c r="G2083">
        <v>1</v>
      </c>
      <c r="H2083" t="s">
        <v>569</v>
      </c>
      <c r="I2083" t="s">
        <v>570</v>
      </c>
      <c r="J2083" t="str">
        <f t="shared" si="96"/>
        <v>July</v>
      </c>
      <c r="K2083" t="str">
        <f t="shared" si="97"/>
        <v>Q3</v>
      </c>
      <c r="L2083">
        <f t="shared" si="98"/>
        <v>2025</v>
      </c>
    </row>
    <row r="2084" spans="1:12" x14ac:dyDescent="0.3">
      <c r="A2084" t="s">
        <v>3412</v>
      </c>
      <c r="B2084" t="s">
        <v>3411</v>
      </c>
      <c r="C2084" t="s">
        <v>85</v>
      </c>
      <c r="D2084">
        <v>2</v>
      </c>
      <c r="E2084" s="1">
        <v>45852</v>
      </c>
      <c r="F2084" t="s">
        <v>568</v>
      </c>
      <c r="G2084">
        <v>1</v>
      </c>
      <c r="H2084" t="s">
        <v>569</v>
      </c>
      <c r="I2084" t="s">
        <v>570</v>
      </c>
      <c r="J2084" t="str">
        <f t="shared" si="96"/>
        <v>July</v>
      </c>
      <c r="K2084" t="str">
        <f t="shared" si="97"/>
        <v>Q3</v>
      </c>
      <c r="L2084">
        <f t="shared" si="98"/>
        <v>2025</v>
      </c>
    </row>
    <row r="2085" spans="1:12" x14ac:dyDescent="0.3">
      <c r="A2085" t="s">
        <v>3413</v>
      </c>
      <c r="B2085" t="s">
        <v>3414</v>
      </c>
      <c r="C2085" t="s">
        <v>96</v>
      </c>
      <c r="D2085">
        <v>1</v>
      </c>
      <c r="E2085" s="1">
        <v>45878</v>
      </c>
      <c r="F2085" t="s">
        <v>605</v>
      </c>
      <c r="G2085">
        <v>3</v>
      </c>
      <c r="H2085" t="s">
        <v>578</v>
      </c>
      <c r="I2085" t="s">
        <v>570</v>
      </c>
      <c r="J2085" t="str">
        <f t="shared" si="96"/>
        <v>August</v>
      </c>
      <c r="K2085" t="str">
        <f t="shared" si="97"/>
        <v>Q3</v>
      </c>
      <c r="L2085">
        <f t="shared" si="98"/>
        <v>2025</v>
      </c>
    </row>
    <row r="2086" spans="1:12" x14ac:dyDescent="0.3">
      <c r="A2086" t="s">
        <v>3415</v>
      </c>
      <c r="B2086" t="s">
        <v>544</v>
      </c>
      <c r="C2086" t="s">
        <v>156</v>
      </c>
      <c r="D2086">
        <v>1</v>
      </c>
      <c r="E2086" s="1">
        <v>45731</v>
      </c>
      <c r="F2086" t="s">
        <v>638</v>
      </c>
      <c r="G2086">
        <v>3</v>
      </c>
      <c r="H2086" t="s">
        <v>578</v>
      </c>
      <c r="I2086" t="s">
        <v>570</v>
      </c>
      <c r="J2086" t="str">
        <f t="shared" si="96"/>
        <v>March</v>
      </c>
      <c r="K2086" t="str">
        <f t="shared" si="97"/>
        <v>Q1</v>
      </c>
      <c r="L2086">
        <f t="shared" si="98"/>
        <v>2025</v>
      </c>
    </row>
    <row r="2087" spans="1:12" x14ac:dyDescent="0.3">
      <c r="A2087" t="s">
        <v>3416</v>
      </c>
      <c r="B2087" t="s">
        <v>544</v>
      </c>
      <c r="C2087" t="s">
        <v>156</v>
      </c>
      <c r="D2087">
        <v>2</v>
      </c>
      <c r="E2087" s="1">
        <v>45739</v>
      </c>
      <c r="F2087" t="s">
        <v>766</v>
      </c>
      <c r="G2087">
        <v>4</v>
      </c>
      <c r="H2087" t="s">
        <v>581</v>
      </c>
      <c r="I2087" t="s">
        <v>570</v>
      </c>
      <c r="J2087" t="str">
        <f t="shared" si="96"/>
        <v>March</v>
      </c>
      <c r="K2087" t="str">
        <f t="shared" si="97"/>
        <v>Q1</v>
      </c>
      <c r="L2087">
        <f t="shared" si="98"/>
        <v>2025</v>
      </c>
    </row>
    <row r="2088" spans="1:12" x14ac:dyDescent="0.3">
      <c r="A2088" t="s">
        <v>3417</v>
      </c>
      <c r="B2088" t="s">
        <v>3418</v>
      </c>
      <c r="C2088" t="s">
        <v>41</v>
      </c>
      <c r="D2088">
        <v>1</v>
      </c>
      <c r="E2088" s="1">
        <v>45821</v>
      </c>
      <c r="F2088" t="s">
        <v>572</v>
      </c>
      <c r="G2088">
        <v>2</v>
      </c>
      <c r="H2088" t="s">
        <v>569</v>
      </c>
      <c r="I2088" t="s">
        <v>570</v>
      </c>
      <c r="J2088" t="str">
        <f t="shared" si="96"/>
        <v>June</v>
      </c>
      <c r="K2088" t="str">
        <f t="shared" si="97"/>
        <v>Q2</v>
      </c>
      <c r="L2088">
        <f t="shared" si="98"/>
        <v>2025</v>
      </c>
    </row>
    <row r="2089" spans="1:12" x14ac:dyDescent="0.3">
      <c r="A2089" t="s">
        <v>3419</v>
      </c>
      <c r="B2089" t="s">
        <v>3418</v>
      </c>
      <c r="C2089" t="s">
        <v>41</v>
      </c>
      <c r="D2089">
        <v>2</v>
      </c>
      <c r="E2089" s="1">
        <v>45828</v>
      </c>
      <c r="F2089" t="s">
        <v>612</v>
      </c>
      <c r="G2089">
        <v>1</v>
      </c>
      <c r="H2089" t="s">
        <v>569</v>
      </c>
      <c r="I2089" t="s">
        <v>570</v>
      </c>
      <c r="J2089" t="str">
        <f t="shared" si="96"/>
        <v>June</v>
      </c>
      <c r="K2089" t="str">
        <f t="shared" si="97"/>
        <v>Q2</v>
      </c>
      <c r="L2089">
        <f t="shared" si="98"/>
        <v>2025</v>
      </c>
    </row>
    <row r="2090" spans="1:12" x14ac:dyDescent="0.3">
      <c r="A2090" t="s">
        <v>3420</v>
      </c>
      <c r="B2090" t="s">
        <v>355</v>
      </c>
      <c r="C2090" t="s">
        <v>187</v>
      </c>
      <c r="D2090">
        <v>1</v>
      </c>
      <c r="E2090" s="1">
        <v>45823</v>
      </c>
      <c r="F2090" t="s">
        <v>577</v>
      </c>
      <c r="G2090">
        <v>4</v>
      </c>
      <c r="H2090" t="s">
        <v>581</v>
      </c>
      <c r="I2090" t="s">
        <v>570</v>
      </c>
      <c r="J2090" t="str">
        <f t="shared" si="96"/>
        <v>June</v>
      </c>
      <c r="K2090" t="str">
        <f t="shared" si="97"/>
        <v>Q2</v>
      </c>
      <c r="L2090">
        <f t="shared" si="98"/>
        <v>2025</v>
      </c>
    </row>
    <row r="2091" spans="1:12" x14ac:dyDescent="0.3">
      <c r="A2091" t="s">
        <v>3421</v>
      </c>
      <c r="B2091" t="s">
        <v>355</v>
      </c>
      <c r="C2091" t="s">
        <v>187</v>
      </c>
      <c r="D2091">
        <v>2</v>
      </c>
      <c r="E2091" s="1">
        <v>45829</v>
      </c>
      <c r="F2091" t="s">
        <v>572</v>
      </c>
      <c r="G2091">
        <v>4</v>
      </c>
      <c r="H2091" t="s">
        <v>581</v>
      </c>
      <c r="I2091" t="s">
        <v>570</v>
      </c>
      <c r="J2091" t="str">
        <f t="shared" si="96"/>
        <v>June</v>
      </c>
      <c r="K2091" t="str">
        <f t="shared" si="97"/>
        <v>Q2</v>
      </c>
      <c r="L2091">
        <f t="shared" si="98"/>
        <v>2025</v>
      </c>
    </row>
    <row r="2092" spans="1:12" x14ac:dyDescent="0.3">
      <c r="A2092" t="s">
        <v>3422</v>
      </c>
      <c r="B2092" t="s">
        <v>3423</v>
      </c>
      <c r="C2092" t="s">
        <v>55</v>
      </c>
      <c r="D2092">
        <v>1</v>
      </c>
      <c r="E2092" s="1">
        <v>45919</v>
      </c>
      <c r="F2092" t="s">
        <v>586</v>
      </c>
      <c r="G2092">
        <v>1</v>
      </c>
      <c r="H2092" t="s">
        <v>569</v>
      </c>
      <c r="I2092" t="s">
        <v>570</v>
      </c>
      <c r="J2092" t="str">
        <f t="shared" si="96"/>
        <v>September</v>
      </c>
      <c r="K2092" t="str">
        <f t="shared" si="97"/>
        <v>Q3</v>
      </c>
      <c r="L2092">
        <f t="shared" si="98"/>
        <v>2025</v>
      </c>
    </row>
    <row r="2093" spans="1:12" x14ac:dyDescent="0.3">
      <c r="A2093" t="s">
        <v>3424</v>
      </c>
      <c r="B2093" t="s">
        <v>3423</v>
      </c>
      <c r="C2093" t="s">
        <v>55</v>
      </c>
      <c r="D2093">
        <v>2</v>
      </c>
      <c r="E2093" s="1">
        <v>45925</v>
      </c>
      <c r="F2093" t="s">
        <v>580</v>
      </c>
      <c r="G2093">
        <v>2</v>
      </c>
      <c r="H2093" t="s">
        <v>569</v>
      </c>
      <c r="I2093" t="s">
        <v>570</v>
      </c>
      <c r="J2093" t="str">
        <f t="shared" si="96"/>
        <v>September</v>
      </c>
      <c r="K2093" t="str">
        <f t="shared" si="97"/>
        <v>Q3</v>
      </c>
      <c r="L2093">
        <f t="shared" si="98"/>
        <v>2025</v>
      </c>
    </row>
    <row r="2094" spans="1:12" x14ac:dyDescent="0.3">
      <c r="A2094" t="s">
        <v>3425</v>
      </c>
      <c r="B2094" t="s">
        <v>3423</v>
      </c>
      <c r="C2094" t="s">
        <v>55</v>
      </c>
      <c r="D2094">
        <v>3</v>
      </c>
      <c r="E2094" s="1">
        <v>45930</v>
      </c>
      <c r="F2094" t="s">
        <v>586</v>
      </c>
      <c r="G2094">
        <v>1</v>
      </c>
      <c r="H2094" t="s">
        <v>569</v>
      </c>
      <c r="I2094" t="s">
        <v>570</v>
      </c>
      <c r="J2094" t="str">
        <f t="shared" si="96"/>
        <v>September</v>
      </c>
      <c r="K2094" t="str">
        <f t="shared" si="97"/>
        <v>Q3</v>
      </c>
      <c r="L2094">
        <f t="shared" si="98"/>
        <v>2025</v>
      </c>
    </row>
    <row r="2095" spans="1:12" x14ac:dyDescent="0.3">
      <c r="A2095" t="s">
        <v>3426</v>
      </c>
      <c r="B2095" t="s">
        <v>3423</v>
      </c>
      <c r="C2095" t="s">
        <v>55</v>
      </c>
      <c r="D2095">
        <v>4</v>
      </c>
      <c r="E2095" s="1">
        <v>45938</v>
      </c>
      <c r="F2095" t="s">
        <v>663</v>
      </c>
      <c r="G2095">
        <v>1</v>
      </c>
      <c r="H2095" t="s">
        <v>569</v>
      </c>
      <c r="I2095" t="s">
        <v>597</v>
      </c>
      <c r="J2095" t="str">
        <f t="shared" si="96"/>
        <v>October</v>
      </c>
      <c r="K2095" t="str">
        <f t="shared" si="97"/>
        <v>Q4</v>
      </c>
      <c r="L2095">
        <f t="shared" si="98"/>
        <v>2025</v>
      </c>
    </row>
    <row r="2096" spans="1:12" x14ac:dyDescent="0.3">
      <c r="A2096" t="s">
        <v>3427</v>
      </c>
      <c r="B2096" t="s">
        <v>3428</v>
      </c>
      <c r="C2096" t="s">
        <v>195</v>
      </c>
      <c r="D2096">
        <v>1</v>
      </c>
      <c r="E2096" s="1">
        <v>45859</v>
      </c>
      <c r="F2096" t="s">
        <v>586</v>
      </c>
      <c r="G2096">
        <v>2</v>
      </c>
      <c r="H2096" t="s">
        <v>569</v>
      </c>
      <c r="I2096" t="s">
        <v>570</v>
      </c>
      <c r="J2096" t="str">
        <f t="shared" si="96"/>
        <v>July</v>
      </c>
      <c r="K2096" t="str">
        <f t="shared" si="97"/>
        <v>Q3</v>
      </c>
      <c r="L2096">
        <f t="shared" si="98"/>
        <v>2025</v>
      </c>
    </row>
    <row r="2097" spans="1:12" x14ac:dyDescent="0.3">
      <c r="A2097" t="s">
        <v>3429</v>
      </c>
      <c r="B2097" t="s">
        <v>3430</v>
      </c>
      <c r="C2097" t="s">
        <v>292</v>
      </c>
      <c r="D2097">
        <v>1</v>
      </c>
      <c r="E2097" s="1">
        <v>45716</v>
      </c>
      <c r="F2097" t="s">
        <v>568</v>
      </c>
      <c r="G2097">
        <v>1</v>
      </c>
      <c r="H2097" t="s">
        <v>569</v>
      </c>
      <c r="I2097" t="s">
        <v>570</v>
      </c>
      <c r="J2097" t="str">
        <f t="shared" si="96"/>
        <v>February</v>
      </c>
      <c r="K2097" t="str">
        <f t="shared" si="97"/>
        <v>Q1</v>
      </c>
      <c r="L2097">
        <f t="shared" si="98"/>
        <v>2025</v>
      </c>
    </row>
    <row r="2098" spans="1:12" x14ac:dyDescent="0.3">
      <c r="A2098" t="s">
        <v>3431</v>
      </c>
      <c r="B2098" t="s">
        <v>3430</v>
      </c>
      <c r="C2098" t="s">
        <v>292</v>
      </c>
      <c r="D2098">
        <v>2</v>
      </c>
      <c r="E2098" s="1">
        <v>45724</v>
      </c>
      <c r="F2098" t="s">
        <v>663</v>
      </c>
      <c r="G2098">
        <v>2</v>
      </c>
      <c r="H2098" t="s">
        <v>569</v>
      </c>
      <c r="I2098" t="s">
        <v>570</v>
      </c>
      <c r="J2098" t="str">
        <f t="shared" si="96"/>
        <v>March</v>
      </c>
      <c r="K2098" t="str">
        <f t="shared" si="97"/>
        <v>Q1</v>
      </c>
      <c r="L2098">
        <f t="shared" si="98"/>
        <v>2025</v>
      </c>
    </row>
    <row r="2099" spans="1:12" x14ac:dyDescent="0.3">
      <c r="A2099" t="s">
        <v>3432</v>
      </c>
      <c r="B2099" t="s">
        <v>3430</v>
      </c>
      <c r="C2099" t="s">
        <v>292</v>
      </c>
      <c r="D2099">
        <v>3</v>
      </c>
      <c r="E2099" s="1">
        <v>45732</v>
      </c>
      <c r="F2099" t="s">
        <v>568</v>
      </c>
      <c r="G2099">
        <v>1</v>
      </c>
      <c r="H2099" t="s">
        <v>569</v>
      </c>
      <c r="I2099" t="s">
        <v>570</v>
      </c>
      <c r="J2099" t="str">
        <f t="shared" si="96"/>
        <v>March</v>
      </c>
      <c r="K2099" t="str">
        <f t="shared" si="97"/>
        <v>Q1</v>
      </c>
      <c r="L2099">
        <f t="shared" si="98"/>
        <v>2025</v>
      </c>
    </row>
    <row r="2100" spans="1:12" x14ac:dyDescent="0.3">
      <c r="A2100" t="s">
        <v>3433</v>
      </c>
      <c r="B2100" t="s">
        <v>3434</v>
      </c>
      <c r="C2100" t="s">
        <v>195</v>
      </c>
      <c r="D2100">
        <v>1</v>
      </c>
      <c r="E2100" s="1">
        <v>45844</v>
      </c>
      <c r="F2100" t="s">
        <v>632</v>
      </c>
      <c r="G2100">
        <v>1</v>
      </c>
      <c r="H2100" t="s">
        <v>569</v>
      </c>
      <c r="I2100" t="s">
        <v>570</v>
      </c>
      <c r="J2100" t="str">
        <f t="shared" si="96"/>
        <v>July</v>
      </c>
      <c r="K2100" t="str">
        <f t="shared" si="97"/>
        <v>Q3</v>
      </c>
      <c r="L2100">
        <f t="shared" si="98"/>
        <v>2025</v>
      </c>
    </row>
    <row r="2101" spans="1:12" x14ac:dyDescent="0.3">
      <c r="A2101" t="s">
        <v>3435</v>
      </c>
      <c r="B2101" t="s">
        <v>3436</v>
      </c>
      <c r="C2101" t="s">
        <v>326</v>
      </c>
      <c r="D2101">
        <v>1</v>
      </c>
      <c r="E2101" s="1">
        <v>45755</v>
      </c>
      <c r="F2101" t="s">
        <v>575</v>
      </c>
      <c r="G2101">
        <v>2</v>
      </c>
      <c r="H2101" t="s">
        <v>569</v>
      </c>
      <c r="I2101" t="s">
        <v>597</v>
      </c>
      <c r="J2101" t="str">
        <f t="shared" si="96"/>
        <v>April</v>
      </c>
      <c r="K2101" t="str">
        <f t="shared" si="97"/>
        <v>Q2</v>
      </c>
      <c r="L2101">
        <f t="shared" si="98"/>
        <v>2025</v>
      </c>
    </row>
    <row r="2102" spans="1:12" x14ac:dyDescent="0.3">
      <c r="A2102" t="s">
        <v>3437</v>
      </c>
      <c r="B2102" t="s">
        <v>3436</v>
      </c>
      <c r="C2102" t="s">
        <v>326</v>
      </c>
      <c r="D2102">
        <v>2</v>
      </c>
      <c r="E2102" s="1">
        <v>45764</v>
      </c>
      <c r="F2102" t="s">
        <v>596</v>
      </c>
      <c r="G2102">
        <v>2</v>
      </c>
      <c r="H2102" t="s">
        <v>569</v>
      </c>
      <c r="I2102" t="s">
        <v>597</v>
      </c>
      <c r="J2102" t="str">
        <f t="shared" si="96"/>
        <v>April</v>
      </c>
      <c r="K2102" t="str">
        <f t="shared" si="97"/>
        <v>Q2</v>
      </c>
      <c r="L2102">
        <f t="shared" si="98"/>
        <v>2025</v>
      </c>
    </row>
    <row r="2103" spans="1:12" x14ac:dyDescent="0.3">
      <c r="A2103" t="s">
        <v>3438</v>
      </c>
      <c r="B2103" t="s">
        <v>3436</v>
      </c>
      <c r="C2103" t="s">
        <v>326</v>
      </c>
      <c r="D2103">
        <v>3</v>
      </c>
      <c r="E2103" s="1">
        <v>45770</v>
      </c>
      <c r="F2103" t="s">
        <v>596</v>
      </c>
      <c r="G2103">
        <v>1</v>
      </c>
      <c r="H2103" t="s">
        <v>569</v>
      </c>
      <c r="I2103" t="s">
        <v>570</v>
      </c>
      <c r="J2103" t="str">
        <f t="shared" si="96"/>
        <v>April</v>
      </c>
      <c r="K2103" t="str">
        <f t="shared" si="97"/>
        <v>Q2</v>
      </c>
      <c r="L2103">
        <f t="shared" si="98"/>
        <v>2025</v>
      </c>
    </row>
    <row r="2104" spans="1:12" x14ac:dyDescent="0.3">
      <c r="A2104" t="s">
        <v>3439</v>
      </c>
      <c r="B2104" t="s">
        <v>3440</v>
      </c>
      <c r="C2104" t="s">
        <v>85</v>
      </c>
      <c r="D2104">
        <v>1</v>
      </c>
      <c r="E2104" s="1">
        <v>45842</v>
      </c>
      <c r="F2104" t="s">
        <v>663</v>
      </c>
      <c r="G2104">
        <v>2</v>
      </c>
      <c r="H2104" t="s">
        <v>569</v>
      </c>
      <c r="I2104" t="s">
        <v>570</v>
      </c>
      <c r="J2104" t="str">
        <f t="shared" si="96"/>
        <v>July</v>
      </c>
      <c r="K2104" t="str">
        <f t="shared" si="97"/>
        <v>Q3</v>
      </c>
      <c r="L2104">
        <f t="shared" si="98"/>
        <v>2025</v>
      </c>
    </row>
    <row r="2105" spans="1:12" x14ac:dyDescent="0.3">
      <c r="A2105" t="s">
        <v>3441</v>
      </c>
      <c r="B2105" t="s">
        <v>3440</v>
      </c>
      <c r="C2105" t="s">
        <v>85</v>
      </c>
      <c r="D2105">
        <v>2</v>
      </c>
      <c r="E2105" s="1">
        <v>45853</v>
      </c>
      <c r="F2105" t="s">
        <v>596</v>
      </c>
      <c r="G2105">
        <v>4</v>
      </c>
      <c r="H2105" t="s">
        <v>581</v>
      </c>
      <c r="I2105" t="s">
        <v>570</v>
      </c>
      <c r="J2105" t="str">
        <f t="shared" si="96"/>
        <v>July</v>
      </c>
      <c r="K2105" t="str">
        <f t="shared" si="97"/>
        <v>Q3</v>
      </c>
      <c r="L2105">
        <f t="shared" si="98"/>
        <v>2025</v>
      </c>
    </row>
    <row r="2106" spans="1:12" x14ac:dyDescent="0.3">
      <c r="A2106" t="s">
        <v>3442</v>
      </c>
      <c r="B2106" t="s">
        <v>77</v>
      </c>
      <c r="C2106" t="s">
        <v>78</v>
      </c>
      <c r="D2106">
        <v>1</v>
      </c>
      <c r="E2106" s="1">
        <v>45914</v>
      </c>
      <c r="F2106" t="s">
        <v>586</v>
      </c>
      <c r="G2106">
        <v>5</v>
      </c>
      <c r="H2106" t="s">
        <v>581</v>
      </c>
      <c r="I2106" t="s">
        <v>570</v>
      </c>
      <c r="J2106" t="str">
        <f t="shared" si="96"/>
        <v>September</v>
      </c>
      <c r="K2106" t="str">
        <f t="shared" si="97"/>
        <v>Q3</v>
      </c>
      <c r="L2106">
        <f t="shared" si="98"/>
        <v>2025</v>
      </c>
    </row>
    <row r="2107" spans="1:12" x14ac:dyDescent="0.3">
      <c r="A2107" t="s">
        <v>3443</v>
      </c>
      <c r="B2107" t="s">
        <v>77</v>
      </c>
      <c r="C2107" t="s">
        <v>78</v>
      </c>
      <c r="D2107">
        <v>2</v>
      </c>
      <c r="E2107" s="1">
        <v>45926</v>
      </c>
      <c r="F2107" t="s">
        <v>586</v>
      </c>
      <c r="G2107">
        <v>4</v>
      </c>
      <c r="H2107" t="s">
        <v>581</v>
      </c>
      <c r="I2107" t="s">
        <v>570</v>
      </c>
      <c r="J2107" t="str">
        <f t="shared" si="96"/>
        <v>September</v>
      </c>
      <c r="K2107" t="str">
        <f t="shared" si="97"/>
        <v>Q3</v>
      </c>
      <c r="L2107">
        <f t="shared" si="98"/>
        <v>2025</v>
      </c>
    </row>
    <row r="2108" spans="1:12" x14ac:dyDescent="0.3">
      <c r="A2108" t="s">
        <v>3444</v>
      </c>
      <c r="B2108" t="s">
        <v>26</v>
      </c>
      <c r="C2108" t="s">
        <v>27</v>
      </c>
      <c r="D2108">
        <v>1</v>
      </c>
      <c r="E2108" s="1">
        <v>45891</v>
      </c>
      <c r="F2108" t="s">
        <v>584</v>
      </c>
      <c r="G2108">
        <v>4</v>
      </c>
      <c r="H2108" t="s">
        <v>581</v>
      </c>
      <c r="I2108" t="s">
        <v>570</v>
      </c>
      <c r="J2108" t="str">
        <f t="shared" si="96"/>
        <v>August</v>
      </c>
      <c r="K2108" t="str">
        <f t="shared" si="97"/>
        <v>Q3</v>
      </c>
      <c r="L2108">
        <f t="shared" si="98"/>
        <v>2025</v>
      </c>
    </row>
    <row r="2109" spans="1:12" x14ac:dyDescent="0.3">
      <c r="A2109" t="s">
        <v>3445</v>
      </c>
      <c r="B2109" t="s">
        <v>473</v>
      </c>
      <c r="C2109" t="s">
        <v>166</v>
      </c>
      <c r="D2109">
        <v>1</v>
      </c>
      <c r="E2109" s="1">
        <v>45790</v>
      </c>
      <c r="F2109" t="s">
        <v>575</v>
      </c>
      <c r="G2109">
        <v>3</v>
      </c>
      <c r="H2109" t="s">
        <v>578</v>
      </c>
      <c r="I2109" t="s">
        <v>570</v>
      </c>
      <c r="J2109" t="str">
        <f t="shared" si="96"/>
        <v>May</v>
      </c>
      <c r="K2109" t="str">
        <f t="shared" si="97"/>
        <v>Q2</v>
      </c>
      <c r="L2109">
        <f t="shared" si="98"/>
        <v>2025</v>
      </c>
    </row>
    <row r="2110" spans="1:12" x14ac:dyDescent="0.3">
      <c r="A2110" t="s">
        <v>3446</v>
      </c>
      <c r="B2110" t="s">
        <v>473</v>
      </c>
      <c r="C2110" t="s">
        <v>166</v>
      </c>
      <c r="D2110">
        <v>2</v>
      </c>
      <c r="E2110" s="1">
        <v>45800</v>
      </c>
      <c r="F2110" t="s">
        <v>621</v>
      </c>
      <c r="G2110">
        <v>3</v>
      </c>
      <c r="H2110" t="s">
        <v>578</v>
      </c>
      <c r="I2110" t="s">
        <v>570</v>
      </c>
      <c r="J2110" t="str">
        <f t="shared" si="96"/>
        <v>May</v>
      </c>
      <c r="K2110" t="str">
        <f t="shared" si="97"/>
        <v>Q2</v>
      </c>
      <c r="L2110">
        <f t="shared" si="98"/>
        <v>2025</v>
      </c>
    </row>
    <row r="2111" spans="1:12" x14ac:dyDescent="0.3">
      <c r="A2111" t="s">
        <v>3447</v>
      </c>
      <c r="B2111" t="s">
        <v>473</v>
      </c>
      <c r="C2111" t="s">
        <v>166</v>
      </c>
      <c r="D2111">
        <v>3</v>
      </c>
      <c r="E2111" s="1">
        <v>45808</v>
      </c>
      <c r="F2111" t="s">
        <v>596</v>
      </c>
      <c r="G2111">
        <v>5</v>
      </c>
      <c r="H2111" t="s">
        <v>581</v>
      </c>
      <c r="I2111" t="s">
        <v>570</v>
      </c>
      <c r="J2111" t="str">
        <f t="shared" si="96"/>
        <v>May</v>
      </c>
      <c r="K2111" t="str">
        <f t="shared" si="97"/>
        <v>Q2</v>
      </c>
      <c r="L2111">
        <f t="shared" si="98"/>
        <v>2025</v>
      </c>
    </row>
    <row r="2112" spans="1:12" x14ac:dyDescent="0.3">
      <c r="A2112" t="s">
        <v>3448</v>
      </c>
      <c r="B2112" t="s">
        <v>3449</v>
      </c>
      <c r="C2112" t="s">
        <v>96</v>
      </c>
      <c r="D2112">
        <v>1</v>
      </c>
      <c r="E2112" s="1">
        <v>45884</v>
      </c>
      <c r="F2112" t="s">
        <v>577</v>
      </c>
      <c r="G2112">
        <v>2</v>
      </c>
      <c r="H2112" t="s">
        <v>569</v>
      </c>
      <c r="I2112" t="s">
        <v>570</v>
      </c>
      <c r="J2112" t="str">
        <f t="shared" si="96"/>
        <v>August</v>
      </c>
      <c r="K2112" t="str">
        <f t="shared" si="97"/>
        <v>Q3</v>
      </c>
      <c r="L2112">
        <f t="shared" si="98"/>
        <v>2025</v>
      </c>
    </row>
    <row r="2113" spans="1:12" x14ac:dyDescent="0.3">
      <c r="A2113" t="s">
        <v>3450</v>
      </c>
      <c r="B2113" t="s">
        <v>3449</v>
      </c>
      <c r="C2113" t="s">
        <v>96</v>
      </c>
      <c r="D2113">
        <v>2</v>
      </c>
      <c r="E2113" s="1">
        <v>45895</v>
      </c>
      <c r="F2113" t="s">
        <v>572</v>
      </c>
      <c r="G2113">
        <v>1</v>
      </c>
      <c r="H2113" t="s">
        <v>569</v>
      </c>
      <c r="I2113" t="s">
        <v>570</v>
      </c>
      <c r="J2113" t="str">
        <f t="shared" si="96"/>
        <v>August</v>
      </c>
      <c r="K2113" t="str">
        <f t="shared" si="97"/>
        <v>Q3</v>
      </c>
      <c r="L2113">
        <f t="shared" si="98"/>
        <v>2025</v>
      </c>
    </row>
    <row r="2114" spans="1:12" x14ac:dyDescent="0.3">
      <c r="A2114" t="s">
        <v>3451</v>
      </c>
      <c r="B2114" t="s">
        <v>3449</v>
      </c>
      <c r="C2114" t="s">
        <v>96</v>
      </c>
      <c r="D2114">
        <v>3</v>
      </c>
      <c r="E2114" s="1">
        <v>45903</v>
      </c>
      <c r="F2114" t="s">
        <v>612</v>
      </c>
      <c r="G2114">
        <v>1</v>
      </c>
      <c r="H2114" t="s">
        <v>569</v>
      </c>
      <c r="I2114" t="s">
        <v>597</v>
      </c>
      <c r="J2114" t="str">
        <f t="shared" ref="J2114:J2177" si="99">TEXT(E2114,"mmmm")</f>
        <v>September</v>
      </c>
      <c r="K2114" t="str">
        <f t="shared" ref="K2114:K2177" si="100">"Q"&amp;ROUNDUP(MONTH(E2114)/3,0)</f>
        <v>Q3</v>
      </c>
      <c r="L2114">
        <f t="shared" ref="L2114:L2177" si="101">YEAR(E2114)</f>
        <v>2025</v>
      </c>
    </row>
    <row r="2115" spans="1:12" x14ac:dyDescent="0.3">
      <c r="A2115" t="s">
        <v>3452</v>
      </c>
      <c r="B2115" t="s">
        <v>3453</v>
      </c>
      <c r="C2115" t="s">
        <v>58</v>
      </c>
      <c r="D2115">
        <v>1</v>
      </c>
      <c r="E2115" s="1">
        <v>45812</v>
      </c>
      <c r="F2115" t="s">
        <v>577</v>
      </c>
      <c r="G2115">
        <v>4</v>
      </c>
      <c r="H2115" t="s">
        <v>581</v>
      </c>
      <c r="I2115" t="s">
        <v>570</v>
      </c>
      <c r="J2115" t="str">
        <f t="shared" si="99"/>
        <v>June</v>
      </c>
      <c r="K2115" t="str">
        <f t="shared" si="100"/>
        <v>Q2</v>
      </c>
      <c r="L2115">
        <f t="shared" si="101"/>
        <v>2025</v>
      </c>
    </row>
    <row r="2116" spans="1:12" x14ac:dyDescent="0.3">
      <c r="A2116" t="s">
        <v>3454</v>
      </c>
      <c r="B2116" t="s">
        <v>3453</v>
      </c>
      <c r="C2116" t="s">
        <v>58</v>
      </c>
      <c r="D2116">
        <v>2</v>
      </c>
      <c r="E2116" s="1">
        <v>45821</v>
      </c>
      <c r="F2116" t="s">
        <v>612</v>
      </c>
      <c r="G2116">
        <v>2</v>
      </c>
      <c r="H2116" t="s">
        <v>569</v>
      </c>
      <c r="I2116" t="s">
        <v>570</v>
      </c>
      <c r="J2116" t="str">
        <f t="shared" si="99"/>
        <v>June</v>
      </c>
      <c r="K2116" t="str">
        <f t="shared" si="100"/>
        <v>Q2</v>
      </c>
      <c r="L2116">
        <f t="shared" si="101"/>
        <v>2025</v>
      </c>
    </row>
    <row r="2117" spans="1:12" x14ac:dyDescent="0.3">
      <c r="A2117" t="s">
        <v>3455</v>
      </c>
      <c r="B2117" t="s">
        <v>3453</v>
      </c>
      <c r="C2117" t="s">
        <v>58</v>
      </c>
      <c r="D2117">
        <v>3</v>
      </c>
      <c r="E2117" s="1">
        <v>45829</v>
      </c>
      <c r="G2117">
        <v>2</v>
      </c>
      <c r="H2117" t="s">
        <v>569</v>
      </c>
      <c r="I2117" t="s">
        <v>570</v>
      </c>
      <c r="J2117" t="str">
        <f t="shared" si="99"/>
        <v>June</v>
      </c>
      <c r="K2117" t="str">
        <f t="shared" si="100"/>
        <v>Q2</v>
      </c>
      <c r="L2117">
        <f t="shared" si="101"/>
        <v>2025</v>
      </c>
    </row>
    <row r="2118" spans="1:12" x14ac:dyDescent="0.3">
      <c r="A2118" t="s">
        <v>3456</v>
      </c>
      <c r="B2118" t="s">
        <v>3457</v>
      </c>
      <c r="C2118" t="s">
        <v>240</v>
      </c>
      <c r="D2118">
        <v>1</v>
      </c>
      <c r="E2118" s="1">
        <v>45960</v>
      </c>
      <c r="F2118" t="s">
        <v>568</v>
      </c>
      <c r="G2118">
        <v>4</v>
      </c>
      <c r="H2118" t="s">
        <v>581</v>
      </c>
      <c r="I2118" t="s">
        <v>570</v>
      </c>
      <c r="J2118" t="str">
        <f t="shared" si="99"/>
        <v>October</v>
      </c>
      <c r="K2118" t="str">
        <f t="shared" si="100"/>
        <v>Q4</v>
      </c>
      <c r="L2118">
        <f t="shared" si="101"/>
        <v>2025</v>
      </c>
    </row>
    <row r="2119" spans="1:12" x14ac:dyDescent="0.3">
      <c r="A2119" t="s">
        <v>3458</v>
      </c>
      <c r="B2119" t="s">
        <v>3457</v>
      </c>
      <c r="C2119" t="s">
        <v>240</v>
      </c>
      <c r="D2119">
        <v>2</v>
      </c>
      <c r="E2119" s="1">
        <v>45969</v>
      </c>
      <c r="F2119" t="s">
        <v>596</v>
      </c>
      <c r="G2119">
        <v>4</v>
      </c>
      <c r="H2119" t="s">
        <v>581</v>
      </c>
      <c r="I2119" t="s">
        <v>570</v>
      </c>
      <c r="J2119" t="str">
        <f t="shared" si="99"/>
        <v>November</v>
      </c>
      <c r="K2119" t="str">
        <f t="shared" si="100"/>
        <v>Q4</v>
      </c>
      <c r="L2119">
        <f t="shared" si="101"/>
        <v>2025</v>
      </c>
    </row>
    <row r="2120" spans="1:12" x14ac:dyDescent="0.3">
      <c r="A2120" t="s">
        <v>3459</v>
      </c>
      <c r="B2120" t="s">
        <v>116</v>
      </c>
      <c r="C2120" t="s">
        <v>108</v>
      </c>
      <c r="D2120">
        <v>1</v>
      </c>
      <c r="E2120" s="1">
        <v>45756</v>
      </c>
      <c r="F2120" t="s">
        <v>596</v>
      </c>
      <c r="G2120">
        <v>4</v>
      </c>
      <c r="H2120" t="s">
        <v>581</v>
      </c>
      <c r="I2120" t="s">
        <v>570</v>
      </c>
      <c r="J2120" t="str">
        <f t="shared" si="99"/>
        <v>April</v>
      </c>
      <c r="K2120" t="str">
        <f t="shared" si="100"/>
        <v>Q2</v>
      </c>
      <c r="L2120">
        <f t="shared" si="101"/>
        <v>2025</v>
      </c>
    </row>
    <row r="2121" spans="1:12" x14ac:dyDescent="0.3">
      <c r="A2121" t="s">
        <v>3460</v>
      </c>
      <c r="B2121" t="s">
        <v>541</v>
      </c>
      <c r="C2121" t="s">
        <v>542</v>
      </c>
      <c r="D2121">
        <v>1</v>
      </c>
      <c r="E2121" s="1">
        <v>45811</v>
      </c>
      <c r="F2121" t="s">
        <v>580</v>
      </c>
      <c r="G2121">
        <v>3</v>
      </c>
      <c r="H2121" t="s">
        <v>578</v>
      </c>
      <c r="I2121" t="s">
        <v>608</v>
      </c>
      <c r="J2121" t="str">
        <f t="shared" si="99"/>
        <v>June</v>
      </c>
      <c r="K2121" t="str">
        <f t="shared" si="100"/>
        <v>Q2</v>
      </c>
      <c r="L2121">
        <f t="shared" si="101"/>
        <v>2025</v>
      </c>
    </row>
    <row r="2122" spans="1:12" x14ac:dyDescent="0.3">
      <c r="A2122" t="s">
        <v>3461</v>
      </c>
      <c r="B2122" t="s">
        <v>541</v>
      </c>
      <c r="C2122" t="s">
        <v>542</v>
      </c>
      <c r="D2122">
        <v>2</v>
      </c>
      <c r="E2122" s="1">
        <v>45821</v>
      </c>
      <c r="F2122" t="s">
        <v>590</v>
      </c>
      <c r="G2122">
        <v>4</v>
      </c>
      <c r="H2122" t="s">
        <v>581</v>
      </c>
      <c r="I2122" t="s">
        <v>570</v>
      </c>
      <c r="J2122" t="str">
        <f t="shared" si="99"/>
        <v>June</v>
      </c>
      <c r="K2122" t="str">
        <f t="shared" si="100"/>
        <v>Q2</v>
      </c>
      <c r="L2122">
        <f t="shared" si="101"/>
        <v>2025</v>
      </c>
    </row>
    <row r="2123" spans="1:12" x14ac:dyDescent="0.3">
      <c r="A2123" t="s">
        <v>3462</v>
      </c>
      <c r="B2123" t="s">
        <v>3463</v>
      </c>
      <c r="C2123" t="s">
        <v>542</v>
      </c>
      <c r="D2123">
        <v>1</v>
      </c>
      <c r="E2123" s="1">
        <v>45814</v>
      </c>
      <c r="F2123" t="s">
        <v>590</v>
      </c>
      <c r="G2123">
        <v>3</v>
      </c>
      <c r="H2123" t="s">
        <v>578</v>
      </c>
      <c r="I2123" t="s">
        <v>597</v>
      </c>
      <c r="J2123" t="str">
        <f t="shared" si="99"/>
        <v>June</v>
      </c>
      <c r="K2123" t="str">
        <f t="shared" si="100"/>
        <v>Q2</v>
      </c>
      <c r="L2123">
        <f t="shared" si="101"/>
        <v>2025</v>
      </c>
    </row>
    <row r="2124" spans="1:12" x14ac:dyDescent="0.3">
      <c r="A2124" t="s">
        <v>3464</v>
      </c>
      <c r="B2124" t="s">
        <v>3463</v>
      </c>
      <c r="C2124" t="s">
        <v>542</v>
      </c>
      <c r="D2124">
        <v>2</v>
      </c>
      <c r="E2124" s="1">
        <v>45820</v>
      </c>
      <c r="F2124" t="s">
        <v>580</v>
      </c>
      <c r="G2124">
        <v>3</v>
      </c>
      <c r="H2124" t="s">
        <v>578</v>
      </c>
      <c r="I2124" t="s">
        <v>570</v>
      </c>
      <c r="J2124" t="str">
        <f t="shared" si="99"/>
        <v>June</v>
      </c>
      <c r="K2124" t="str">
        <f t="shared" si="100"/>
        <v>Q2</v>
      </c>
      <c r="L2124">
        <f t="shared" si="101"/>
        <v>2025</v>
      </c>
    </row>
    <row r="2125" spans="1:12" x14ac:dyDescent="0.3">
      <c r="A2125" t="s">
        <v>3465</v>
      </c>
      <c r="B2125" t="s">
        <v>539</v>
      </c>
      <c r="C2125" t="s">
        <v>68</v>
      </c>
      <c r="D2125">
        <v>1</v>
      </c>
      <c r="E2125" s="1">
        <v>45737</v>
      </c>
      <c r="F2125" t="s">
        <v>612</v>
      </c>
      <c r="G2125">
        <v>4</v>
      </c>
      <c r="H2125" t="s">
        <v>581</v>
      </c>
      <c r="I2125" t="s">
        <v>570</v>
      </c>
      <c r="J2125" t="str">
        <f t="shared" si="99"/>
        <v>March</v>
      </c>
      <c r="K2125" t="str">
        <f t="shared" si="100"/>
        <v>Q1</v>
      </c>
      <c r="L2125">
        <f t="shared" si="101"/>
        <v>2025</v>
      </c>
    </row>
    <row r="2126" spans="1:12" x14ac:dyDescent="0.3">
      <c r="A2126" t="s">
        <v>3466</v>
      </c>
      <c r="B2126" t="s">
        <v>539</v>
      </c>
      <c r="C2126" t="s">
        <v>68</v>
      </c>
      <c r="D2126">
        <v>2</v>
      </c>
      <c r="E2126" s="1">
        <v>45748</v>
      </c>
      <c r="F2126" t="s">
        <v>592</v>
      </c>
      <c r="G2126">
        <v>4</v>
      </c>
      <c r="H2126" t="s">
        <v>581</v>
      </c>
      <c r="I2126" t="s">
        <v>570</v>
      </c>
      <c r="J2126" t="str">
        <f t="shared" si="99"/>
        <v>April</v>
      </c>
      <c r="K2126" t="str">
        <f t="shared" si="100"/>
        <v>Q2</v>
      </c>
      <c r="L2126">
        <f t="shared" si="101"/>
        <v>2025</v>
      </c>
    </row>
    <row r="2127" spans="1:12" x14ac:dyDescent="0.3">
      <c r="A2127" t="s">
        <v>3467</v>
      </c>
      <c r="B2127" t="s">
        <v>539</v>
      </c>
      <c r="C2127" t="s">
        <v>68</v>
      </c>
      <c r="D2127">
        <v>3</v>
      </c>
      <c r="E2127" s="1">
        <v>45754</v>
      </c>
      <c r="F2127" t="s">
        <v>586</v>
      </c>
      <c r="G2127">
        <v>3</v>
      </c>
      <c r="H2127" t="s">
        <v>578</v>
      </c>
      <c r="I2127" t="s">
        <v>570</v>
      </c>
      <c r="J2127" t="str">
        <f t="shared" si="99"/>
        <v>April</v>
      </c>
      <c r="K2127" t="str">
        <f t="shared" si="100"/>
        <v>Q2</v>
      </c>
      <c r="L2127">
        <f t="shared" si="101"/>
        <v>2025</v>
      </c>
    </row>
    <row r="2128" spans="1:12" x14ac:dyDescent="0.3">
      <c r="A2128" t="s">
        <v>3468</v>
      </c>
      <c r="B2128" t="s">
        <v>539</v>
      </c>
      <c r="C2128" t="s">
        <v>68</v>
      </c>
      <c r="D2128">
        <v>4</v>
      </c>
      <c r="E2128" s="1">
        <v>45759</v>
      </c>
      <c r="F2128" t="s">
        <v>592</v>
      </c>
      <c r="G2128">
        <v>4</v>
      </c>
      <c r="H2128" t="s">
        <v>581</v>
      </c>
      <c r="I2128" t="s">
        <v>570</v>
      </c>
      <c r="J2128" t="str">
        <f t="shared" si="99"/>
        <v>April</v>
      </c>
      <c r="K2128" t="str">
        <f t="shared" si="100"/>
        <v>Q2</v>
      </c>
      <c r="L2128">
        <f t="shared" si="101"/>
        <v>2025</v>
      </c>
    </row>
    <row r="2129" spans="1:12" x14ac:dyDescent="0.3">
      <c r="A2129" t="s">
        <v>3469</v>
      </c>
      <c r="B2129" t="s">
        <v>3470</v>
      </c>
      <c r="C2129" t="s">
        <v>340</v>
      </c>
      <c r="D2129">
        <v>1</v>
      </c>
      <c r="E2129" s="1">
        <v>45680</v>
      </c>
      <c r="F2129" t="s">
        <v>577</v>
      </c>
      <c r="G2129">
        <v>2</v>
      </c>
      <c r="H2129" t="s">
        <v>569</v>
      </c>
      <c r="I2129" t="s">
        <v>570</v>
      </c>
      <c r="J2129" t="str">
        <f t="shared" si="99"/>
        <v>January</v>
      </c>
      <c r="K2129" t="str">
        <f t="shared" si="100"/>
        <v>Q1</v>
      </c>
      <c r="L2129">
        <f t="shared" si="101"/>
        <v>2025</v>
      </c>
    </row>
    <row r="2130" spans="1:12" x14ac:dyDescent="0.3">
      <c r="A2130" t="s">
        <v>3471</v>
      </c>
      <c r="B2130" t="s">
        <v>3470</v>
      </c>
      <c r="C2130" t="s">
        <v>340</v>
      </c>
      <c r="D2130">
        <v>2</v>
      </c>
      <c r="E2130" s="1">
        <v>45686</v>
      </c>
      <c r="F2130" t="s">
        <v>577</v>
      </c>
      <c r="G2130">
        <v>4</v>
      </c>
      <c r="H2130" t="s">
        <v>581</v>
      </c>
      <c r="I2130" t="s">
        <v>570</v>
      </c>
      <c r="J2130" t="str">
        <f t="shared" si="99"/>
        <v>January</v>
      </c>
      <c r="K2130" t="str">
        <f t="shared" si="100"/>
        <v>Q1</v>
      </c>
      <c r="L2130">
        <f t="shared" si="101"/>
        <v>2025</v>
      </c>
    </row>
    <row r="2131" spans="1:12" x14ac:dyDescent="0.3">
      <c r="A2131" t="s">
        <v>3472</v>
      </c>
      <c r="B2131" t="s">
        <v>3470</v>
      </c>
      <c r="C2131" t="s">
        <v>340</v>
      </c>
      <c r="D2131">
        <v>3</v>
      </c>
      <c r="E2131" s="1">
        <v>45693</v>
      </c>
      <c r="F2131" t="s">
        <v>743</v>
      </c>
      <c r="G2131">
        <v>2</v>
      </c>
      <c r="H2131" t="s">
        <v>569</v>
      </c>
      <c r="I2131" t="s">
        <v>570</v>
      </c>
      <c r="J2131" t="str">
        <f t="shared" si="99"/>
        <v>February</v>
      </c>
      <c r="K2131" t="str">
        <f t="shared" si="100"/>
        <v>Q1</v>
      </c>
      <c r="L2131">
        <f t="shared" si="101"/>
        <v>2025</v>
      </c>
    </row>
    <row r="2132" spans="1:12" x14ac:dyDescent="0.3">
      <c r="A2132" t="s">
        <v>3473</v>
      </c>
      <c r="B2132" t="s">
        <v>3470</v>
      </c>
      <c r="C2132" t="s">
        <v>340</v>
      </c>
      <c r="D2132">
        <v>4</v>
      </c>
      <c r="E2132" s="1">
        <v>45702</v>
      </c>
      <c r="F2132" t="s">
        <v>600</v>
      </c>
      <c r="G2132">
        <v>4</v>
      </c>
      <c r="H2132" t="s">
        <v>581</v>
      </c>
      <c r="I2132" t="s">
        <v>570</v>
      </c>
      <c r="J2132" t="str">
        <f t="shared" si="99"/>
        <v>February</v>
      </c>
      <c r="K2132" t="str">
        <f t="shared" si="100"/>
        <v>Q1</v>
      </c>
      <c r="L2132">
        <f t="shared" si="101"/>
        <v>2025</v>
      </c>
    </row>
    <row r="2133" spans="1:12" x14ac:dyDescent="0.3">
      <c r="A2133" t="s">
        <v>3474</v>
      </c>
      <c r="B2133" t="s">
        <v>3475</v>
      </c>
      <c r="C2133" t="s">
        <v>99</v>
      </c>
      <c r="D2133">
        <v>1</v>
      </c>
      <c r="E2133" s="1">
        <v>45863</v>
      </c>
      <c r="F2133" t="s">
        <v>656</v>
      </c>
      <c r="G2133">
        <v>4</v>
      </c>
      <c r="H2133" t="s">
        <v>581</v>
      </c>
      <c r="I2133" t="s">
        <v>570</v>
      </c>
      <c r="J2133" t="str">
        <f t="shared" si="99"/>
        <v>July</v>
      </c>
      <c r="K2133" t="str">
        <f t="shared" si="100"/>
        <v>Q3</v>
      </c>
      <c r="L2133">
        <f t="shared" si="101"/>
        <v>2025</v>
      </c>
    </row>
    <row r="2134" spans="1:12" x14ac:dyDescent="0.3">
      <c r="A2134" t="s">
        <v>3476</v>
      </c>
      <c r="B2134" t="s">
        <v>3475</v>
      </c>
      <c r="C2134" t="s">
        <v>99</v>
      </c>
      <c r="D2134">
        <v>2</v>
      </c>
      <c r="E2134" s="1">
        <v>45868</v>
      </c>
      <c r="F2134" t="s">
        <v>625</v>
      </c>
      <c r="G2134">
        <v>4</v>
      </c>
      <c r="H2134" t="s">
        <v>581</v>
      </c>
      <c r="I2134" t="s">
        <v>570</v>
      </c>
      <c r="J2134" t="str">
        <f t="shared" si="99"/>
        <v>July</v>
      </c>
      <c r="K2134" t="str">
        <f t="shared" si="100"/>
        <v>Q3</v>
      </c>
      <c r="L2134">
        <f t="shared" si="101"/>
        <v>2025</v>
      </c>
    </row>
    <row r="2135" spans="1:12" x14ac:dyDescent="0.3">
      <c r="A2135" t="s">
        <v>3477</v>
      </c>
      <c r="B2135" t="s">
        <v>3475</v>
      </c>
      <c r="C2135" t="s">
        <v>99</v>
      </c>
      <c r="D2135">
        <v>3</v>
      </c>
      <c r="E2135" s="1">
        <v>45880</v>
      </c>
      <c r="F2135" t="s">
        <v>649</v>
      </c>
      <c r="G2135">
        <v>5</v>
      </c>
      <c r="H2135" t="s">
        <v>581</v>
      </c>
      <c r="I2135" t="s">
        <v>570</v>
      </c>
      <c r="J2135" t="str">
        <f t="shared" si="99"/>
        <v>August</v>
      </c>
      <c r="K2135" t="str">
        <f t="shared" si="100"/>
        <v>Q3</v>
      </c>
      <c r="L2135">
        <f t="shared" si="101"/>
        <v>2025</v>
      </c>
    </row>
    <row r="2136" spans="1:12" x14ac:dyDescent="0.3">
      <c r="A2136" t="s">
        <v>3478</v>
      </c>
      <c r="B2136" t="s">
        <v>3479</v>
      </c>
      <c r="C2136" t="s">
        <v>99</v>
      </c>
      <c r="D2136">
        <v>1</v>
      </c>
      <c r="E2136" s="1">
        <v>45865</v>
      </c>
      <c r="F2136" t="s">
        <v>670</v>
      </c>
      <c r="G2136">
        <v>1</v>
      </c>
      <c r="H2136" t="s">
        <v>569</v>
      </c>
      <c r="I2136" t="s">
        <v>570</v>
      </c>
      <c r="J2136" t="str">
        <f t="shared" si="99"/>
        <v>July</v>
      </c>
      <c r="K2136" t="str">
        <f t="shared" si="100"/>
        <v>Q3</v>
      </c>
      <c r="L2136">
        <f t="shared" si="101"/>
        <v>2025</v>
      </c>
    </row>
    <row r="2137" spans="1:12" x14ac:dyDescent="0.3">
      <c r="A2137" t="s">
        <v>3480</v>
      </c>
      <c r="B2137" t="s">
        <v>3479</v>
      </c>
      <c r="C2137" t="s">
        <v>99</v>
      </c>
      <c r="D2137">
        <v>2</v>
      </c>
      <c r="E2137" s="1">
        <v>45875</v>
      </c>
      <c r="F2137" t="s">
        <v>656</v>
      </c>
      <c r="G2137">
        <v>1</v>
      </c>
      <c r="H2137" t="s">
        <v>569</v>
      </c>
      <c r="I2137" t="s">
        <v>570</v>
      </c>
      <c r="J2137" t="str">
        <f t="shared" si="99"/>
        <v>August</v>
      </c>
      <c r="K2137" t="str">
        <f t="shared" si="100"/>
        <v>Q3</v>
      </c>
      <c r="L2137">
        <f t="shared" si="101"/>
        <v>2025</v>
      </c>
    </row>
    <row r="2138" spans="1:12" x14ac:dyDescent="0.3">
      <c r="A2138" t="s">
        <v>3481</v>
      </c>
      <c r="B2138" t="s">
        <v>3482</v>
      </c>
      <c r="C2138" t="s">
        <v>51</v>
      </c>
      <c r="D2138">
        <v>1</v>
      </c>
      <c r="E2138" s="1">
        <v>45955</v>
      </c>
      <c r="F2138" t="s">
        <v>596</v>
      </c>
      <c r="G2138">
        <v>2</v>
      </c>
      <c r="H2138" t="s">
        <v>569</v>
      </c>
      <c r="I2138" t="s">
        <v>570</v>
      </c>
      <c r="J2138" t="str">
        <f t="shared" si="99"/>
        <v>October</v>
      </c>
      <c r="K2138" t="str">
        <f t="shared" si="100"/>
        <v>Q4</v>
      </c>
      <c r="L2138">
        <f t="shared" si="101"/>
        <v>2025</v>
      </c>
    </row>
    <row r="2139" spans="1:12" x14ac:dyDescent="0.3">
      <c r="A2139" t="s">
        <v>3483</v>
      </c>
      <c r="B2139" t="s">
        <v>3482</v>
      </c>
      <c r="C2139" t="s">
        <v>51</v>
      </c>
      <c r="D2139">
        <v>2</v>
      </c>
      <c r="E2139" s="1">
        <v>45964</v>
      </c>
      <c r="F2139" t="s">
        <v>586</v>
      </c>
      <c r="G2139">
        <v>3</v>
      </c>
      <c r="H2139" t="s">
        <v>578</v>
      </c>
      <c r="I2139" t="s">
        <v>570</v>
      </c>
      <c r="J2139" t="str">
        <f t="shared" si="99"/>
        <v>November</v>
      </c>
      <c r="K2139" t="str">
        <f t="shared" si="100"/>
        <v>Q4</v>
      </c>
      <c r="L2139">
        <f t="shared" si="101"/>
        <v>2025</v>
      </c>
    </row>
    <row r="2140" spans="1:12" x14ac:dyDescent="0.3">
      <c r="A2140" t="s">
        <v>3484</v>
      </c>
      <c r="B2140" t="s">
        <v>3482</v>
      </c>
      <c r="C2140" t="s">
        <v>51</v>
      </c>
      <c r="D2140">
        <v>3</v>
      </c>
      <c r="E2140" s="1">
        <v>45968</v>
      </c>
      <c r="F2140" t="s">
        <v>663</v>
      </c>
      <c r="G2140">
        <v>3</v>
      </c>
      <c r="H2140" t="s">
        <v>578</v>
      </c>
      <c r="I2140" t="s">
        <v>570</v>
      </c>
      <c r="J2140" t="str">
        <f t="shared" si="99"/>
        <v>November</v>
      </c>
      <c r="K2140" t="str">
        <f t="shared" si="100"/>
        <v>Q4</v>
      </c>
      <c r="L2140">
        <f t="shared" si="101"/>
        <v>2025</v>
      </c>
    </row>
    <row r="2141" spans="1:12" x14ac:dyDescent="0.3">
      <c r="A2141" t="s">
        <v>3485</v>
      </c>
      <c r="B2141" t="s">
        <v>3486</v>
      </c>
      <c r="C2141" t="s">
        <v>65</v>
      </c>
      <c r="D2141">
        <v>1</v>
      </c>
      <c r="E2141" s="1">
        <v>45932</v>
      </c>
      <c r="F2141" t="s">
        <v>663</v>
      </c>
      <c r="G2141">
        <v>2</v>
      </c>
      <c r="H2141" t="s">
        <v>569</v>
      </c>
      <c r="I2141" t="s">
        <v>570</v>
      </c>
      <c r="J2141" t="str">
        <f t="shared" si="99"/>
        <v>October</v>
      </c>
      <c r="K2141" t="str">
        <f t="shared" si="100"/>
        <v>Q4</v>
      </c>
      <c r="L2141">
        <f t="shared" si="101"/>
        <v>2025</v>
      </c>
    </row>
    <row r="2142" spans="1:12" x14ac:dyDescent="0.3">
      <c r="A2142" t="s">
        <v>3487</v>
      </c>
      <c r="B2142" t="s">
        <v>3486</v>
      </c>
      <c r="C2142" t="s">
        <v>65</v>
      </c>
      <c r="D2142">
        <v>2</v>
      </c>
      <c r="E2142" s="1">
        <v>45937</v>
      </c>
      <c r="F2142" t="s">
        <v>663</v>
      </c>
      <c r="G2142">
        <v>1</v>
      </c>
      <c r="H2142" t="s">
        <v>569</v>
      </c>
      <c r="I2142" t="s">
        <v>570</v>
      </c>
      <c r="J2142" t="str">
        <f t="shared" si="99"/>
        <v>October</v>
      </c>
      <c r="K2142" t="str">
        <f t="shared" si="100"/>
        <v>Q4</v>
      </c>
      <c r="L2142">
        <f t="shared" si="101"/>
        <v>2025</v>
      </c>
    </row>
    <row r="2143" spans="1:12" x14ac:dyDescent="0.3">
      <c r="A2143" t="s">
        <v>3488</v>
      </c>
      <c r="B2143" t="s">
        <v>3489</v>
      </c>
      <c r="C2143" t="s">
        <v>51</v>
      </c>
      <c r="D2143">
        <v>1</v>
      </c>
      <c r="E2143" s="1">
        <v>45955</v>
      </c>
      <c r="F2143" t="s">
        <v>586</v>
      </c>
      <c r="G2143">
        <v>2</v>
      </c>
      <c r="H2143" t="s">
        <v>569</v>
      </c>
      <c r="I2143" t="s">
        <v>570</v>
      </c>
      <c r="J2143" t="str">
        <f t="shared" si="99"/>
        <v>October</v>
      </c>
      <c r="K2143" t="str">
        <f t="shared" si="100"/>
        <v>Q4</v>
      </c>
      <c r="L2143">
        <f t="shared" si="101"/>
        <v>2025</v>
      </c>
    </row>
    <row r="2144" spans="1:12" x14ac:dyDescent="0.3">
      <c r="A2144" t="s">
        <v>3490</v>
      </c>
      <c r="B2144" t="s">
        <v>3489</v>
      </c>
      <c r="C2144" t="s">
        <v>51</v>
      </c>
      <c r="D2144">
        <v>2</v>
      </c>
      <c r="E2144" s="1">
        <v>45966</v>
      </c>
      <c r="F2144" t="s">
        <v>568</v>
      </c>
      <c r="G2144">
        <v>2</v>
      </c>
      <c r="H2144" t="s">
        <v>569</v>
      </c>
      <c r="I2144" t="s">
        <v>570</v>
      </c>
      <c r="J2144" t="str">
        <f t="shared" si="99"/>
        <v>November</v>
      </c>
      <c r="K2144" t="str">
        <f t="shared" si="100"/>
        <v>Q4</v>
      </c>
      <c r="L2144">
        <f t="shared" si="101"/>
        <v>2025</v>
      </c>
    </row>
    <row r="2145" spans="1:12" x14ac:dyDescent="0.3">
      <c r="A2145" t="s">
        <v>3491</v>
      </c>
      <c r="B2145" t="s">
        <v>3492</v>
      </c>
      <c r="C2145" t="s">
        <v>542</v>
      </c>
      <c r="D2145">
        <v>1</v>
      </c>
      <c r="E2145" s="1">
        <v>45804</v>
      </c>
      <c r="G2145">
        <v>3</v>
      </c>
      <c r="H2145" t="s">
        <v>578</v>
      </c>
      <c r="I2145" t="s">
        <v>608</v>
      </c>
      <c r="J2145" t="str">
        <f t="shared" si="99"/>
        <v>May</v>
      </c>
      <c r="K2145" t="str">
        <f t="shared" si="100"/>
        <v>Q2</v>
      </c>
      <c r="L2145">
        <f t="shared" si="101"/>
        <v>2025</v>
      </c>
    </row>
    <row r="2146" spans="1:12" x14ac:dyDescent="0.3">
      <c r="A2146" t="s">
        <v>3493</v>
      </c>
      <c r="B2146" t="s">
        <v>3492</v>
      </c>
      <c r="C2146" t="s">
        <v>542</v>
      </c>
      <c r="D2146">
        <v>2</v>
      </c>
      <c r="E2146" s="1">
        <v>45816</v>
      </c>
      <c r="F2146" t="s">
        <v>741</v>
      </c>
      <c r="G2146">
        <v>2</v>
      </c>
      <c r="H2146" t="s">
        <v>569</v>
      </c>
      <c r="I2146" t="s">
        <v>570</v>
      </c>
      <c r="J2146" t="str">
        <f t="shared" si="99"/>
        <v>June</v>
      </c>
      <c r="K2146" t="str">
        <f t="shared" si="100"/>
        <v>Q2</v>
      </c>
      <c r="L2146">
        <f t="shared" si="101"/>
        <v>2025</v>
      </c>
    </row>
    <row r="2147" spans="1:12" x14ac:dyDescent="0.3">
      <c r="A2147" t="s">
        <v>3494</v>
      </c>
      <c r="B2147" t="s">
        <v>3492</v>
      </c>
      <c r="C2147" t="s">
        <v>542</v>
      </c>
      <c r="D2147">
        <v>3</v>
      </c>
      <c r="E2147" s="1">
        <v>45824</v>
      </c>
      <c r="F2147" t="s">
        <v>766</v>
      </c>
      <c r="G2147">
        <v>2</v>
      </c>
      <c r="H2147" t="s">
        <v>569</v>
      </c>
      <c r="I2147" t="s">
        <v>570</v>
      </c>
      <c r="J2147" t="str">
        <f t="shared" si="99"/>
        <v>June</v>
      </c>
      <c r="K2147" t="str">
        <f t="shared" si="100"/>
        <v>Q2</v>
      </c>
      <c r="L2147">
        <f t="shared" si="101"/>
        <v>2025</v>
      </c>
    </row>
    <row r="2148" spans="1:12" x14ac:dyDescent="0.3">
      <c r="A2148" t="s">
        <v>3495</v>
      </c>
      <c r="B2148" t="s">
        <v>3492</v>
      </c>
      <c r="C2148" t="s">
        <v>542</v>
      </c>
      <c r="D2148">
        <v>4</v>
      </c>
      <c r="E2148" s="1">
        <v>45835</v>
      </c>
      <c r="F2148" t="s">
        <v>590</v>
      </c>
      <c r="G2148">
        <v>1</v>
      </c>
      <c r="H2148" t="s">
        <v>569</v>
      </c>
      <c r="I2148" t="s">
        <v>570</v>
      </c>
      <c r="J2148" t="str">
        <f t="shared" si="99"/>
        <v>June</v>
      </c>
      <c r="K2148" t="str">
        <f t="shared" si="100"/>
        <v>Q2</v>
      </c>
      <c r="L2148">
        <f t="shared" si="101"/>
        <v>2025</v>
      </c>
    </row>
    <row r="2149" spans="1:12" x14ac:dyDescent="0.3">
      <c r="A2149" t="s">
        <v>3496</v>
      </c>
      <c r="B2149" t="s">
        <v>313</v>
      </c>
      <c r="C2149" t="s">
        <v>96</v>
      </c>
      <c r="D2149">
        <v>1</v>
      </c>
      <c r="E2149" s="1">
        <v>45885</v>
      </c>
      <c r="F2149" t="s">
        <v>625</v>
      </c>
      <c r="G2149">
        <v>1</v>
      </c>
      <c r="H2149" t="s">
        <v>569</v>
      </c>
      <c r="I2149" t="s">
        <v>570</v>
      </c>
      <c r="J2149" t="str">
        <f t="shared" si="99"/>
        <v>August</v>
      </c>
      <c r="K2149" t="str">
        <f t="shared" si="100"/>
        <v>Q3</v>
      </c>
      <c r="L2149">
        <f t="shared" si="101"/>
        <v>2025</v>
      </c>
    </row>
    <row r="2150" spans="1:12" x14ac:dyDescent="0.3">
      <c r="A2150" t="s">
        <v>3497</v>
      </c>
      <c r="B2150" t="s">
        <v>313</v>
      </c>
      <c r="C2150" t="s">
        <v>96</v>
      </c>
      <c r="D2150">
        <v>2</v>
      </c>
      <c r="E2150" s="1">
        <v>45890</v>
      </c>
      <c r="F2150" t="s">
        <v>577</v>
      </c>
      <c r="G2150">
        <v>4</v>
      </c>
      <c r="H2150" t="s">
        <v>581</v>
      </c>
      <c r="I2150" t="s">
        <v>570</v>
      </c>
      <c r="J2150" t="str">
        <f t="shared" si="99"/>
        <v>August</v>
      </c>
      <c r="K2150" t="str">
        <f t="shared" si="100"/>
        <v>Q3</v>
      </c>
      <c r="L2150">
        <f t="shared" si="101"/>
        <v>2025</v>
      </c>
    </row>
    <row r="2151" spans="1:12" x14ac:dyDescent="0.3">
      <c r="A2151" t="s">
        <v>3498</v>
      </c>
      <c r="B2151" t="s">
        <v>3499</v>
      </c>
      <c r="C2151" t="s">
        <v>195</v>
      </c>
      <c r="D2151">
        <v>1</v>
      </c>
      <c r="E2151" s="1">
        <v>45858</v>
      </c>
      <c r="F2151" t="s">
        <v>612</v>
      </c>
      <c r="G2151">
        <v>3</v>
      </c>
      <c r="H2151" t="s">
        <v>578</v>
      </c>
      <c r="I2151" t="s">
        <v>570</v>
      </c>
      <c r="J2151" t="str">
        <f t="shared" si="99"/>
        <v>July</v>
      </c>
      <c r="K2151" t="str">
        <f t="shared" si="100"/>
        <v>Q3</v>
      </c>
      <c r="L2151">
        <f t="shared" si="101"/>
        <v>2025</v>
      </c>
    </row>
    <row r="2152" spans="1:12" x14ac:dyDescent="0.3">
      <c r="A2152" t="s">
        <v>3500</v>
      </c>
      <c r="B2152" t="s">
        <v>3499</v>
      </c>
      <c r="C2152" t="s">
        <v>195</v>
      </c>
      <c r="D2152">
        <v>2</v>
      </c>
      <c r="E2152" s="1">
        <v>45870</v>
      </c>
      <c r="F2152" t="s">
        <v>575</v>
      </c>
      <c r="G2152">
        <v>3</v>
      </c>
      <c r="H2152" t="s">
        <v>578</v>
      </c>
      <c r="I2152" t="s">
        <v>570</v>
      </c>
      <c r="J2152" t="str">
        <f t="shared" si="99"/>
        <v>August</v>
      </c>
      <c r="K2152" t="str">
        <f t="shared" si="100"/>
        <v>Q3</v>
      </c>
      <c r="L2152">
        <f t="shared" si="101"/>
        <v>2025</v>
      </c>
    </row>
    <row r="2153" spans="1:12" x14ac:dyDescent="0.3">
      <c r="A2153" t="s">
        <v>3501</v>
      </c>
      <c r="B2153" t="s">
        <v>3499</v>
      </c>
      <c r="C2153" t="s">
        <v>195</v>
      </c>
      <c r="D2153">
        <v>3</v>
      </c>
      <c r="E2153" s="1">
        <v>45874</v>
      </c>
      <c r="F2153" t="s">
        <v>612</v>
      </c>
      <c r="G2153">
        <v>3</v>
      </c>
      <c r="H2153" t="s">
        <v>578</v>
      </c>
      <c r="I2153" t="s">
        <v>570</v>
      </c>
      <c r="J2153" t="str">
        <f t="shared" si="99"/>
        <v>August</v>
      </c>
      <c r="K2153" t="str">
        <f t="shared" si="100"/>
        <v>Q3</v>
      </c>
      <c r="L2153">
        <f t="shared" si="101"/>
        <v>2025</v>
      </c>
    </row>
    <row r="2154" spans="1:12" x14ac:dyDescent="0.3">
      <c r="A2154" t="s">
        <v>3502</v>
      </c>
      <c r="B2154" t="s">
        <v>343</v>
      </c>
      <c r="C2154" t="s">
        <v>22</v>
      </c>
      <c r="D2154">
        <v>1</v>
      </c>
      <c r="E2154" s="1">
        <v>45839</v>
      </c>
      <c r="F2154" t="s">
        <v>612</v>
      </c>
      <c r="G2154">
        <v>4</v>
      </c>
      <c r="H2154" t="s">
        <v>581</v>
      </c>
      <c r="I2154" t="s">
        <v>570</v>
      </c>
      <c r="J2154" t="str">
        <f t="shared" si="99"/>
        <v>July</v>
      </c>
      <c r="K2154" t="str">
        <f t="shared" si="100"/>
        <v>Q3</v>
      </c>
      <c r="L2154">
        <f t="shared" si="101"/>
        <v>2025</v>
      </c>
    </row>
    <row r="2155" spans="1:12" x14ac:dyDescent="0.3">
      <c r="A2155" t="s">
        <v>3503</v>
      </c>
      <c r="B2155" t="s">
        <v>3504</v>
      </c>
      <c r="C2155" t="s">
        <v>62</v>
      </c>
      <c r="D2155">
        <v>1</v>
      </c>
      <c r="E2155" s="1">
        <v>45700</v>
      </c>
      <c r="G2155">
        <v>1</v>
      </c>
      <c r="H2155" t="s">
        <v>569</v>
      </c>
      <c r="I2155" t="s">
        <v>570</v>
      </c>
      <c r="J2155" t="str">
        <f t="shared" si="99"/>
        <v>February</v>
      </c>
      <c r="K2155" t="str">
        <f t="shared" si="100"/>
        <v>Q1</v>
      </c>
      <c r="L2155">
        <f t="shared" si="101"/>
        <v>2025</v>
      </c>
    </row>
    <row r="2156" spans="1:12" x14ac:dyDescent="0.3">
      <c r="A2156" t="s">
        <v>3505</v>
      </c>
      <c r="B2156" t="s">
        <v>558</v>
      </c>
      <c r="C2156" t="s">
        <v>65</v>
      </c>
      <c r="D2156">
        <v>1</v>
      </c>
      <c r="E2156" s="1">
        <v>45927</v>
      </c>
      <c r="F2156" t="s">
        <v>568</v>
      </c>
      <c r="G2156">
        <v>2</v>
      </c>
      <c r="H2156" t="s">
        <v>569</v>
      </c>
      <c r="I2156" t="s">
        <v>570</v>
      </c>
      <c r="J2156" t="str">
        <f t="shared" si="99"/>
        <v>September</v>
      </c>
      <c r="K2156" t="str">
        <f t="shared" si="100"/>
        <v>Q3</v>
      </c>
      <c r="L2156">
        <f t="shared" si="101"/>
        <v>2025</v>
      </c>
    </row>
    <row r="2157" spans="1:12" x14ac:dyDescent="0.3">
      <c r="A2157" t="s">
        <v>3506</v>
      </c>
      <c r="B2157" t="s">
        <v>558</v>
      </c>
      <c r="C2157" t="s">
        <v>65</v>
      </c>
      <c r="D2157">
        <v>2</v>
      </c>
      <c r="E2157" s="1">
        <v>45939</v>
      </c>
      <c r="F2157" t="s">
        <v>663</v>
      </c>
      <c r="G2157">
        <v>4</v>
      </c>
      <c r="H2157" t="s">
        <v>581</v>
      </c>
      <c r="I2157" t="s">
        <v>570</v>
      </c>
      <c r="J2157" t="str">
        <f t="shared" si="99"/>
        <v>October</v>
      </c>
      <c r="K2157" t="str">
        <f t="shared" si="100"/>
        <v>Q4</v>
      </c>
      <c r="L2157">
        <f t="shared" si="101"/>
        <v>2025</v>
      </c>
    </row>
    <row r="2158" spans="1:12" x14ac:dyDescent="0.3">
      <c r="A2158" t="s">
        <v>3507</v>
      </c>
      <c r="B2158" t="s">
        <v>558</v>
      </c>
      <c r="C2158" t="s">
        <v>65</v>
      </c>
      <c r="D2158">
        <v>3</v>
      </c>
      <c r="E2158" s="1">
        <v>45943</v>
      </c>
      <c r="F2158" t="s">
        <v>580</v>
      </c>
      <c r="G2158">
        <v>4</v>
      </c>
      <c r="H2158" t="s">
        <v>581</v>
      </c>
      <c r="I2158" t="s">
        <v>570</v>
      </c>
      <c r="J2158" t="str">
        <f t="shared" si="99"/>
        <v>October</v>
      </c>
      <c r="K2158" t="str">
        <f t="shared" si="100"/>
        <v>Q4</v>
      </c>
      <c r="L2158">
        <f t="shared" si="101"/>
        <v>2025</v>
      </c>
    </row>
    <row r="2159" spans="1:12" x14ac:dyDescent="0.3">
      <c r="A2159" t="s">
        <v>3508</v>
      </c>
      <c r="B2159" t="s">
        <v>558</v>
      </c>
      <c r="C2159" t="s">
        <v>65</v>
      </c>
      <c r="D2159">
        <v>4</v>
      </c>
      <c r="E2159" s="1">
        <v>45952</v>
      </c>
      <c r="F2159" t="s">
        <v>596</v>
      </c>
      <c r="G2159">
        <v>4</v>
      </c>
      <c r="H2159" t="s">
        <v>581</v>
      </c>
      <c r="I2159" t="s">
        <v>570</v>
      </c>
      <c r="J2159" t="str">
        <f t="shared" si="99"/>
        <v>October</v>
      </c>
      <c r="K2159" t="str">
        <f t="shared" si="100"/>
        <v>Q4</v>
      </c>
      <c r="L2159">
        <f t="shared" si="101"/>
        <v>2025</v>
      </c>
    </row>
    <row r="2160" spans="1:12" x14ac:dyDescent="0.3">
      <c r="A2160" t="s">
        <v>3509</v>
      </c>
      <c r="B2160" t="s">
        <v>3510</v>
      </c>
      <c r="C2160" t="s">
        <v>32</v>
      </c>
      <c r="D2160">
        <v>1</v>
      </c>
      <c r="E2160" s="1">
        <v>45757</v>
      </c>
      <c r="F2160" t="s">
        <v>575</v>
      </c>
      <c r="G2160">
        <v>1</v>
      </c>
      <c r="H2160" t="s">
        <v>569</v>
      </c>
      <c r="I2160" t="s">
        <v>570</v>
      </c>
      <c r="J2160" t="str">
        <f t="shared" si="99"/>
        <v>April</v>
      </c>
      <c r="K2160" t="str">
        <f t="shared" si="100"/>
        <v>Q2</v>
      </c>
      <c r="L2160">
        <f t="shared" si="101"/>
        <v>2025</v>
      </c>
    </row>
    <row r="2161" spans="1:12" x14ac:dyDescent="0.3">
      <c r="A2161" t="s">
        <v>3511</v>
      </c>
      <c r="B2161" t="s">
        <v>485</v>
      </c>
      <c r="C2161" t="s">
        <v>156</v>
      </c>
      <c r="D2161">
        <v>1</v>
      </c>
      <c r="E2161" s="1">
        <v>45726</v>
      </c>
      <c r="F2161" t="s">
        <v>592</v>
      </c>
      <c r="G2161">
        <v>3</v>
      </c>
      <c r="H2161" t="s">
        <v>578</v>
      </c>
      <c r="I2161" t="s">
        <v>570</v>
      </c>
      <c r="J2161" t="str">
        <f t="shared" si="99"/>
        <v>March</v>
      </c>
      <c r="K2161" t="str">
        <f t="shared" si="100"/>
        <v>Q1</v>
      </c>
      <c r="L2161">
        <f t="shared" si="101"/>
        <v>2025</v>
      </c>
    </row>
    <row r="2162" spans="1:12" x14ac:dyDescent="0.3">
      <c r="A2162" t="s">
        <v>3512</v>
      </c>
      <c r="B2162" t="s">
        <v>485</v>
      </c>
      <c r="C2162" t="s">
        <v>156</v>
      </c>
      <c r="D2162">
        <v>2</v>
      </c>
      <c r="E2162" s="1">
        <v>45734</v>
      </c>
      <c r="F2162" t="s">
        <v>766</v>
      </c>
      <c r="G2162">
        <v>5</v>
      </c>
      <c r="H2162" t="s">
        <v>581</v>
      </c>
      <c r="I2162" t="s">
        <v>570</v>
      </c>
      <c r="J2162" t="str">
        <f t="shared" si="99"/>
        <v>March</v>
      </c>
      <c r="K2162" t="str">
        <f t="shared" si="100"/>
        <v>Q1</v>
      </c>
      <c r="L2162">
        <f t="shared" si="101"/>
        <v>2025</v>
      </c>
    </row>
    <row r="2163" spans="1:12" x14ac:dyDescent="0.3">
      <c r="A2163" t="s">
        <v>3513</v>
      </c>
      <c r="B2163" t="s">
        <v>485</v>
      </c>
      <c r="C2163" t="s">
        <v>156</v>
      </c>
      <c r="D2163">
        <v>3</v>
      </c>
      <c r="E2163" s="1">
        <v>45738</v>
      </c>
      <c r="F2163" t="s">
        <v>741</v>
      </c>
      <c r="G2163">
        <v>4</v>
      </c>
      <c r="H2163" t="s">
        <v>581</v>
      </c>
      <c r="I2163" t="s">
        <v>570</v>
      </c>
      <c r="J2163" t="str">
        <f t="shared" si="99"/>
        <v>March</v>
      </c>
      <c r="K2163" t="str">
        <f t="shared" si="100"/>
        <v>Q1</v>
      </c>
      <c r="L2163">
        <f t="shared" si="101"/>
        <v>2025</v>
      </c>
    </row>
    <row r="2164" spans="1:12" x14ac:dyDescent="0.3">
      <c r="A2164" t="s">
        <v>3514</v>
      </c>
      <c r="B2164" t="s">
        <v>339</v>
      </c>
      <c r="C2164" t="s">
        <v>340</v>
      </c>
      <c r="D2164">
        <v>1</v>
      </c>
      <c r="E2164" s="1">
        <v>45680</v>
      </c>
      <c r="F2164" t="s">
        <v>621</v>
      </c>
      <c r="G2164">
        <v>3</v>
      </c>
      <c r="H2164" t="s">
        <v>578</v>
      </c>
      <c r="I2164" t="s">
        <v>570</v>
      </c>
      <c r="J2164" t="str">
        <f t="shared" si="99"/>
        <v>January</v>
      </c>
      <c r="K2164" t="str">
        <f t="shared" si="100"/>
        <v>Q1</v>
      </c>
      <c r="L2164">
        <f t="shared" si="101"/>
        <v>2025</v>
      </c>
    </row>
    <row r="2165" spans="1:12" x14ac:dyDescent="0.3">
      <c r="A2165" t="s">
        <v>3515</v>
      </c>
      <c r="B2165" t="s">
        <v>339</v>
      </c>
      <c r="C2165" t="s">
        <v>340</v>
      </c>
      <c r="D2165">
        <v>2</v>
      </c>
      <c r="E2165" s="1">
        <v>45687</v>
      </c>
      <c r="F2165" t="s">
        <v>577</v>
      </c>
      <c r="G2165">
        <v>5</v>
      </c>
      <c r="H2165" t="s">
        <v>581</v>
      </c>
      <c r="I2165" t="s">
        <v>570</v>
      </c>
      <c r="J2165" t="str">
        <f t="shared" si="99"/>
        <v>January</v>
      </c>
      <c r="K2165" t="str">
        <f t="shared" si="100"/>
        <v>Q1</v>
      </c>
      <c r="L2165">
        <f t="shared" si="101"/>
        <v>2025</v>
      </c>
    </row>
    <row r="2166" spans="1:12" x14ac:dyDescent="0.3">
      <c r="A2166" t="s">
        <v>3516</v>
      </c>
      <c r="B2166" t="s">
        <v>339</v>
      </c>
      <c r="C2166" t="s">
        <v>340</v>
      </c>
      <c r="D2166">
        <v>3</v>
      </c>
      <c r="E2166" s="1">
        <v>45696</v>
      </c>
      <c r="F2166" t="s">
        <v>741</v>
      </c>
      <c r="G2166">
        <v>5</v>
      </c>
      <c r="H2166" t="s">
        <v>581</v>
      </c>
      <c r="I2166" t="s">
        <v>570</v>
      </c>
      <c r="J2166" t="str">
        <f t="shared" si="99"/>
        <v>February</v>
      </c>
      <c r="K2166" t="str">
        <f t="shared" si="100"/>
        <v>Q1</v>
      </c>
      <c r="L2166">
        <f t="shared" si="101"/>
        <v>2025</v>
      </c>
    </row>
    <row r="2167" spans="1:12" x14ac:dyDescent="0.3">
      <c r="A2167" t="s">
        <v>3517</v>
      </c>
      <c r="B2167" t="s">
        <v>339</v>
      </c>
      <c r="C2167" t="s">
        <v>340</v>
      </c>
      <c r="D2167">
        <v>4</v>
      </c>
      <c r="E2167" s="1">
        <v>45707</v>
      </c>
      <c r="F2167" t="s">
        <v>600</v>
      </c>
      <c r="G2167">
        <v>4</v>
      </c>
      <c r="H2167" t="s">
        <v>581</v>
      </c>
      <c r="I2167" t="s">
        <v>570</v>
      </c>
      <c r="J2167" t="str">
        <f t="shared" si="99"/>
        <v>February</v>
      </c>
      <c r="K2167" t="str">
        <f t="shared" si="100"/>
        <v>Q1</v>
      </c>
      <c r="L2167">
        <f t="shared" si="101"/>
        <v>2025</v>
      </c>
    </row>
    <row r="2168" spans="1:12" x14ac:dyDescent="0.3">
      <c r="A2168" t="s">
        <v>3518</v>
      </c>
      <c r="B2168" t="s">
        <v>3519</v>
      </c>
      <c r="C2168" t="s">
        <v>32</v>
      </c>
      <c r="D2168">
        <v>1</v>
      </c>
      <c r="E2168" s="1">
        <v>45771</v>
      </c>
      <c r="F2168" t="s">
        <v>596</v>
      </c>
      <c r="G2168">
        <v>2</v>
      </c>
      <c r="H2168" t="s">
        <v>569</v>
      </c>
      <c r="I2168" t="s">
        <v>570</v>
      </c>
      <c r="J2168" t="str">
        <f t="shared" si="99"/>
        <v>April</v>
      </c>
      <c r="K2168" t="str">
        <f t="shared" si="100"/>
        <v>Q2</v>
      </c>
      <c r="L2168">
        <f t="shared" si="101"/>
        <v>2025</v>
      </c>
    </row>
    <row r="2169" spans="1:12" x14ac:dyDescent="0.3">
      <c r="A2169" t="s">
        <v>3520</v>
      </c>
      <c r="B2169" t="s">
        <v>3519</v>
      </c>
      <c r="C2169" t="s">
        <v>32</v>
      </c>
      <c r="D2169">
        <v>2</v>
      </c>
      <c r="E2169" s="1">
        <v>45778</v>
      </c>
      <c r="F2169" t="s">
        <v>596</v>
      </c>
      <c r="G2169">
        <v>1</v>
      </c>
      <c r="H2169" t="s">
        <v>569</v>
      </c>
      <c r="I2169" t="s">
        <v>570</v>
      </c>
      <c r="J2169" t="str">
        <f t="shared" si="99"/>
        <v>May</v>
      </c>
      <c r="K2169" t="str">
        <f t="shared" si="100"/>
        <v>Q2</v>
      </c>
      <c r="L2169">
        <f t="shared" si="101"/>
        <v>2025</v>
      </c>
    </row>
    <row r="2170" spans="1:12" x14ac:dyDescent="0.3">
      <c r="A2170" t="s">
        <v>3521</v>
      </c>
      <c r="B2170" t="s">
        <v>3522</v>
      </c>
      <c r="C2170" t="s">
        <v>65</v>
      </c>
      <c r="D2170">
        <v>1</v>
      </c>
      <c r="E2170" s="1">
        <v>45940</v>
      </c>
      <c r="F2170" t="s">
        <v>580</v>
      </c>
      <c r="G2170">
        <v>3</v>
      </c>
      <c r="H2170" t="s">
        <v>578</v>
      </c>
      <c r="I2170" t="s">
        <v>570</v>
      </c>
      <c r="J2170" t="str">
        <f t="shared" si="99"/>
        <v>October</v>
      </c>
      <c r="K2170" t="str">
        <f t="shared" si="100"/>
        <v>Q4</v>
      </c>
      <c r="L2170">
        <f t="shared" si="101"/>
        <v>2025</v>
      </c>
    </row>
    <row r="2171" spans="1:12" x14ac:dyDescent="0.3">
      <c r="A2171" t="s">
        <v>3523</v>
      </c>
      <c r="B2171" t="s">
        <v>3524</v>
      </c>
      <c r="C2171" t="s">
        <v>187</v>
      </c>
      <c r="D2171">
        <v>1</v>
      </c>
      <c r="E2171" s="1">
        <v>45821</v>
      </c>
      <c r="F2171" t="s">
        <v>572</v>
      </c>
      <c r="G2171">
        <v>2</v>
      </c>
      <c r="H2171" t="s">
        <v>569</v>
      </c>
      <c r="I2171" t="s">
        <v>570</v>
      </c>
      <c r="J2171" t="str">
        <f t="shared" si="99"/>
        <v>June</v>
      </c>
      <c r="K2171" t="str">
        <f t="shared" si="100"/>
        <v>Q2</v>
      </c>
      <c r="L2171">
        <f t="shared" si="101"/>
        <v>2025</v>
      </c>
    </row>
    <row r="2172" spans="1:12" x14ac:dyDescent="0.3">
      <c r="A2172" t="s">
        <v>3525</v>
      </c>
      <c r="B2172" t="s">
        <v>3524</v>
      </c>
      <c r="C2172" t="s">
        <v>187</v>
      </c>
      <c r="D2172">
        <v>2</v>
      </c>
      <c r="E2172" s="1">
        <v>45832</v>
      </c>
      <c r="F2172" t="s">
        <v>621</v>
      </c>
      <c r="G2172">
        <v>3</v>
      </c>
      <c r="H2172" t="s">
        <v>578</v>
      </c>
      <c r="I2172" t="s">
        <v>570</v>
      </c>
      <c r="J2172" t="str">
        <f t="shared" si="99"/>
        <v>June</v>
      </c>
      <c r="K2172" t="str">
        <f t="shared" si="100"/>
        <v>Q2</v>
      </c>
      <c r="L2172">
        <f t="shared" si="101"/>
        <v>2025</v>
      </c>
    </row>
    <row r="2173" spans="1:12" x14ac:dyDescent="0.3">
      <c r="A2173" t="s">
        <v>3526</v>
      </c>
      <c r="B2173" t="s">
        <v>3527</v>
      </c>
      <c r="C2173" t="s">
        <v>41</v>
      </c>
      <c r="D2173">
        <v>1</v>
      </c>
      <c r="E2173" s="1">
        <v>45821</v>
      </c>
      <c r="F2173" t="s">
        <v>572</v>
      </c>
      <c r="G2173">
        <v>4</v>
      </c>
      <c r="H2173" t="s">
        <v>581</v>
      </c>
      <c r="I2173" t="s">
        <v>608</v>
      </c>
      <c r="J2173" t="str">
        <f t="shared" si="99"/>
        <v>June</v>
      </c>
      <c r="K2173" t="str">
        <f t="shared" si="100"/>
        <v>Q2</v>
      </c>
      <c r="L2173">
        <f t="shared" si="101"/>
        <v>2025</v>
      </c>
    </row>
    <row r="2174" spans="1:12" x14ac:dyDescent="0.3">
      <c r="A2174" t="s">
        <v>3528</v>
      </c>
      <c r="B2174" t="s">
        <v>3527</v>
      </c>
      <c r="C2174" t="s">
        <v>41</v>
      </c>
      <c r="D2174">
        <v>2</v>
      </c>
      <c r="E2174" s="1">
        <v>45830</v>
      </c>
      <c r="F2174" t="s">
        <v>603</v>
      </c>
      <c r="G2174">
        <v>5</v>
      </c>
      <c r="H2174" t="s">
        <v>581</v>
      </c>
      <c r="I2174" t="s">
        <v>570</v>
      </c>
      <c r="J2174" t="str">
        <f t="shared" si="99"/>
        <v>June</v>
      </c>
      <c r="K2174" t="str">
        <f t="shared" si="100"/>
        <v>Q2</v>
      </c>
      <c r="L2174">
        <f t="shared" si="101"/>
        <v>2025</v>
      </c>
    </row>
    <row r="2175" spans="1:12" x14ac:dyDescent="0.3">
      <c r="A2175" t="s">
        <v>3529</v>
      </c>
      <c r="B2175" t="s">
        <v>3530</v>
      </c>
      <c r="C2175" t="s">
        <v>32</v>
      </c>
      <c r="D2175">
        <v>1</v>
      </c>
      <c r="E2175" s="1">
        <v>45757</v>
      </c>
      <c r="F2175" t="s">
        <v>638</v>
      </c>
      <c r="G2175">
        <v>4</v>
      </c>
      <c r="H2175" t="s">
        <v>581</v>
      </c>
      <c r="I2175" t="s">
        <v>570</v>
      </c>
      <c r="J2175" t="str">
        <f t="shared" si="99"/>
        <v>April</v>
      </c>
      <c r="K2175" t="str">
        <f t="shared" si="100"/>
        <v>Q2</v>
      </c>
      <c r="L2175">
        <f t="shared" si="101"/>
        <v>2025</v>
      </c>
    </row>
    <row r="2176" spans="1:12" x14ac:dyDescent="0.3">
      <c r="A2176" t="s">
        <v>3531</v>
      </c>
      <c r="B2176" t="s">
        <v>3530</v>
      </c>
      <c r="C2176" t="s">
        <v>32</v>
      </c>
      <c r="D2176">
        <v>2</v>
      </c>
      <c r="E2176" s="1">
        <v>45768</v>
      </c>
      <c r="F2176" t="s">
        <v>575</v>
      </c>
      <c r="G2176">
        <v>3</v>
      </c>
      <c r="H2176" t="s">
        <v>578</v>
      </c>
      <c r="I2176" t="s">
        <v>570</v>
      </c>
      <c r="J2176" t="str">
        <f t="shared" si="99"/>
        <v>April</v>
      </c>
      <c r="K2176" t="str">
        <f t="shared" si="100"/>
        <v>Q2</v>
      </c>
      <c r="L2176">
        <f t="shared" si="101"/>
        <v>2025</v>
      </c>
    </row>
    <row r="2177" spans="1:12" x14ac:dyDescent="0.3">
      <c r="A2177" t="s">
        <v>3532</v>
      </c>
      <c r="B2177" t="s">
        <v>3530</v>
      </c>
      <c r="C2177" t="s">
        <v>32</v>
      </c>
      <c r="D2177">
        <v>3</v>
      </c>
      <c r="E2177" s="1">
        <v>45772</v>
      </c>
      <c r="F2177" t="s">
        <v>572</v>
      </c>
      <c r="G2177">
        <v>4</v>
      </c>
      <c r="H2177" t="s">
        <v>581</v>
      </c>
      <c r="I2177" t="s">
        <v>570</v>
      </c>
      <c r="J2177" t="str">
        <f t="shared" si="99"/>
        <v>April</v>
      </c>
      <c r="K2177" t="str">
        <f t="shared" si="100"/>
        <v>Q2</v>
      </c>
      <c r="L2177">
        <f t="shared" si="101"/>
        <v>2025</v>
      </c>
    </row>
    <row r="2178" spans="1:12" x14ac:dyDescent="0.3">
      <c r="A2178" t="s">
        <v>3533</v>
      </c>
      <c r="B2178" t="s">
        <v>3534</v>
      </c>
      <c r="C2178" t="s">
        <v>32</v>
      </c>
      <c r="D2178">
        <v>1</v>
      </c>
      <c r="E2178" s="1">
        <v>45766</v>
      </c>
      <c r="F2178" t="s">
        <v>621</v>
      </c>
      <c r="G2178">
        <v>2</v>
      </c>
      <c r="H2178" t="s">
        <v>569</v>
      </c>
      <c r="I2178" t="s">
        <v>608</v>
      </c>
      <c r="J2178" t="str">
        <f t="shared" ref="J2178:J2241" si="102">TEXT(E2178,"mmmm")</f>
        <v>April</v>
      </c>
      <c r="K2178" t="str">
        <f t="shared" ref="K2178:K2241" si="103">"Q"&amp;ROUNDUP(MONTH(E2178)/3,0)</f>
        <v>Q2</v>
      </c>
      <c r="L2178">
        <f t="shared" ref="L2178:L2241" si="104">YEAR(E2178)</f>
        <v>2025</v>
      </c>
    </row>
    <row r="2179" spans="1:12" x14ac:dyDescent="0.3">
      <c r="A2179" t="s">
        <v>3535</v>
      </c>
      <c r="B2179" t="s">
        <v>3534</v>
      </c>
      <c r="C2179" t="s">
        <v>32</v>
      </c>
      <c r="D2179">
        <v>2</v>
      </c>
      <c r="E2179" s="1">
        <v>45771</v>
      </c>
      <c r="F2179" t="s">
        <v>577</v>
      </c>
      <c r="G2179">
        <v>2</v>
      </c>
      <c r="H2179" t="s">
        <v>569</v>
      </c>
      <c r="I2179" t="s">
        <v>570</v>
      </c>
      <c r="J2179" t="str">
        <f t="shared" si="102"/>
        <v>April</v>
      </c>
      <c r="K2179" t="str">
        <f t="shared" si="103"/>
        <v>Q2</v>
      </c>
      <c r="L2179">
        <f t="shared" si="104"/>
        <v>2025</v>
      </c>
    </row>
    <row r="2180" spans="1:12" x14ac:dyDescent="0.3">
      <c r="A2180" t="s">
        <v>3536</v>
      </c>
      <c r="B2180" t="s">
        <v>3534</v>
      </c>
      <c r="C2180" t="s">
        <v>32</v>
      </c>
      <c r="D2180">
        <v>3</v>
      </c>
      <c r="E2180" s="1">
        <v>45781</v>
      </c>
      <c r="F2180" t="s">
        <v>577</v>
      </c>
      <c r="G2180">
        <v>2</v>
      </c>
      <c r="H2180" t="s">
        <v>569</v>
      </c>
      <c r="I2180" t="s">
        <v>570</v>
      </c>
      <c r="J2180" t="str">
        <f t="shared" si="102"/>
        <v>May</v>
      </c>
      <c r="K2180" t="str">
        <f t="shared" si="103"/>
        <v>Q2</v>
      </c>
      <c r="L2180">
        <f t="shared" si="104"/>
        <v>2025</v>
      </c>
    </row>
    <row r="2181" spans="1:12" x14ac:dyDescent="0.3">
      <c r="A2181" t="s">
        <v>3537</v>
      </c>
      <c r="B2181" t="s">
        <v>3538</v>
      </c>
      <c r="C2181" t="s">
        <v>65</v>
      </c>
      <c r="D2181">
        <v>1</v>
      </c>
      <c r="E2181" s="1">
        <v>45933</v>
      </c>
      <c r="F2181" t="s">
        <v>586</v>
      </c>
      <c r="G2181">
        <v>1</v>
      </c>
      <c r="H2181" t="s">
        <v>569</v>
      </c>
      <c r="I2181" t="s">
        <v>570</v>
      </c>
      <c r="J2181" t="str">
        <f t="shared" si="102"/>
        <v>October</v>
      </c>
      <c r="K2181" t="str">
        <f t="shared" si="103"/>
        <v>Q4</v>
      </c>
      <c r="L2181">
        <f t="shared" si="104"/>
        <v>2025</v>
      </c>
    </row>
    <row r="2182" spans="1:12" x14ac:dyDescent="0.3">
      <c r="A2182" t="s">
        <v>3539</v>
      </c>
      <c r="B2182" t="s">
        <v>3538</v>
      </c>
      <c r="C2182" t="s">
        <v>65</v>
      </c>
      <c r="D2182">
        <v>2</v>
      </c>
      <c r="E2182" s="1">
        <v>45941</v>
      </c>
      <c r="F2182" t="s">
        <v>572</v>
      </c>
      <c r="G2182">
        <v>2</v>
      </c>
      <c r="H2182" t="s">
        <v>569</v>
      </c>
      <c r="I2182" t="s">
        <v>570</v>
      </c>
      <c r="J2182" t="str">
        <f t="shared" si="102"/>
        <v>October</v>
      </c>
      <c r="K2182" t="str">
        <f t="shared" si="103"/>
        <v>Q4</v>
      </c>
      <c r="L2182">
        <f t="shared" si="104"/>
        <v>2025</v>
      </c>
    </row>
    <row r="2183" spans="1:12" x14ac:dyDescent="0.3">
      <c r="A2183" t="s">
        <v>3540</v>
      </c>
      <c r="B2183" t="s">
        <v>82</v>
      </c>
      <c r="C2183" t="s">
        <v>45</v>
      </c>
      <c r="D2183">
        <v>1</v>
      </c>
      <c r="E2183" s="1">
        <v>45853</v>
      </c>
      <c r="F2183" t="s">
        <v>580</v>
      </c>
      <c r="G2183">
        <v>4</v>
      </c>
      <c r="H2183" t="s">
        <v>581</v>
      </c>
      <c r="I2183" t="s">
        <v>570</v>
      </c>
      <c r="J2183" t="str">
        <f t="shared" si="102"/>
        <v>July</v>
      </c>
      <c r="K2183" t="str">
        <f t="shared" si="103"/>
        <v>Q3</v>
      </c>
      <c r="L2183">
        <f t="shared" si="104"/>
        <v>2025</v>
      </c>
    </row>
    <row r="2184" spans="1:12" x14ac:dyDescent="0.3">
      <c r="A2184" t="s">
        <v>3541</v>
      </c>
      <c r="B2184" t="s">
        <v>3542</v>
      </c>
      <c r="C2184" t="s">
        <v>58</v>
      </c>
      <c r="D2184">
        <v>1</v>
      </c>
      <c r="E2184" s="1">
        <v>45806</v>
      </c>
      <c r="F2184" t="s">
        <v>612</v>
      </c>
      <c r="G2184">
        <v>4</v>
      </c>
      <c r="H2184" t="s">
        <v>581</v>
      </c>
      <c r="I2184" t="s">
        <v>597</v>
      </c>
      <c r="J2184" t="str">
        <f t="shared" si="102"/>
        <v>May</v>
      </c>
      <c r="K2184" t="str">
        <f t="shared" si="103"/>
        <v>Q2</v>
      </c>
      <c r="L2184">
        <f t="shared" si="104"/>
        <v>2025</v>
      </c>
    </row>
    <row r="2185" spans="1:12" x14ac:dyDescent="0.3">
      <c r="A2185" t="s">
        <v>3543</v>
      </c>
      <c r="B2185" t="s">
        <v>3542</v>
      </c>
      <c r="C2185" t="s">
        <v>58</v>
      </c>
      <c r="D2185">
        <v>2</v>
      </c>
      <c r="E2185" s="1">
        <v>45812</v>
      </c>
      <c r="F2185" t="s">
        <v>572</v>
      </c>
      <c r="G2185">
        <v>4</v>
      </c>
      <c r="H2185" t="s">
        <v>581</v>
      </c>
      <c r="I2185" t="s">
        <v>570</v>
      </c>
      <c r="J2185" t="str">
        <f t="shared" si="102"/>
        <v>June</v>
      </c>
      <c r="K2185" t="str">
        <f t="shared" si="103"/>
        <v>Q2</v>
      </c>
      <c r="L2185">
        <f t="shared" si="104"/>
        <v>2025</v>
      </c>
    </row>
    <row r="2186" spans="1:12" x14ac:dyDescent="0.3">
      <c r="A2186" t="s">
        <v>3544</v>
      </c>
      <c r="B2186" t="s">
        <v>3545</v>
      </c>
      <c r="C2186" t="s">
        <v>176</v>
      </c>
      <c r="D2186">
        <v>1</v>
      </c>
      <c r="E2186" s="1">
        <v>45714</v>
      </c>
      <c r="F2186" t="s">
        <v>577</v>
      </c>
      <c r="G2186">
        <v>2</v>
      </c>
      <c r="H2186" t="s">
        <v>569</v>
      </c>
      <c r="I2186" t="s">
        <v>570</v>
      </c>
      <c r="J2186" t="str">
        <f t="shared" si="102"/>
        <v>February</v>
      </c>
      <c r="K2186" t="str">
        <f t="shared" si="103"/>
        <v>Q1</v>
      </c>
      <c r="L2186">
        <f t="shared" si="104"/>
        <v>2025</v>
      </c>
    </row>
    <row r="2187" spans="1:12" x14ac:dyDescent="0.3">
      <c r="A2187" t="s">
        <v>3546</v>
      </c>
      <c r="B2187" t="s">
        <v>3545</v>
      </c>
      <c r="C2187" t="s">
        <v>176</v>
      </c>
      <c r="D2187">
        <v>2</v>
      </c>
      <c r="E2187" s="1">
        <v>45725</v>
      </c>
      <c r="F2187" t="s">
        <v>621</v>
      </c>
      <c r="G2187">
        <v>3</v>
      </c>
      <c r="H2187" t="s">
        <v>578</v>
      </c>
      <c r="I2187" t="s">
        <v>570</v>
      </c>
      <c r="J2187" t="str">
        <f t="shared" si="102"/>
        <v>March</v>
      </c>
      <c r="K2187" t="str">
        <f t="shared" si="103"/>
        <v>Q1</v>
      </c>
      <c r="L2187">
        <f t="shared" si="104"/>
        <v>2025</v>
      </c>
    </row>
    <row r="2188" spans="1:12" x14ac:dyDescent="0.3">
      <c r="A2188" t="s">
        <v>3547</v>
      </c>
      <c r="B2188" t="s">
        <v>3548</v>
      </c>
      <c r="C2188" t="s">
        <v>201</v>
      </c>
      <c r="D2188">
        <v>1</v>
      </c>
      <c r="E2188" s="1">
        <v>45962</v>
      </c>
      <c r="F2188" t="s">
        <v>603</v>
      </c>
      <c r="G2188">
        <v>2</v>
      </c>
      <c r="H2188" t="s">
        <v>569</v>
      </c>
      <c r="I2188" t="s">
        <v>570</v>
      </c>
      <c r="J2188" t="str">
        <f t="shared" si="102"/>
        <v>November</v>
      </c>
      <c r="K2188" t="str">
        <f t="shared" si="103"/>
        <v>Q4</v>
      </c>
      <c r="L2188">
        <f t="shared" si="104"/>
        <v>2025</v>
      </c>
    </row>
    <row r="2189" spans="1:12" x14ac:dyDescent="0.3">
      <c r="A2189" t="s">
        <v>3549</v>
      </c>
      <c r="B2189" t="s">
        <v>3548</v>
      </c>
      <c r="C2189" t="s">
        <v>201</v>
      </c>
      <c r="D2189">
        <v>2</v>
      </c>
      <c r="E2189" s="1">
        <v>45967</v>
      </c>
      <c r="F2189" t="s">
        <v>603</v>
      </c>
      <c r="G2189">
        <v>1</v>
      </c>
      <c r="H2189" t="s">
        <v>569</v>
      </c>
      <c r="I2189" t="s">
        <v>570</v>
      </c>
      <c r="J2189" t="str">
        <f t="shared" si="102"/>
        <v>November</v>
      </c>
      <c r="K2189" t="str">
        <f t="shared" si="103"/>
        <v>Q4</v>
      </c>
      <c r="L2189">
        <f t="shared" si="104"/>
        <v>2025</v>
      </c>
    </row>
    <row r="2190" spans="1:12" x14ac:dyDescent="0.3">
      <c r="A2190" t="s">
        <v>3550</v>
      </c>
      <c r="B2190" t="s">
        <v>3548</v>
      </c>
      <c r="C2190" t="s">
        <v>201</v>
      </c>
      <c r="D2190">
        <v>3</v>
      </c>
      <c r="E2190" s="1">
        <v>45979</v>
      </c>
      <c r="F2190" t="s">
        <v>612</v>
      </c>
      <c r="G2190">
        <v>1</v>
      </c>
      <c r="H2190" t="s">
        <v>569</v>
      </c>
      <c r="I2190" t="s">
        <v>570</v>
      </c>
      <c r="J2190" t="str">
        <f t="shared" si="102"/>
        <v>November</v>
      </c>
      <c r="K2190" t="str">
        <f t="shared" si="103"/>
        <v>Q4</v>
      </c>
      <c r="L2190">
        <f t="shared" si="104"/>
        <v>2025</v>
      </c>
    </row>
    <row r="2191" spans="1:12" x14ac:dyDescent="0.3">
      <c r="A2191" t="s">
        <v>3551</v>
      </c>
      <c r="B2191" t="s">
        <v>3548</v>
      </c>
      <c r="C2191" t="s">
        <v>201</v>
      </c>
      <c r="D2191">
        <v>4</v>
      </c>
      <c r="E2191" s="1">
        <v>45983</v>
      </c>
      <c r="F2191" t="s">
        <v>612</v>
      </c>
      <c r="G2191">
        <v>2</v>
      </c>
      <c r="H2191" t="s">
        <v>569</v>
      </c>
      <c r="I2191" t="s">
        <v>570</v>
      </c>
      <c r="J2191" t="str">
        <f t="shared" si="102"/>
        <v>November</v>
      </c>
      <c r="K2191" t="str">
        <f t="shared" si="103"/>
        <v>Q4</v>
      </c>
      <c r="L2191">
        <f t="shared" si="104"/>
        <v>2025</v>
      </c>
    </row>
    <row r="2192" spans="1:12" x14ac:dyDescent="0.3">
      <c r="A2192" t="s">
        <v>3552</v>
      </c>
      <c r="B2192" t="s">
        <v>3553</v>
      </c>
      <c r="C2192" t="s">
        <v>99</v>
      </c>
      <c r="D2192">
        <v>1</v>
      </c>
      <c r="E2192" s="1">
        <v>45856</v>
      </c>
      <c r="F2192" t="s">
        <v>625</v>
      </c>
      <c r="G2192">
        <v>3</v>
      </c>
      <c r="H2192" t="s">
        <v>578</v>
      </c>
      <c r="I2192" t="s">
        <v>570</v>
      </c>
      <c r="J2192" t="str">
        <f t="shared" si="102"/>
        <v>July</v>
      </c>
      <c r="K2192" t="str">
        <f t="shared" si="103"/>
        <v>Q3</v>
      </c>
      <c r="L2192">
        <f t="shared" si="104"/>
        <v>2025</v>
      </c>
    </row>
    <row r="2193" spans="1:12" x14ac:dyDescent="0.3">
      <c r="A2193" t="s">
        <v>3554</v>
      </c>
      <c r="B2193" t="s">
        <v>3553</v>
      </c>
      <c r="C2193" t="s">
        <v>99</v>
      </c>
      <c r="D2193">
        <v>2</v>
      </c>
      <c r="E2193" s="1">
        <v>45861</v>
      </c>
      <c r="F2193" t="s">
        <v>656</v>
      </c>
      <c r="G2193">
        <v>2</v>
      </c>
      <c r="H2193" t="s">
        <v>569</v>
      </c>
      <c r="I2193" t="s">
        <v>570</v>
      </c>
      <c r="J2193" t="str">
        <f t="shared" si="102"/>
        <v>July</v>
      </c>
      <c r="K2193" t="str">
        <f t="shared" si="103"/>
        <v>Q3</v>
      </c>
      <c r="L2193">
        <f t="shared" si="104"/>
        <v>2025</v>
      </c>
    </row>
    <row r="2194" spans="1:12" x14ac:dyDescent="0.3">
      <c r="A2194" t="s">
        <v>3555</v>
      </c>
      <c r="B2194" t="s">
        <v>503</v>
      </c>
      <c r="C2194" t="s">
        <v>78</v>
      </c>
      <c r="D2194">
        <v>1</v>
      </c>
      <c r="E2194" s="1">
        <v>45912</v>
      </c>
      <c r="F2194" t="s">
        <v>596</v>
      </c>
      <c r="G2194">
        <v>4</v>
      </c>
      <c r="H2194" t="s">
        <v>581</v>
      </c>
      <c r="I2194" t="s">
        <v>570</v>
      </c>
      <c r="J2194" t="str">
        <f t="shared" si="102"/>
        <v>September</v>
      </c>
      <c r="K2194" t="str">
        <f t="shared" si="103"/>
        <v>Q3</v>
      </c>
      <c r="L2194">
        <f t="shared" si="104"/>
        <v>2025</v>
      </c>
    </row>
    <row r="2195" spans="1:12" x14ac:dyDescent="0.3">
      <c r="A2195" t="s">
        <v>3556</v>
      </c>
      <c r="B2195" t="s">
        <v>503</v>
      </c>
      <c r="C2195" t="s">
        <v>78</v>
      </c>
      <c r="D2195">
        <v>2</v>
      </c>
      <c r="E2195" s="1">
        <v>45923</v>
      </c>
      <c r="F2195" t="s">
        <v>572</v>
      </c>
      <c r="G2195">
        <v>3</v>
      </c>
      <c r="H2195" t="s">
        <v>578</v>
      </c>
      <c r="I2195" t="s">
        <v>570</v>
      </c>
      <c r="J2195" t="str">
        <f t="shared" si="102"/>
        <v>September</v>
      </c>
      <c r="K2195" t="str">
        <f t="shared" si="103"/>
        <v>Q3</v>
      </c>
      <c r="L2195">
        <f t="shared" si="104"/>
        <v>2025</v>
      </c>
    </row>
    <row r="2196" spans="1:12" x14ac:dyDescent="0.3">
      <c r="A2196" t="s">
        <v>3557</v>
      </c>
      <c r="B2196" t="s">
        <v>503</v>
      </c>
      <c r="C2196" t="s">
        <v>78</v>
      </c>
      <c r="D2196">
        <v>3</v>
      </c>
      <c r="E2196" s="1">
        <v>45929</v>
      </c>
      <c r="F2196" t="s">
        <v>568</v>
      </c>
      <c r="G2196">
        <v>5</v>
      </c>
      <c r="H2196" t="s">
        <v>581</v>
      </c>
      <c r="I2196" t="s">
        <v>570</v>
      </c>
      <c r="J2196" t="str">
        <f t="shared" si="102"/>
        <v>September</v>
      </c>
      <c r="K2196" t="str">
        <f t="shared" si="103"/>
        <v>Q3</v>
      </c>
      <c r="L2196">
        <f t="shared" si="104"/>
        <v>2025</v>
      </c>
    </row>
    <row r="2197" spans="1:12" x14ac:dyDescent="0.3">
      <c r="A2197" t="s">
        <v>3558</v>
      </c>
      <c r="B2197" t="s">
        <v>3559</v>
      </c>
      <c r="C2197" t="s">
        <v>37</v>
      </c>
      <c r="D2197">
        <v>1</v>
      </c>
      <c r="E2197" s="1">
        <v>45715</v>
      </c>
      <c r="F2197" t="s">
        <v>568</v>
      </c>
      <c r="G2197">
        <v>3</v>
      </c>
      <c r="H2197" t="s">
        <v>578</v>
      </c>
      <c r="I2197" t="s">
        <v>608</v>
      </c>
      <c r="J2197" t="str">
        <f t="shared" si="102"/>
        <v>February</v>
      </c>
      <c r="K2197" t="str">
        <f t="shared" si="103"/>
        <v>Q1</v>
      </c>
      <c r="L2197">
        <f t="shared" si="104"/>
        <v>2025</v>
      </c>
    </row>
    <row r="2198" spans="1:12" x14ac:dyDescent="0.3">
      <c r="A2198" t="s">
        <v>3560</v>
      </c>
      <c r="B2198" t="s">
        <v>3559</v>
      </c>
      <c r="C2198" t="s">
        <v>37</v>
      </c>
      <c r="D2198">
        <v>2</v>
      </c>
      <c r="E2198" s="1">
        <v>45723</v>
      </c>
      <c r="F2198" t="s">
        <v>580</v>
      </c>
      <c r="G2198">
        <v>3</v>
      </c>
      <c r="H2198" t="s">
        <v>578</v>
      </c>
      <c r="I2198" t="s">
        <v>570</v>
      </c>
      <c r="J2198" t="str">
        <f t="shared" si="102"/>
        <v>March</v>
      </c>
      <c r="K2198" t="str">
        <f t="shared" si="103"/>
        <v>Q1</v>
      </c>
      <c r="L2198">
        <f t="shared" si="104"/>
        <v>2025</v>
      </c>
    </row>
    <row r="2199" spans="1:12" x14ac:dyDescent="0.3">
      <c r="A2199" t="s">
        <v>3561</v>
      </c>
      <c r="B2199" t="s">
        <v>3559</v>
      </c>
      <c r="C2199" t="s">
        <v>37</v>
      </c>
      <c r="D2199">
        <v>3</v>
      </c>
      <c r="E2199" s="1">
        <v>45728</v>
      </c>
      <c r="F2199" t="s">
        <v>586</v>
      </c>
      <c r="G2199">
        <v>3</v>
      </c>
      <c r="H2199" t="s">
        <v>578</v>
      </c>
      <c r="I2199" t="s">
        <v>570</v>
      </c>
      <c r="J2199" t="str">
        <f t="shared" si="102"/>
        <v>March</v>
      </c>
      <c r="K2199" t="str">
        <f t="shared" si="103"/>
        <v>Q1</v>
      </c>
      <c r="L2199">
        <f t="shared" si="104"/>
        <v>2025</v>
      </c>
    </row>
    <row r="2200" spans="1:12" x14ac:dyDescent="0.3">
      <c r="A2200" t="s">
        <v>3562</v>
      </c>
      <c r="B2200" t="s">
        <v>3563</v>
      </c>
      <c r="C2200" t="s">
        <v>340</v>
      </c>
      <c r="D2200">
        <v>1</v>
      </c>
      <c r="E2200" s="1">
        <v>45680</v>
      </c>
      <c r="F2200" t="s">
        <v>621</v>
      </c>
      <c r="G2200">
        <v>2</v>
      </c>
      <c r="H2200" t="s">
        <v>569</v>
      </c>
      <c r="I2200" t="s">
        <v>570</v>
      </c>
      <c r="J2200" t="str">
        <f t="shared" si="102"/>
        <v>January</v>
      </c>
      <c r="K2200" t="str">
        <f t="shared" si="103"/>
        <v>Q1</v>
      </c>
      <c r="L2200">
        <f t="shared" si="104"/>
        <v>2025</v>
      </c>
    </row>
    <row r="2201" spans="1:12" x14ac:dyDescent="0.3">
      <c r="A2201" t="s">
        <v>3564</v>
      </c>
      <c r="B2201" t="s">
        <v>3565</v>
      </c>
      <c r="C2201" t="s">
        <v>108</v>
      </c>
      <c r="D2201">
        <v>1</v>
      </c>
      <c r="E2201" s="1">
        <v>45754</v>
      </c>
      <c r="F2201" t="s">
        <v>638</v>
      </c>
      <c r="G2201">
        <v>1</v>
      </c>
      <c r="H2201" t="s">
        <v>569</v>
      </c>
      <c r="I2201" t="s">
        <v>570</v>
      </c>
      <c r="J2201" t="str">
        <f t="shared" si="102"/>
        <v>April</v>
      </c>
      <c r="K2201" t="str">
        <f t="shared" si="103"/>
        <v>Q2</v>
      </c>
      <c r="L2201">
        <f t="shared" si="104"/>
        <v>2025</v>
      </c>
    </row>
    <row r="2202" spans="1:12" x14ac:dyDescent="0.3">
      <c r="A2202" t="s">
        <v>3566</v>
      </c>
      <c r="B2202" t="s">
        <v>3565</v>
      </c>
      <c r="C2202" t="s">
        <v>108</v>
      </c>
      <c r="D2202">
        <v>2</v>
      </c>
      <c r="E2202" s="1">
        <v>45766</v>
      </c>
      <c r="F2202" t="s">
        <v>638</v>
      </c>
      <c r="G2202">
        <v>3</v>
      </c>
      <c r="H2202" t="s">
        <v>578</v>
      </c>
      <c r="I2202" t="s">
        <v>570</v>
      </c>
      <c r="J2202" t="str">
        <f t="shared" si="102"/>
        <v>April</v>
      </c>
      <c r="K2202" t="str">
        <f t="shared" si="103"/>
        <v>Q2</v>
      </c>
      <c r="L2202">
        <f t="shared" si="104"/>
        <v>2025</v>
      </c>
    </row>
    <row r="2203" spans="1:12" x14ac:dyDescent="0.3">
      <c r="A2203" t="s">
        <v>3567</v>
      </c>
      <c r="B2203" t="s">
        <v>3565</v>
      </c>
      <c r="C2203" t="s">
        <v>108</v>
      </c>
      <c r="D2203">
        <v>3</v>
      </c>
      <c r="E2203" s="1">
        <v>45771</v>
      </c>
      <c r="F2203" t="s">
        <v>577</v>
      </c>
      <c r="G2203">
        <v>2</v>
      </c>
      <c r="H2203" t="s">
        <v>569</v>
      </c>
      <c r="I2203" t="s">
        <v>570</v>
      </c>
      <c r="J2203" t="str">
        <f t="shared" si="102"/>
        <v>April</v>
      </c>
      <c r="K2203" t="str">
        <f t="shared" si="103"/>
        <v>Q2</v>
      </c>
      <c r="L2203">
        <f t="shared" si="104"/>
        <v>2025</v>
      </c>
    </row>
    <row r="2204" spans="1:12" x14ac:dyDescent="0.3">
      <c r="A2204" t="s">
        <v>3568</v>
      </c>
      <c r="B2204" t="s">
        <v>3565</v>
      </c>
      <c r="C2204" t="s">
        <v>108</v>
      </c>
      <c r="D2204">
        <v>4</v>
      </c>
      <c r="E2204" s="1">
        <v>45776</v>
      </c>
      <c r="F2204" t="s">
        <v>575</v>
      </c>
      <c r="G2204">
        <v>1</v>
      </c>
      <c r="H2204" t="s">
        <v>569</v>
      </c>
      <c r="I2204" t="s">
        <v>570</v>
      </c>
      <c r="J2204" t="str">
        <f t="shared" si="102"/>
        <v>April</v>
      </c>
      <c r="K2204" t="str">
        <f t="shared" si="103"/>
        <v>Q2</v>
      </c>
      <c r="L2204">
        <f t="shared" si="104"/>
        <v>2025</v>
      </c>
    </row>
    <row r="2205" spans="1:12" x14ac:dyDescent="0.3">
      <c r="A2205" t="s">
        <v>3569</v>
      </c>
      <c r="B2205" t="s">
        <v>3570</v>
      </c>
      <c r="C2205" t="s">
        <v>240</v>
      </c>
      <c r="D2205">
        <v>1</v>
      </c>
      <c r="E2205" s="1">
        <v>45964</v>
      </c>
      <c r="F2205" t="s">
        <v>596</v>
      </c>
      <c r="G2205">
        <v>1</v>
      </c>
      <c r="H2205" t="s">
        <v>569</v>
      </c>
      <c r="I2205" t="s">
        <v>570</v>
      </c>
      <c r="J2205" t="str">
        <f t="shared" si="102"/>
        <v>November</v>
      </c>
      <c r="K2205" t="str">
        <f t="shared" si="103"/>
        <v>Q4</v>
      </c>
      <c r="L2205">
        <f t="shared" si="104"/>
        <v>2025</v>
      </c>
    </row>
    <row r="2206" spans="1:12" x14ac:dyDescent="0.3">
      <c r="A2206" t="s">
        <v>3571</v>
      </c>
      <c r="B2206" t="s">
        <v>3572</v>
      </c>
      <c r="C2206" t="s">
        <v>240</v>
      </c>
      <c r="D2206">
        <v>1</v>
      </c>
      <c r="E2206" s="1">
        <v>45953</v>
      </c>
      <c r="F2206" t="s">
        <v>663</v>
      </c>
      <c r="G2206">
        <v>2</v>
      </c>
      <c r="H2206" t="s">
        <v>569</v>
      </c>
      <c r="I2206" t="s">
        <v>570</v>
      </c>
      <c r="J2206" t="str">
        <f t="shared" si="102"/>
        <v>October</v>
      </c>
      <c r="K2206" t="str">
        <f t="shared" si="103"/>
        <v>Q4</v>
      </c>
      <c r="L2206">
        <f t="shared" si="104"/>
        <v>2025</v>
      </c>
    </row>
    <row r="2207" spans="1:12" x14ac:dyDescent="0.3">
      <c r="A2207" t="s">
        <v>3573</v>
      </c>
      <c r="B2207" t="s">
        <v>3572</v>
      </c>
      <c r="C2207" t="s">
        <v>240</v>
      </c>
      <c r="D2207">
        <v>2</v>
      </c>
      <c r="E2207" s="1">
        <v>45957</v>
      </c>
      <c r="F2207" t="s">
        <v>568</v>
      </c>
      <c r="G2207">
        <v>3</v>
      </c>
      <c r="H2207" t="s">
        <v>578</v>
      </c>
      <c r="I2207" t="s">
        <v>570</v>
      </c>
      <c r="J2207" t="str">
        <f t="shared" si="102"/>
        <v>October</v>
      </c>
      <c r="K2207" t="str">
        <f t="shared" si="103"/>
        <v>Q4</v>
      </c>
      <c r="L2207">
        <f t="shared" si="104"/>
        <v>2025</v>
      </c>
    </row>
    <row r="2208" spans="1:12" x14ac:dyDescent="0.3">
      <c r="A2208" t="s">
        <v>3574</v>
      </c>
      <c r="B2208" t="s">
        <v>3572</v>
      </c>
      <c r="C2208" t="s">
        <v>240</v>
      </c>
      <c r="D2208">
        <v>3</v>
      </c>
      <c r="E2208" s="1">
        <v>45967</v>
      </c>
      <c r="F2208" t="s">
        <v>663</v>
      </c>
      <c r="G2208">
        <v>4</v>
      </c>
      <c r="H2208" t="s">
        <v>581</v>
      </c>
      <c r="I2208" t="s">
        <v>570</v>
      </c>
      <c r="J2208" t="str">
        <f t="shared" si="102"/>
        <v>November</v>
      </c>
      <c r="K2208" t="str">
        <f t="shared" si="103"/>
        <v>Q4</v>
      </c>
      <c r="L2208">
        <f t="shared" si="104"/>
        <v>2025</v>
      </c>
    </row>
    <row r="2209" spans="1:12" x14ac:dyDescent="0.3">
      <c r="A2209" t="s">
        <v>3575</v>
      </c>
      <c r="B2209" t="s">
        <v>3576</v>
      </c>
      <c r="C2209" t="s">
        <v>41</v>
      </c>
      <c r="D2209">
        <v>1</v>
      </c>
      <c r="E2209" s="1">
        <v>45818</v>
      </c>
      <c r="F2209" t="s">
        <v>605</v>
      </c>
      <c r="G2209">
        <v>3</v>
      </c>
      <c r="H2209" t="s">
        <v>578</v>
      </c>
      <c r="I2209" t="s">
        <v>570</v>
      </c>
      <c r="J2209" t="str">
        <f t="shared" si="102"/>
        <v>June</v>
      </c>
      <c r="K2209" t="str">
        <f t="shared" si="103"/>
        <v>Q2</v>
      </c>
      <c r="L2209">
        <f t="shared" si="104"/>
        <v>2025</v>
      </c>
    </row>
    <row r="2210" spans="1:12" x14ac:dyDescent="0.3">
      <c r="A2210" t="s">
        <v>3577</v>
      </c>
      <c r="B2210" t="s">
        <v>3576</v>
      </c>
      <c r="C2210" t="s">
        <v>41</v>
      </c>
      <c r="D2210">
        <v>2</v>
      </c>
      <c r="E2210" s="1">
        <v>45827</v>
      </c>
      <c r="F2210" t="s">
        <v>605</v>
      </c>
      <c r="G2210">
        <v>1</v>
      </c>
      <c r="H2210" t="s">
        <v>569</v>
      </c>
      <c r="I2210" t="s">
        <v>570</v>
      </c>
      <c r="J2210" t="str">
        <f t="shared" si="102"/>
        <v>June</v>
      </c>
      <c r="K2210" t="str">
        <f t="shared" si="103"/>
        <v>Q2</v>
      </c>
      <c r="L2210">
        <f t="shared" si="104"/>
        <v>2025</v>
      </c>
    </row>
    <row r="2211" spans="1:12" x14ac:dyDescent="0.3">
      <c r="A2211" t="s">
        <v>3578</v>
      </c>
      <c r="B2211" t="s">
        <v>3576</v>
      </c>
      <c r="C2211" t="s">
        <v>41</v>
      </c>
      <c r="D2211">
        <v>3</v>
      </c>
      <c r="E2211" s="1">
        <v>45836</v>
      </c>
      <c r="G2211">
        <v>2</v>
      </c>
      <c r="H2211" t="s">
        <v>569</v>
      </c>
      <c r="I2211" t="s">
        <v>570</v>
      </c>
      <c r="J2211" t="str">
        <f t="shared" si="102"/>
        <v>June</v>
      </c>
      <c r="K2211" t="str">
        <f t="shared" si="103"/>
        <v>Q2</v>
      </c>
      <c r="L2211">
        <f t="shared" si="104"/>
        <v>2025</v>
      </c>
    </row>
    <row r="2212" spans="1:12" x14ac:dyDescent="0.3">
      <c r="A2212" t="s">
        <v>3579</v>
      </c>
      <c r="B2212" t="s">
        <v>3580</v>
      </c>
      <c r="C2212" t="s">
        <v>92</v>
      </c>
      <c r="D2212">
        <v>1</v>
      </c>
      <c r="E2212" s="1">
        <v>45765</v>
      </c>
      <c r="F2212" t="s">
        <v>577</v>
      </c>
      <c r="G2212">
        <v>2</v>
      </c>
      <c r="H2212" t="s">
        <v>569</v>
      </c>
      <c r="I2212" t="s">
        <v>570</v>
      </c>
      <c r="J2212" t="str">
        <f t="shared" si="102"/>
        <v>April</v>
      </c>
      <c r="K2212" t="str">
        <f t="shared" si="103"/>
        <v>Q2</v>
      </c>
      <c r="L2212">
        <f t="shared" si="104"/>
        <v>2025</v>
      </c>
    </row>
    <row r="2213" spans="1:12" x14ac:dyDescent="0.3">
      <c r="A2213" t="s">
        <v>3581</v>
      </c>
      <c r="B2213" t="s">
        <v>3580</v>
      </c>
      <c r="C2213" t="s">
        <v>92</v>
      </c>
      <c r="D2213">
        <v>2</v>
      </c>
      <c r="E2213" s="1">
        <v>45775</v>
      </c>
      <c r="F2213" t="s">
        <v>625</v>
      </c>
      <c r="G2213">
        <v>2</v>
      </c>
      <c r="H2213" t="s">
        <v>569</v>
      </c>
      <c r="I2213" t="s">
        <v>570</v>
      </c>
      <c r="J2213" t="str">
        <f t="shared" si="102"/>
        <v>April</v>
      </c>
      <c r="K2213" t="str">
        <f t="shared" si="103"/>
        <v>Q2</v>
      </c>
      <c r="L2213">
        <f t="shared" si="104"/>
        <v>2025</v>
      </c>
    </row>
    <row r="2214" spans="1:12" x14ac:dyDescent="0.3">
      <c r="A2214" t="s">
        <v>3582</v>
      </c>
      <c r="B2214" t="s">
        <v>3580</v>
      </c>
      <c r="C2214" t="s">
        <v>92</v>
      </c>
      <c r="D2214">
        <v>3</v>
      </c>
      <c r="E2214" s="1">
        <v>45782</v>
      </c>
      <c r="F2214" t="s">
        <v>612</v>
      </c>
      <c r="G2214">
        <v>1</v>
      </c>
      <c r="H2214" t="s">
        <v>569</v>
      </c>
      <c r="I2214" t="s">
        <v>570</v>
      </c>
      <c r="J2214" t="str">
        <f t="shared" si="102"/>
        <v>May</v>
      </c>
      <c r="K2214" t="str">
        <f t="shared" si="103"/>
        <v>Q2</v>
      </c>
      <c r="L2214">
        <f t="shared" si="104"/>
        <v>2025</v>
      </c>
    </row>
    <row r="2215" spans="1:12" x14ac:dyDescent="0.3">
      <c r="A2215" t="s">
        <v>3583</v>
      </c>
      <c r="B2215" t="s">
        <v>3580</v>
      </c>
      <c r="C2215" t="s">
        <v>92</v>
      </c>
      <c r="D2215">
        <v>4</v>
      </c>
      <c r="E2215" s="1">
        <v>45790</v>
      </c>
      <c r="F2215" t="s">
        <v>605</v>
      </c>
      <c r="G2215">
        <v>1</v>
      </c>
      <c r="H2215" t="s">
        <v>569</v>
      </c>
      <c r="I2215" t="s">
        <v>570</v>
      </c>
      <c r="J2215" t="str">
        <f t="shared" si="102"/>
        <v>May</v>
      </c>
      <c r="K2215" t="str">
        <f t="shared" si="103"/>
        <v>Q2</v>
      </c>
      <c r="L2215">
        <f t="shared" si="104"/>
        <v>2025</v>
      </c>
    </row>
    <row r="2216" spans="1:12" x14ac:dyDescent="0.3">
      <c r="A2216" t="s">
        <v>3584</v>
      </c>
      <c r="B2216" t="s">
        <v>3585</v>
      </c>
      <c r="C2216" t="s">
        <v>374</v>
      </c>
      <c r="D2216">
        <v>1</v>
      </c>
      <c r="E2216" s="1">
        <v>45747</v>
      </c>
      <c r="F2216" t="s">
        <v>625</v>
      </c>
      <c r="G2216">
        <v>3</v>
      </c>
      <c r="H2216" t="s">
        <v>578</v>
      </c>
      <c r="I2216" t="s">
        <v>570</v>
      </c>
      <c r="J2216" t="str">
        <f t="shared" si="102"/>
        <v>March</v>
      </c>
      <c r="K2216" t="str">
        <f t="shared" si="103"/>
        <v>Q1</v>
      </c>
      <c r="L2216">
        <f t="shared" si="104"/>
        <v>2025</v>
      </c>
    </row>
    <row r="2217" spans="1:12" x14ac:dyDescent="0.3">
      <c r="A2217" t="s">
        <v>3586</v>
      </c>
      <c r="B2217" t="s">
        <v>3587</v>
      </c>
      <c r="C2217" t="s">
        <v>340</v>
      </c>
      <c r="D2217">
        <v>1</v>
      </c>
      <c r="E2217" s="1">
        <v>45687</v>
      </c>
      <c r="F2217" t="s">
        <v>741</v>
      </c>
      <c r="G2217">
        <v>4</v>
      </c>
      <c r="H2217" t="s">
        <v>581</v>
      </c>
      <c r="I2217" t="s">
        <v>608</v>
      </c>
      <c r="J2217" t="str">
        <f t="shared" si="102"/>
        <v>January</v>
      </c>
      <c r="K2217" t="str">
        <f t="shared" si="103"/>
        <v>Q1</v>
      </c>
      <c r="L2217">
        <f t="shared" si="104"/>
        <v>2025</v>
      </c>
    </row>
    <row r="2218" spans="1:12" x14ac:dyDescent="0.3">
      <c r="A2218" t="s">
        <v>3588</v>
      </c>
      <c r="B2218" t="s">
        <v>3589</v>
      </c>
      <c r="C2218" t="s">
        <v>191</v>
      </c>
      <c r="D2218">
        <v>1</v>
      </c>
      <c r="E2218" s="1">
        <v>45666</v>
      </c>
      <c r="F2218" t="s">
        <v>600</v>
      </c>
      <c r="G2218">
        <v>2</v>
      </c>
      <c r="H2218" t="s">
        <v>569</v>
      </c>
      <c r="I2218" t="s">
        <v>570</v>
      </c>
      <c r="J2218" t="str">
        <f t="shared" si="102"/>
        <v>January</v>
      </c>
      <c r="K2218" t="str">
        <f t="shared" si="103"/>
        <v>Q1</v>
      </c>
      <c r="L2218">
        <f t="shared" si="104"/>
        <v>2025</v>
      </c>
    </row>
    <row r="2219" spans="1:12" x14ac:dyDescent="0.3">
      <c r="A2219" t="s">
        <v>3590</v>
      </c>
      <c r="B2219" t="s">
        <v>3589</v>
      </c>
      <c r="C2219" t="s">
        <v>191</v>
      </c>
      <c r="D2219">
        <v>2</v>
      </c>
      <c r="E2219" s="1">
        <v>45677</v>
      </c>
      <c r="F2219" t="s">
        <v>577</v>
      </c>
      <c r="G2219">
        <v>1</v>
      </c>
      <c r="H2219" t="s">
        <v>569</v>
      </c>
      <c r="I2219" t="s">
        <v>570</v>
      </c>
      <c r="J2219" t="str">
        <f t="shared" si="102"/>
        <v>January</v>
      </c>
      <c r="K2219" t="str">
        <f t="shared" si="103"/>
        <v>Q1</v>
      </c>
      <c r="L2219">
        <f t="shared" si="104"/>
        <v>2025</v>
      </c>
    </row>
    <row r="2220" spans="1:12" x14ac:dyDescent="0.3">
      <c r="A2220" t="s">
        <v>3591</v>
      </c>
      <c r="B2220" t="s">
        <v>3592</v>
      </c>
      <c r="C2220" t="s">
        <v>78</v>
      </c>
      <c r="D2220">
        <v>1</v>
      </c>
      <c r="E2220" s="1">
        <v>45908</v>
      </c>
      <c r="F2220" t="s">
        <v>572</v>
      </c>
      <c r="G2220">
        <v>2</v>
      </c>
      <c r="H2220" t="s">
        <v>569</v>
      </c>
      <c r="I2220" t="s">
        <v>608</v>
      </c>
      <c r="J2220" t="str">
        <f t="shared" si="102"/>
        <v>September</v>
      </c>
      <c r="K2220" t="str">
        <f t="shared" si="103"/>
        <v>Q3</v>
      </c>
      <c r="L2220">
        <f t="shared" si="104"/>
        <v>2025</v>
      </c>
    </row>
    <row r="2221" spans="1:12" x14ac:dyDescent="0.3">
      <c r="A2221" t="s">
        <v>3593</v>
      </c>
      <c r="B2221" t="s">
        <v>3592</v>
      </c>
      <c r="C2221" t="s">
        <v>78</v>
      </c>
      <c r="D2221">
        <v>2</v>
      </c>
      <c r="E2221" s="1">
        <v>45914</v>
      </c>
      <c r="F2221" t="s">
        <v>596</v>
      </c>
      <c r="G2221">
        <v>1</v>
      </c>
      <c r="H2221" t="s">
        <v>569</v>
      </c>
      <c r="I2221" t="s">
        <v>570</v>
      </c>
      <c r="J2221" t="str">
        <f t="shared" si="102"/>
        <v>September</v>
      </c>
      <c r="K2221" t="str">
        <f t="shared" si="103"/>
        <v>Q3</v>
      </c>
      <c r="L2221">
        <f t="shared" si="104"/>
        <v>2025</v>
      </c>
    </row>
    <row r="2222" spans="1:12" x14ac:dyDescent="0.3">
      <c r="A2222" t="s">
        <v>3594</v>
      </c>
      <c r="B2222" t="s">
        <v>3595</v>
      </c>
      <c r="C2222" t="s">
        <v>244</v>
      </c>
      <c r="D2222">
        <v>1</v>
      </c>
      <c r="E2222" s="1">
        <v>45677</v>
      </c>
      <c r="F2222" t="s">
        <v>568</v>
      </c>
      <c r="G2222">
        <v>2</v>
      </c>
      <c r="H2222" t="s">
        <v>569</v>
      </c>
      <c r="I2222" t="s">
        <v>570</v>
      </c>
      <c r="J2222" t="str">
        <f t="shared" si="102"/>
        <v>January</v>
      </c>
      <c r="K2222" t="str">
        <f t="shared" si="103"/>
        <v>Q1</v>
      </c>
      <c r="L2222">
        <f t="shared" si="104"/>
        <v>2025</v>
      </c>
    </row>
    <row r="2223" spans="1:12" x14ac:dyDescent="0.3">
      <c r="A2223" t="s">
        <v>3596</v>
      </c>
      <c r="B2223" t="s">
        <v>3595</v>
      </c>
      <c r="C2223" t="s">
        <v>244</v>
      </c>
      <c r="D2223">
        <v>2</v>
      </c>
      <c r="E2223" s="1">
        <v>45681</v>
      </c>
      <c r="F2223" t="s">
        <v>586</v>
      </c>
      <c r="G2223">
        <v>3</v>
      </c>
      <c r="H2223" t="s">
        <v>578</v>
      </c>
      <c r="I2223" t="s">
        <v>570</v>
      </c>
      <c r="J2223" t="str">
        <f t="shared" si="102"/>
        <v>January</v>
      </c>
      <c r="K2223" t="str">
        <f t="shared" si="103"/>
        <v>Q1</v>
      </c>
      <c r="L2223">
        <f t="shared" si="104"/>
        <v>2025</v>
      </c>
    </row>
    <row r="2224" spans="1:12" x14ac:dyDescent="0.3">
      <c r="A2224" t="s">
        <v>3597</v>
      </c>
      <c r="B2224" t="s">
        <v>3595</v>
      </c>
      <c r="C2224" t="s">
        <v>244</v>
      </c>
      <c r="D2224">
        <v>3</v>
      </c>
      <c r="E2224" s="1">
        <v>45693</v>
      </c>
      <c r="F2224" t="s">
        <v>663</v>
      </c>
      <c r="G2224">
        <v>1</v>
      </c>
      <c r="H2224" t="s">
        <v>569</v>
      </c>
      <c r="I2224" t="s">
        <v>570</v>
      </c>
      <c r="J2224" t="str">
        <f t="shared" si="102"/>
        <v>February</v>
      </c>
      <c r="K2224" t="str">
        <f t="shared" si="103"/>
        <v>Q1</v>
      </c>
      <c r="L2224">
        <f t="shared" si="104"/>
        <v>2025</v>
      </c>
    </row>
    <row r="2225" spans="1:12" x14ac:dyDescent="0.3">
      <c r="A2225" t="s">
        <v>3598</v>
      </c>
      <c r="B2225" t="s">
        <v>3599</v>
      </c>
      <c r="C2225" t="s">
        <v>156</v>
      </c>
      <c r="D2225">
        <v>1</v>
      </c>
      <c r="E2225" s="1">
        <v>45727</v>
      </c>
      <c r="F2225" t="s">
        <v>580</v>
      </c>
      <c r="G2225">
        <v>3</v>
      </c>
      <c r="H2225" t="s">
        <v>578</v>
      </c>
      <c r="I2225" t="s">
        <v>570</v>
      </c>
      <c r="J2225" t="str">
        <f t="shared" si="102"/>
        <v>March</v>
      </c>
      <c r="K2225" t="str">
        <f t="shared" si="103"/>
        <v>Q1</v>
      </c>
      <c r="L2225">
        <f t="shared" si="104"/>
        <v>2025</v>
      </c>
    </row>
    <row r="2226" spans="1:12" x14ac:dyDescent="0.3">
      <c r="A2226" t="s">
        <v>3600</v>
      </c>
      <c r="B2226" t="s">
        <v>3599</v>
      </c>
      <c r="C2226" t="s">
        <v>156</v>
      </c>
      <c r="D2226">
        <v>2</v>
      </c>
      <c r="E2226" s="1">
        <v>45733</v>
      </c>
      <c r="F2226" t="s">
        <v>638</v>
      </c>
      <c r="G2226">
        <v>1</v>
      </c>
      <c r="H2226" t="s">
        <v>569</v>
      </c>
      <c r="I2226" t="s">
        <v>570</v>
      </c>
      <c r="J2226" t="str">
        <f t="shared" si="102"/>
        <v>March</v>
      </c>
      <c r="K2226" t="str">
        <f t="shared" si="103"/>
        <v>Q1</v>
      </c>
      <c r="L2226">
        <f t="shared" si="104"/>
        <v>2025</v>
      </c>
    </row>
    <row r="2227" spans="1:12" x14ac:dyDescent="0.3">
      <c r="A2227" t="s">
        <v>3601</v>
      </c>
      <c r="B2227" t="s">
        <v>3599</v>
      </c>
      <c r="C2227" t="s">
        <v>156</v>
      </c>
      <c r="D2227">
        <v>3</v>
      </c>
      <c r="E2227" s="1">
        <v>45745</v>
      </c>
      <c r="F2227" t="s">
        <v>592</v>
      </c>
      <c r="G2227">
        <v>1</v>
      </c>
      <c r="H2227" t="s">
        <v>569</v>
      </c>
      <c r="I2227" t="s">
        <v>570</v>
      </c>
      <c r="J2227" t="str">
        <f t="shared" si="102"/>
        <v>March</v>
      </c>
      <c r="K2227" t="str">
        <f t="shared" si="103"/>
        <v>Q1</v>
      </c>
      <c r="L2227">
        <f t="shared" si="104"/>
        <v>2025</v>
      </c>
    </row>
    <row r="2228" spans="1:12" x14ac:dyDescent="0.3">
      <c r="A2228" t="s">
        <v>3602</v>
      </c>
      <c r="B2228" t="s">
        <v>3603</v>
      </c>
      <c r="C2228" t="s">
        <v>298</v>
      </c>
      <c r="D2228">
        <v>1</v>
      </c>
      <c r="E2228" s="1">
        <v>45890</v>
      </c>
      <c r="F2228" t="s">
        <v>584</v>
      </c>
      <c r="G2228">
        <v>1</v>
      </c>
      <c r="H2228" t="s">
        <v>569</v>
      </c>
      <c r="I2228" t="s">
        <v>570</v>
      </c>
      <c r="J2228" t="str">
        <f t="shared" si="102"/>
        <v>August</v>
      </c>
      <c r="K2228" t="str">
        <f t="shared" si="103"/>
        <v>Q3</v>
      </c>
      <c r="L2228">
        <f t="shared" si="104"/>
        <v>2025</v>
      </c>
    </row>
    <row r="2229" spans="1:12" x14ac:dyDescent="0.3">
      <c r="A2229" t="s">
        <v>3604</v>
      </c>
      <c r="B2229" t="s">
        <v>3605</v>
      </c>
      <c r="C2229" t="s">
        <v>27</v>
      </c>
      <c r="D2229">
        <v>1</v>
      </c>
      <c r="E2229" s="1">
        <v>45883</v>
      </c>
      <c r="F2229" t="s">
        <v>766</v>
      </c>
      <c r="G2229">
        <v>3</v>
      </c>
      <c r="H2229" t="s">
        <v>578</v>
      </c>
      <c r="I2229" t="s">
        <v>570</v>
      </c>
      <c r="J2229" t="str">
        <f t="shared" si="102"/>
        <v>August</v>
      </c>
      <c r="K2229" t="str">
        <f t="shared" si="103"/>
        <v>Q3</v>
      </c>
      <c r="L2229">
        <f t="shared" si="104"/>
        <v>2025</v>
      </c>
    </row>
    <row r="2230" spans="1:12" x14ac:dyDescent="0.3">
      <c r="A2230" t="s">
        <v>3606</v>
      </c>
      <c r="B2230" t="s">
        <v>3605</v>
      </c>
      <c r="C2230" t="s">
        <v>27</v>
      </c>
      <c r="D2230">
        <v>2</v>
      </c>
      <c r="E2230" s="1">
        <v>45892</v>
      </c>
      <c r="F2230" t="s">
        <v>584</v>
      </c>
      <c r="G2230">
        <v>2</v>
      </c>
      <c r="H2230" t="s">
        <v>569</v>
      </c>
      <c r="I2230" t="s">
        <v>570</v>
      </c>
      <c r="J2230" t="str">
        <f t="shared" si="102"/>
        <v>August</v>
      </c>
      <c r="K2230" t="str">
        <f t="shared" si="103"/>
        <v>Q3</v>
      </c>
      <c r="L2230">
        <f t="shared" si="104"/>
        <v>2025</v>
      </c>
    </row>
    <row r="2231" spans="1:12" x14ac:dyDescent="0.3">
      <c r="A2231" t="s">
        <v>3607</v>
      </c>
      <c r="B2231" t="s">
        <v>3605</v>
      </c>
      <c r="C2231" t="s">
        <v>27</v>
      </c>
      <c r="D2231">
        <v>3</v>
      </c>
      <c r="E2231" s="1">
        <v>45897</v>
      </c>
      <c r="F2231" t="s">
        <v>629</v>
      </c>
      <c r="G2231">
        <v>3</v>
      </c>
      <c r="H2231" t="s">
        <v>578</v>
      </c>
      <c r="I2231" t="s">
        <v>570</v>
      </c>
      <c r="J2231" t="str">
        <f t="shared" si="102"/>
        <v>August</v>
      </c>
      <c r="K2231" t="str">
        <f t="shared" si="103"/>
        <v>Q3</v>
      </c>
      <c r="L2231">
        <f t="shared" si="104"/>
        <v>2025</v>
      </c>
    </row>
    <row r="2232" spans="1:12" x14ac:dyDescent="0.3">
      <c r="A2232" t="s">
        <v>3608</v>
      </c>
      <c r="B2232" t="s">
        <v>3609</v>
      </c>
      <c r="C2232" t="s">
        <v>45</v>
      </c>
      <c r="D2232">
        <v>1</v>
      </c>
      <c r="E2232" s="1">
        <v>45860</v>
      </c>
      <c r="F2232" t="s">
        <v>766</v>
      </c>
      <c r="G2232">
        <v>2</v>
      </c>
      <c r="H2232" t="s">
        <v>569</v>
      </c>
      <c r="I2232" t="s">
        <v>597</v>
      </c>
      <c r="J2232" t="str">
        <f t="shared" si="102"/>
        <v>July</v>
      </c>
      <c r="K2232" t="str">
        <f t="shared" si="103"/>
        <v>Q3</v>
      </c>
      <c r="L2232">
        <f t="shared" si="104"/>
        <v>2025</v>
      </c>
    </row>
    <row r="2233" spans="1:12" x14ac:dyDescent="0.3">
      <c r="A2233" t="s">
        <v>3610</v>
      </c>
      <c r="B2233" t="s">
        <v>3609</v>
      </c>
      <c r="C2233" t="s">
        <v>45</v>
      </c>
      <c r="D2233">
        <v>2</v>
      </c>
      <c r="E2233" s="1">
        <v>45865</v>
      </c>
      <c r="F2233" t="s">
        <v>766</v>
      </c>
      <c r="G2233">
        <v>1</v>
      </c>
      <c r="H2233" t="s">
        <v>569</v>
      </c>
      <c r="I2233" t="s">
        <v>570</v>
      </c>
      <c r="J2233" t="str">
        <f t="shared" si="102"/>
        <v>July</v>
      </c>
      <c r="K2233" t="str">
        <f t="shared" si="103"/>
        <v>Q3</v>
      </c>
      <c r="L2233">
        <f t="shared" si="104"/>
        <v>2025</v>
      </c>
    </row>
    <row r="2234" spans="1:12" x14ac:dyDescent="0.3">
      <c r="A2234" t="s">
        <v>3611</v>
      </c>
      <c r="B2234" t="s">
        <v>3609</v>
      </c>
      <c r="C2234" t="s">
        <v>45</v>
      </c>
      <c r="D2234">
        <v>3</v>
      </c>
      <c r="E2234" s="1">
        <v>45876</v>
      </c>
      <c r="F2234" t="s">
        <v>580</v>
      </c>
      <c r="G2234">
        <v>2</v>
      </c>
      <c r="H2234" t="s">
        <v>569</v>
      </c>
      <c r="I2234" t="s">
        <v>597</v>
      </c>
      <c r="J2234" t="str">
        <f t="shared" si="102"/>
        <v>August</v>
      </c>
      <c r="K2234" t="str">
        <f t="shared" si="103"/>
        <v>Q3</v>
      </c>
      <c r="L2234">
        <f t="shared" si="104"/>
        <v>2025</v>
      </c>
    </row>
    <row r="2235" spans="1:12" x14ac:dyDescent="0.3">
      <c r="A2235" t="s">
        <v>3612</v>
      </c>
      <c r="B2235" t="s">
        <v>3609</v>
      </c>
      <c r="C2235" t="s">
        <v>45</v>
      </c>
      <c r="D2235">
        <v>4</v>
      </c>
      <c r="E2235" s="1">
        <v>45882</v>
      </c>
      <c r="F2235" t="s">
        <v>592</v>
      </c>
      <c r="G2235">
        <v>1</v>
      </c>
      <c r="H2235" t="s">
        <v>569</v>
      </c>
      <c r="I2235" t="s">
        <v>570</v>
      </c>
      <c r="J2235" t="str">
        <f t="shared" si="102"/>
        <v>August</v>
      </c>
      <c r="K2235" t="str">
        <f t="shared" si="103"/>
        <v>Q3</v>
      </c>
      <c r="L2235">
        <f t="shared" si="104"/>
        <v>2025</v>
      </c>
    </row>
    <row r="2236" spans="1:12" x14ac:dyDescent="0.3">
      <c r="A2236" t="s">
        <v>3613</v>
      </c>
      <c r="B2236" t="s">
        <v>3614</v>
      </c>
      <c r="C2236" t="s">
        <v>195</v>
      </c>
      <c r="D2236">
        <v>1</v>
      </c>
      <c r="E2236" s="1">
        <v>45847</v>
      </c>
      <c r="F2236" t="s">
        <v>592</v>
      </c>
      <c r="G2236">
        <v>4</v>
      </c>
      <c r="H2236" t="s">
        <v>581</v>
      </c>
      <c r="I2236" t="s">
        <v>570</v>
      </c>
      <c r="J2236" t="str">
        <f t="shared" si="102"/>
        <v>July</v>
      </c>
      <c r="K2236" t="str">
        <f t="shared" si="103"/>
        <v>Q3</v>
      </c>
      <c r="L2236">
        <f t="shared" si="104"/>
        <v>2025</v>
      </c>
    </row>
    <row r="2237" spans="1:12" x14ac:dyDescent="0.3">
      <c r="A2237" t="s">
        <v>3615</v>
      </c>
      <c r="B2237" t="s">
        <v>3614</v>
      </c>
      <c r="C2237" t="s">
        <v>195</v>
      </c>
      <c r="D2237">
        <v>2</v>
      </c>
      <c r="E2237" s="1">
        <v>45856</v>
      </c>
      <c r="F2237" t="s">
        <v>584</v>
      </c>
      <c r="G2237">
        <v>4</v>
      </c>
      <c r="H2237" t="s">
        <v>581</v>
      </c>
      <c r="I2237" t="s">
        <v>570</v>
      </c>
      <c r="J2237" t="str">
        <f t="shared" si="102"/>
        <v>July</v>
      </c>
      <c r="K2237" t="str">
        <f t="shared" si="103"/>
        <v>Q3</v>
      </c>
      <c r="L2237">
        <f t="shared" si="104"/>
        <v>2025</v>
      </c>
    </row>
    <row r="2238" spans="1:12" x14ac:dyDescent="0.3">
      <c r="A2238" t="s">
        <v>3616</v>
      </c>
      <c r="B2238" t="s">
        <v>3617</v>
      </c>
      <c r="C2238" t="s">
        <v>45</v>
      </c>
      <c r="D2238">
        <v>1</v>
      </c>
      <c r="E2238" s="1">
        <v>45854</v>
      </c>
      <c r="F2238" t="s">
        <v>590</v>
      </c>
      <c r="G2238">
        <v>2</v>
      </c>
      <c r="H2238" t="s">
        <v>569</v>
      </c>
      <c r="I2238" t="s">
        <v>570</v>
      </c>
      <c r="J2238" t="str">
        <f t="shared" si="102"/>
        <v>July</v>
      </c>
      <c r="K2238" t="str">
        <f t="shared" si="103"/>
        <v>Q3</v>
      </c>
      <c r="L2238">
        <f t="shared" si="104"/>
        <v>2025</v>
      </c>
    </row>
    <row r="2239" spans="1:12" x14ac:dyDescent="0.3">
      <c r="A2239" t="s">
        <v>3618</v>
      </c>
      <c r="B2239" t="s">
        <v>3617</v>
      </c>
      <c r="C2239" t="s">
        <v>45</v>
      </c>
      <c r="D2239">
        <v>2</v>
      </c>
      <c r="E2239" s="1">
        <v>45860</v>
      </c>
      <c r="F2239" t="s">
        <v>741</v>
      </c>
      <c r="G2239">
        <v>2</v>
      </c>
      <c r="H2239" t="s">
        <v>569</v>
      </c>
      <c r="I2239" t="s">
        <v>570</v>
      </c>
      <c r="J2239" t="str">
        <f t="shared" si="102"/>
        <v>July</v>
      </c>
      <c r="K2239" t="str">
        <f t="shared" si="103"/>
        <v>Q3</v>
      </c>
      <c r="L2239">
        <f t="shared" si="104"/>
        <v>2025</v>
      </c>
    </row>
    <row r="2240" spans="1:12" x14ac:dyDescent="0.3">
      <c r="A2240" t="s">
        <v>3619</v>
      </c>
      <c r="B2240" t="s">
        <v>3617</v>
      </c>
      <c r="C2240" t="s">
        <v>45</v>
      </c>
      <c r="D2240">
        <v>3</v>
      </c>
      <c r="E2240" s="1">
        <v>45869</v>
      </c>
      <c r="F2240" t="s">
        <v>580</v>
      </c>
      <c r="G2240">
        <v>1</v>
      </c>
      <c r="H2240" t="s">
        <v>569</v>
      </c>
      <c r="I2240" t="s">
        <v>570</v>
      </c>
      <c r="J2240" t="str">
        <f t="shared" si="102"/>
        <v>July</v>
      </c>
      <c r="K2240" t="str">
        <f t="shared" si="103"/>
        <v>Q3</v>
      </c>
      <c r="L2240">
        <f t="shared" si="104"/>
        <v>2025</v>
      </c>
    </row>
    <row r="2241" spans="1:12" x14ac:dyDescent="0.3">
      <c r="A2241" t="s">
        <v>3620</v>
      </c>
      <c r="B2241" t="s">
        <v>219</v>
      </c>
      <c r="C2241" t="s">
        <v>10</v>
      </c>
      <c r="D2241">
        <v>1</v>
      </c>
      <c r="E2241" s="1">
        <v>45923</v>
      </c>
      <c r="F2241" t="s">
        <v>572</v>
      </c>
      <c r="G2241">
        <v>4</v>
      </c>
      <c r="H2241" t="s">
        <v>581</v>
      </c>
      <c r="I2241" t="s">
        <v>597</v>
      </c>
      <c r="J2241" t="str">
        <f t="shared" si="102"/>
        <v>September</v>
      </c>
      <c r="K2241" t="str">
        <f t="shared" si="103"/>
        <v>Q3</v>
      </c>
      <c r="L2241">
        <f t="shared" si="104"/>
        <v>2025</v>
      </c>
    </row>
    <row r="2242" spans="1:12" x14ac:dyDescent="0.3">
      <c r="A2242" t="s">
        <v>3621</v>
      </c>
      <c r="B2242" t="s">
        <v>219</v>
      </c>
      <c r="C2242" t="s">
        <v>10</v>
      </c>
      <c r="D2242">
        <v>2</v>
      </c>
      <c r="E2242" s="1">
        <v>45933</v>
      </c>
      <c r="F2242" t="s">
        <v>596</v>
      </c>
      <c r="G2242">
        <v>5</v>
      </c>
      <c r="H2242" t="s">
        <v>581</v>
      </c>
      <c r="I2242" t="s">
        <v>597</v>
      </c>
      <c r="J2242" t="str">
        <f t="shared" ref="J2242:J2305" si="105">TEXT(E2242,"mmmm")</f>
        <v>October</v>
      </c>
      <c r="K2242" t="str">
        <f t="shared" ref="K2242:K2305" si="106">"Q"&amp;ROUNDUP(MONTH(E2242)/3,0)</f>
        <v>Q4</v>
      </c>
      <c r="L2242">
        <f t="shared" ref="L2242:L2305" si="107">YEAR(E2242)</f>
        <v>2025</v>
      </c>
    </row>
    <row r="2243" spans="1:12" x14ac:dyDescent="0.3">
      <c r="A2243" t="s">
        <v>3622</v>
      </c>
      <c r="B2243" t="s">
        <v>219</v>
      </c>
      <c r="C2243" t="s">
        <v>10</v>
      </c>
      <c r="D2243">
        <v>3</v>
      </c>
      <c r="E2243" s="1">
        <v>45941</v>
      </c>
      <c r="F2243" t="s">
        <v>572</v>
      </c>
      <c r="G2243">
        <v>4</v>
      </c>
      <c r="H2243" t="s">
        <v>581</v>
      </c>
      <c r="I2243" t="s">
        <v>570</v>
      </c>
      <c r="J2243" t="str">
        <f t="shared" si="105"/>
        <v>October</v>
      </c>
      <c r="K2243" t="str">
        <f t="shared" si="106"/>
        <v>Q4</v>
      </c>
      <c r="L2243">
        <f t="shared" si="107"/>
        <v>2025</v>
      </c>
    </row>
    <row r="2244" spans="1:12" x14ac:dyDescent="0.3">
      <c r="A2244" t="s">
        <v>3623</v>
      </c>
      <c r="B2244" t="s">
        <v>3624</v>
      </c>
      <c r="C2244" t="s">
        <v>58</v>
      </c>
      <c r="D2244">
        <v>1</v>
      </c>
      <c r="E2244" s="1">
        <v>45819</v>
      </c>
      <c r="F2244" t="s">
        <v>625</v>
      </c>
      <c r="G2244">
        <v>3</v>
      </c>
      <c r="H2244" t="s">
        <v>578</v>
      </c>
      <c r="I2244" t="s">
        <v>570</v>
      </c>
      <c r="J2244" t="str">
        <f t="shared" si="105"/>
        <v>June</v>
      </c>
      <c r="K2244" t="str">
        <f t="shared" si="106"/>
        <v>Q2</v>
      </c>
      <c r="L2244">
        <f t="shared" si="107"/>
        <v>2025</v>
      </c>
    </row>
    <row r="2245" spans="1:12" x14ac:dyDescent="0.3">
      <c r="A2245" t="s">
        <v>3625</v>
      </c>
      <c r="B2245" t="s">
        <v>3624</v>
      </c>
      <c r="C2245" t="s">
        <v>58</v>
      </c>
      <c r="D2245">
        <v>2</v>
      </c>
      <c r="E2245" s="1">
        <v>45823</v>
      </c>
      <c r="F2245" t="s">
        <v>612</v>
      </c>
      <c r="G2245">
        <v>4</v>
      </c>
      <c r="H2245" t="s">
        <v>581</v>
      </c>
      <c r="I2245" t="s">
        <v>570</v>
      </c>
      <c r="J2245" t="str">
        <f t="shared" si="105"/>
        <v>June</v>
      </c>
      <c r="K2245" t="str">
        <f t="shared" si="106"/>
        <v>Q2</v>
      </c>
      <c r="L2245">
        <f t="shared" si="107"/>
        <v>2025</v>
      </c>
    </row>
    <row r="2246" spans="1:12" x14ac:dyDescent="0.3">
      <c r="A2246" t="s">
        <v>3626</v>
      </c>
      <c r="B2246" t="s">
        <v>3627</v>
      </c>
      <c r="C2246" t="s">
        <v>41</v>
      </c>
      <c r="D2246">
        <v>1</v>
      </c>
      <c r="E2246" s="1">
        <v>45820</v>
      </c>
      <c r="F2246" t="s">
        <v>612</v>
      </c>
      <c r="G2246">
        <v>1</v>
      </c>
      <c r="H2246" t="s">
        <v>569</v>
      </c>
      <c r="I2246" t="s">
        <v>570</v>
      </c>
      <c r="J2246" t="str">
        <f t="shared" si="105"/>
        <v>June</v>
      </c>
      <c r="K2246" t="str">
        <f t="shared" si="106"/>
        <v>Q2</v>
      </c>
      <c r="L2246">
        <f t="shared" si="107"/>
        <v>2025</v>
      </c>
    </row>
    <row r="2247" spans="1:12" x14ac:dyDescent="0.3">
      <c r="A2247" t="s">
        <v>3628</v>
      </c>
      <c r="B2247" t="s">
        <v>3627</v>
      </c>
      <c r="C2247" t="s">
        <v>41</v>
      </c>
      <c r="D2247">
        <v>2</v>
      </c>
      <c r="E2247" s="1">
        <v>45829</v>
      </c>
      <c r="F2247" t="s">
        <v>572</v>
      </c>
      <c r="G2247">
        <v>1</v>
      </c>
      <c r="H2247" t="s">
        <v>569</v>
      </c>
      <c r="I2247" t="s">
        <v>570</v>
      </c>
      <c r="J2247" t="str">
        <f t="shared" si="105"/>
        <v>June</v>
      </c>
      <c r="K2247" t="str">
        <f t="shared" si="106"/>
        <v>Q2</v>
      </c>
      <c r="L2247">
        <f t="shared" si="107"/>
        <v>2025</v>
      </c>
    </row>
    <row r="2248" spans="1:12" x14ac:dyDescent="0.3">
      <c r="A2248" t="s">
        <v>3629</v>
      </c>
      <c r="B2248" t="s">
        <v>3627</v>
      </c>
      <c r="C2248" t="s">
        <v>41</v>
      </c>
      <c r="D2248">
        <v>3</v>
      </c>
      <c r="E2248" s="1">
        <v>45835</v>
      </c>
      <c r="F2248" t="s">
        <v>577</v>
      </c>
      <c r="G2248">
        <v>2</v>
      </c>
      <c r="H2248" t="s">
        <v>569</v>
      </c>
      <c r="I2248" t="s">
        <v>570</v>
      </c>
      <c r="J2248" t="str">
        <f t="shared" si="105"/>
        <v>June</v>
      </c>
      <c r="K2248" t="str">
        <f t="shared" si="106"/>
        <v>Q2</v>
      </c>
      <c r="L2248">
        <f t="shared" si="107"/>
        <v>2025</v>
      </c>
    </row>
    <row r="2249" spans="1:12" x14ac:dyDescent="0.3">
      <c r="A2249" t="s">
        <v>3630</v>
      </c>
      <c r="B2249" t="s">
        <v>3627</v>
      </c>
      <c r="C2249" t="s">
        <v>41</v>
      </c>
      <c r="D2249">
        <v>4</v>
      </c>
      <c r="E2249" s="1">
        <v>45847</v>
      </c>
      <c r="F2249" t="s">
        <v>605</v>
      </c>
      <c r="G2249">
        <v>1</v>
      </c>
      <c r="H2249" t="s">
        <v>569</v>
      </c>
      <c r="I2249" t="s">
        <v>570</v>
      </c>
      <c r="J2249" t="str">
        <f t="shared" si="105"/>
        <v>July</v>
      </c>
      <c r="K2249" t="str">
        <f t="shared" si="106"/>
        <v>Q3</v>
      </c>
      <c r="L2249">
        <f t="shared" si="107"/>
        <v>2025</v>
      </c>
    </row>
    <row r="2250" spans="1:12" x14ac:dyDescent="0.3">
      <c r="A2250" t="s">
        <v>3631</v>
      </c>
      <c r="B2250" t="s">
        <v>3632</v>
      </c>
      <c r="C2250" t="s">
        <v>191</v>
      </c>
      <c r="D2250">
        <v>1</v>
      </c>
      <c r="E2250" s="1">
        <v>45673</v>
      </c>
      <c r="F2250" t="s">
        <v>600</v>
      </c>
      <c r="G2250">
        <v>2</v>
      </c>
      <c r="H2250" t="s">
        <v>569</v>
      </c>
      <c r="I2250" t="s">
        <v>570</v>
      </c>
      <c r="J2250" t="str">
        <f t="shared" si="105"/>
        <v>January</v>
      </c>
      <c r="K2250" t="str">
        <f t="shared" si="106"/>
        <v>Q1</v>
      </c>
      <c r="L2250">
        <f t="shared" si="107"/>
        <v>2025</v>
      </c>
    </row>
    <row r="2251" spans="1:12" x14ac:dyDescent="0.3">
      <c r="A2251" t="s">
        <v>3633</v>
      </c>
      <c r="B2251" t="s">
        <v>3634</v>
      </c>
      <c r="C2251" t="s">
        <v>195</v>
      </c>
      <c r="D2251">
        <v>1</v>
      </c>
      <c r="E2251" s="1">
        <v>45849</v>
      </c>
      <c r="F2251" t="s">
        <v>586</v>
      </c>
      <c r="G2251">
        <v>2</v>
      </c>
      <c r="H2251" t="s">
        <v>569</v>
      </c>
      <c r="I2251" t="s">
        <v>570</v>
      </c>
      <c r="J2251" t="str">
        <f t="shared" si="105"/>
        <v>July</v>
      </c>
      <c r="K2251" t="str">
        <f t="shared" si="106"/>
        <v>Q3</v>
      </c>
      <c r="L2251">
        <f t="shared" si="107"/>
        <v>2025</v>
      </c>
    </row>
    <row r="2252" spans="1:12" x14ac:dyDescent="0.3">
      <c r="A2252" t="s">
        <v>3635</v>
      </c>
      <c r="B2252" t="s">
        <v>3634</v>
      </c>
      <c r="C2252" t="s">
        <v>195</v>
      </c>
      <c r="D2252">
        <v>2</v>
      </c>
      <c r="E2252" s="1">
        <v>45856</v>
      </c>
      <c r="F2252" t="s">
        <v>584</v>
      </c>
      <c r="G2252">
        <v>3</v>
      </c>
      <c r="H2252" t="s">
        <v>578</v>
      </c>
      <c r="I2252" t="s">
        <v>570</v>
      </c>
      <c r="J2252" t="str">
        <f t="shared" si="105"/>
        <v>July</v>
      </c>
      <c r="K2252" t="str">
        <f t="shared" si="106"/>
        <v>Q3</v>
      </c>
      <c r="L2252">
        <f t="shared" si="107"/>
        <v>2025</v>
      </c>
    </row>
    <row r="2253" spans="1:12" x14ac:dyDescent="0.3">
      <c r="A2253" t="s">
        <v>3636</v>
      </c>
      <c r="B2253" t="s">
        <v>3637</v>
      </c>
      <c r="C2253" t="s">
        <v>251</v>
      </c>
      <c r="D2253">
        <v>1</v>
      </c>
      <c r="E2253" s="1">
        <v>45815</v>
      </c>
      <c r="F2253" t="s">
        <v>629</v>
      </c>
      <c r="G2253">
        <v>4</v>
      </c>
      <c r="H2253" t="s">
        <v>581</v>
      </c>
      <c r="I2253" t="s">
        <v>597</v>
      </c>
      <c r="J2253" t="str">
        <f t="shared" si="105"/>
        <v>June</v>
      </c>
      <c r="K2253" t="str">
        <f t="shared" si="106"/>
        <v>Q2</v>
      </c>
      <c r="L2253">
        <f t="shared" si="107"/>
        <v>2025</v>
      </c>
    </row>
    <row r="2254" spans="1:12" x14ac:dyDescent="0.3">
      <c r="A2254" t="s">
        <v>3638</v>
      </c>
      <c r="B2254" t="s">
        <v>3637</v>
      </c>
      <c r="C2254" t="s">
        <v>251</v>
      </c>
      <c r="D2254">
        <v>2</v>
      </c>
      <c r="E2254" s="1">
        <v>45820</v>
      </c>
      <c r="F2254" t="s">
        <v>584</v>
      </c>
      <c r="G2254">
        <v>4</v>
      </c>
      <c r="H2254" t="s">
        <v>581</v>
      </c>
      <c r="I2254" t="s">
        <v>570</v>
      </c>
      <c r="J2254" t="str">
        <f t="shared" si="105"/>
        <v>June</v>
      </c>
      <c r="K2254" t="str">
        <f t="shared" si="106"/>
        <v>Q2</v>
      </c>
      <c r="L2254">
        <f t="shared" si="107"/>
        <v>2025</v>
      </c>
    </row>
    <row r="2255" spans="1:12" x14ac:dyDescent="0.3">
      <c r="A2255" t="s">
        <v>3639</v>
      </c>
      <c r="B2255" t="s">
        <v>3637</v>
      </c>
      <c r="C2255" t="s">
        <v>251</v>
      </c>
      <c r="D2255">
        <v>3</v>
      </c>
      <c r="E2255" s="1">
        <v>45830</v>
      </c>
      <c r="F2255" t="s">
        <v>632</v>
      </c>
      <c r="G2255">
        <v>4</v>
      </c>
      <c r="H2255" t="s">
        <v>581</v>
      </c>
      <c r="I2255" t="s">
        <v>570</v>
      </c>
      <c r="J2255" t="str">
        <f t="shared" si="105"/>
        <v>June</v>
      </c>
      <c r="K2255" t="str">
        <f t="shared" si="106"/>
        <v>Q2</v>
      </c>
      <c r="L2255">
        <f t="shared" si="107"/>
        <v>2025</v>
      </c>
    </row>
    <row r="2256" spans="1:12" x14ac:dyDescent="0.3">
      <c r="A2256" t="s">
        <v>3640</v>
      </c>
      <c r="B2256" t="s">
        <v>3637</v>
      </c>
      <c r="C2256" t="s">
        <v>251</v>
      </c>
      <c r="D2256">
        <v>4</v>
      </c>
      <c r="E2256" s="1">
        <v>45840</v>
      </c>
      <c r="G2256">
        <v>4</v>
      </c>
      <c r="H2256" t="s">
        <v>581</v>
      </c>
      <c r="I2256" t="s">
        <v>608</v>
      </c>
      <c r="J2256" t="str">
        <f t="shared" si="105"/>
        <v>July</v>
      </c>
      <c r="K2256" t="str">
        <f t="shared" si="106"/>
        <v>Q3</v>
      </c>
      <c r="L2256">
        <f t="shared" si="107"/>
        <v>2025</v>
      </c>
    </row>
    <row r="2257" spans="1:12" x14ac:dyDescent="0.3">
      <c r="A2257" t="s">
        <v>3641</v>
      </c>
      <c r="B2257" t="s">
        <v>3642</v>
      </c>
      <c r="C2257" t="s">
        <v>429</v>
      </c>
      <c r="D2257">
        <v>1</v>
      </c>
      <c r="E2257" s="1">
        <v>45764</v>
      </c>
      <c r="F2257" t="s">
        <v>766</v>
      </c>
      <c r="G2257">
        <v>1</v>
      </c>
      <c r="H2257" t="s">
        <v>569</v>
      </c>
      <c r="I2257" t="s">
        <v>570</v>
      </c>
      <c r="J2257" t="str">
        <f t="shared" si="105"/>
        <v>April</v>
      </c>
      <c r="K2257" t="str">
        <f t="shared" si="106"/>
        <v>Q2</v>
      </c>
      <c r="L2257">
        <f t="shared" si="107"/>
        <v>2025</v>
      </c>
    </row>
    <row r="2258" spans="1:12" x14ac:dyDescent="0.3">
      <c r="A2258" t="s">
        <v>3643</v>
      </c>
      <c r="B2258" t="s">
        <v>3642</v>
      </c>
      <c r="C2258" t="s">
        <v>429</v>
      </c>
      <c r="D2258">
        <v>2</v>
      </c>
      <c r="E2258" s="1">
        <v>45774</v>
      </c>
      <c r="F2258" t="s">
        <v>766</v>
      </c>
      <c r="G2258">
        <v>2</v>
      </c>
      <c r="H2258" t="s">
        <v>569</v>
      </c>
      <c r="I2258" t="s">
        <v>597</v>
      </c>
      <c r="J2258" t="str">
        <f t="shared" si="105"/>
        <v>April</v>
      </c>
      <c r="K2258" t="str">
        <f t="shared" si="106"/>
        <v>Q2</v>
      </c>
      <c r="L2258">
        <f t="shared" si="107"/>
        <v>2025</v>
      </c>
    </row>
    <row r="2259" spans="1:12" x14ac:dyDescent="0.3">
      <c r="A2259" t="s">
        <v>3644</v>
      </c>
      <c r="B2259" t="s">
        <v>283</v>
      </c>
      <c r="C2259" t="s">
        <v>62</v>
      </c>
      <c r="D2259">
        <v>1</v>
      </c>
      <c r="E2259" s="1">
        <v>45697</v>
      </c>
      <c r="F2259" t="s">
        <v>603</v>
      </c>
      <c r="G2259">
        <v>4</v>
      </c>
      <c r="H2259" t="s">
        <v>581</v>
      </c>
      <c r="I2259" t="s">
        <v>570</v>
      </c>
      <c r="J2259" t="str">
        <f t="shared" si="105"/>
        <v>February</v>
      </c>
      <c r="K2259" t="str">
        <f t="shared" si="106"/>
        <v>Q1</v>
      </c>
      <c r="L2259">
        <f t="shared" si="107"/>
        <v>2025</v>
      </c>
    </row>
    <row r="2260" spans="1:12" x14ac:dyDescent="0.3">
      <c r="A2260" t="s">
        <v>3645</v>
      </c>
      <c r="B2260" t="s">
        <v>283</v>
      </c>
      <c r="C2260" t="s">
        <v>62</v>
      </c>
      <c r="D2260">
        <v>2</v>
      </c>
      <c r="E2260" s="1">
        <v>45705</v>
      </c>
      <c r="G2260">
        <v>5</v>
      </c>
      <c r="H2260" t="s">
        <v>581</v>
      </c>
      <c r="I2260" t="s">
        <v>570</v>
      </c>
      <c r="J2260" t="str">
        <f t="shared" si="105"/>
        <v>February</v>
      </c>
      <c r="K2260" t="str">
        <f t="shared" si="106"/>
        <v>Q1</v>
      </c>
      <c r="L2260">
        <f t="shared" si="107"/>
        <v>2025</v>
      </c>
    </row>
    <row r="2261" spans="1:12" x14ac:dyDescent="0.3">
      <c r="A2261" t="s">
        <v>3646</v>
      </c>
      <c r="B2261" t="s">
        <v>283</v>
      </c>
      <c r="C2261" t="s">
        <v>62</v>
      </c>
      <c r="D2261">
        <v>3</v>
      </c>
      <c r="E2261" s="1">
        <v>45715</v>
      </c>
      <c r="F2261" t="s">
        <v>603</v>
      </c>
      <c r="G2261">
        <v>2</v>
      </c>
      <c r="H2261" t="s">
        <v>569</v>
      </c>
      <c r="I2261" t="s">
        <v>570</v>
      </c>
      <c r="J2261" t="str">
        <f t="shared" si="105"/>
        <v>February</v>
      </c>
      <c r="K2261" t="str">
        <f t="shared" si="106"/>
        <v>Q1</v>
      </c>
      <c r="L2261">
        <f t="shared" si="107"/>
        <v>2025</v>
      </c>
    </row>
    <row r="2262" spans="1:12" x14ac:dyDescent="0.3">
      <c r="A2262" t="s">
        <v>3647</v>
      </c>
      <c r="B2262" t="s">
        <v>283</v>
      </c>
      <c r="C2262" t="s">
        <v>62</v>
      </c>
      <c r="D2262">
        <v>4</v>
      </c>
      <c r="E2262" s="1">
        <v>45727</v>
      </c>
      <c r="F2262" t="s">
        <v>603</v>
      </c>
      <c r="G2262">
        <v>4</v>
      </c>
      <c r="H2262" t="s">
        <v>581</v>
      </c>
      <c r="I2262" t="s">
        <v>570</v>
      </c>
      <c r="J2262" t="str">
        <f t="shared" si="105"/>
        <v>March</v>
      </c>
      <c r="K2262" t="str">
        <f t="shared" si="106"/>
        <v>Q1</v>
      </c>
      <c r="L2262">
        <f t="shared" si="107"/>
        <v>2025</v>
      </c>
    </row>
    <row r="2263" spans="1:12" x14ac:dyDescent="0.3">
      <c r="A2263" t="s">
        <v>3648</v>
      </c>
      <c r="B2263" t="s">
        <v>3649</v>
      </c>
      <c r="C2263" t="s">
        <v>99</v>
      </c>
      <c r="D2263">
        <v>1</v>
      </c>
      <c r="E2263" s="1">
        <v>45850</v>
      </c>
      <c r="F2263" t="s">
        <v>670</v>
      </c>
      <c r="G2263">
        <v>4</v>
      </c>
      <c r="H2263" t="s">
        <v>581</v>
      </c>
      <c r="I2263" t="s">
        <v>570</v>
      </c>
      <c r="J2263" t="str">
        <f t="shared" si="105"/>
        <v>July</v>
      </c>
      <c r="K2263" t="str">
        <f t="shared" si="106"/>
        <v>Q3</v>
      </c>
      <c r="L2263">
        <f t="shared" si="107"/>
        <v>2025</v>
      </c>
    </row>
    <row r="2264" spans="1:12" x14ac:dyDescent="0.3">
      <c r="A2264" t="s">
        <v>3650</v>
      </c>
      <c r="B2264" t="s">
        <v>3649</v>
      </c>
      <c r="C2264" t="s">
        <v>99</v>
      </c>
      <c r="D2264">
        <v>2</v>
      </c>
      <c r="E2264" s="1">
        <v>45861</v>
      </c>
      <c r="G2264">
        <v>5</v>
      </c>
      <c r="H2264" t="s">
        <v>581</v>
      </c>
      <c r="I2264" t="s">
        <v>570</v>
      </c>
      <c r="J2264" t="str">
        <f t="shared" si="105"/>
        <v>July</v>
      </c>
      <c r="K2264" t="str">
        <f t="shared" si="106"/>
        <v>Q3</v>
      </c>
      <c r="L2264">
        <f t="shared" si="107"/>
        <v>2025</v>
      </c>
    </row>
    <row r="2265" spans="1:12" x14ac:dyDescent="0.3">
      <c r="A2265" t="s">
        <v>3651</v>
      </c>
      <c r="B2265" t="s">
        <v>3649</v>
      </c>
      <c r="C2265" t="s">
        <v>99</v>
      </c>
      <c r="D2265">
        <v>3</v>
      </c>
      <c r="E2265" s="1">
        <v>45865</v>
      </c>
      <c r="F2265" t="s">
        <v>658</v>
      </c>
      <c r="G2265">
        <v>4</v>
      </c>
      <c r="H2265" t="s">
        <v>581</v>
      </c>
      <c r="I2265" t="s">
        <v>570</v>
      </c>
      <c r="J2265" t="str">
        <f t="shared" si="105"/>
        <v>July</v>
      </c>
      <c r="K2265" t="str">
        <f t="shared" si="106"/>
        <v>Q3</v>
      </c>
      <c r="L2265">
        <f t="shared" si="107"/>
        <v>2025</v>
      </c>
    </row>
    <row r="2266" spans="1:12" x14ac:dyDescent="0.3">
      <c r="A2266" t="s">
        <v>3652</v>
      </c>
      <c r="B2266" t="s">
        <v>3653</v>
      </c>
      <c r="C2266" t="s">
        <v>92</v>
      </c>
      <c r="D2266">
        <v>1</v>
      </c>
      <c r="E2266" s="1">
        <v>45762</v>
      </c>
      <c r="F2266" t="s">
        <v>572</v>
      </c>
      <c r="G2266">
        <v>3</v>
      </c>
      <c r="H2266" t="s">
        <v>578</v>
      </c>
      <c r="I2266" t="s">
        <v>608</v>
      </c>
      <c r="J2266" t="str">
        <f t="shared" si="105"/>
        <v>April</v>
      </c>
      <c r="K2266" t="str">
        <f t="shared" si="106"/>
        <v>Q2</v>
      </c>
      <c r="L2266">
        <f t="shared" si="107"/>
        <v>2025</v>
      </c>
    </row>
    <row r="2267" spans="1:12" x14ac:dyDescent="0.3">
      <c r="A2267" t="s">
        <v>3654</v>
      </c>
      <c r="B2267" t="s">
        <v>3653</v>
      </c>
      <c r="C2267" t="s">
        <v>92</v>
      </c>
      <c r="D2267">
        <v>2</v>
      </c>
      <c r="E2267" s="1">
        <v>45774</v>
      </c>
      <c r="F2267" t="s">
        <v>612</v>
      </c>
      <c r="G2267">
        <v>2</v>
      </c>
      <c r="H2267" t="s">
        <v>569</v>
      </c>
      <c r="I2267" t="s">
        <v>570</v>
      </c>
      <c r="J2267" t="str">
        <f t="shared" si="105"/>
        <v>April</v>
      </c>
      <c r="K2267" t="str">
        <f t="shared" si="106"/>
        <v>Q2</v>
      </c>
      <c r="L2267">
        <f t="shared" si="107"/>
        <v>2025</v>
      </c>
    </row>
    <row r="2268" spans="1:12" x14ac:dyDescent="0.3">
      <c r="A2268" t="s">
        <v>3655</v>
      </c>
      <c r="B2268" t="s">
        <v>3656</v>
      </c>
      <c r="C2268" t="s">
        <v>68</v>
      </c>
      <c r="D2268">
        <v>1</v>
      </c>
      <c r="E2268" s="1">
        <v>45744</v>
      </c>
      <c r="F2268" t="s">
        <v>612</v>
      </c>
      <c r="G2268">
        <v>2</v>
      </c>
      <c r="H2268" t="s">
        <v>569</v>
      </c>
      <c r="I2268" t="s">
        <v>570</v>
      </c>
      <c r="J2268" t="str">
        <f t="shared" si="105"/>
        <v>March</v>
      </c>
      <c r="K2268" t="str">
        <f t="shared" si="106"/>
        <v>Q1</v>
      </c>
      <c r="L2268">
        <f t="shared" si="107"/>
        <v>2025</v>
      </c>
    </row>
    <row r="2269" spans="1:12" x14ac:dyDescent="0.3">
      <c r="A2269" t="s">
        <v>3657</v>
      </c>
      <c r="B2269" t="s">
        <v>3656</v>
      </c>
      <c r="C2269" t="s">
        <v>68</v>
      </c>
      <c r="D2269">
        <v>2</v>
      </c>
      <c r="E2269" s="1">
        <v>45756</v>
      </c>
      <c r="F2269" t="s">
        <v>575</v>
      </c>
      <c r="G2269">
        <v>2</v>
      </c>
      <c r="H2269" t="s">
        <v>569</v>
      </c>
      <c r="I2269" t="s">
        <v>597</v>
      </c>
      <c r="J2269" t="str">
        <f t="shared" si="105"/>
        <v>April</v>
      </c>
      <c r="K2269" t="str">
        <f t="shared" si="106"/>
        <v>Q2</v>
      </c>
      <c r="L2269">
        <f t="shared" si="107"/>
        <v>2025</v>
      </c>
    </row>
    <row r="2270" spans="1:12" x14ac:dyDescent="0.3">
      <c r="A2270" t="s">
        <v>3658</v>
      </c>
      <c r="B2270" t="s">
        <v>3659</v>
      </c>
      <c r="C2270" t="s">
        <v>340</v>
      </c>
      <c r="D2270">
        <v>1</v>
      </c>
      <c r="E2270" s="1">
        <v>45690</v>
      </c>
      <c r="F2270" t="s">
        <v>600</v>
      </c>
      <c r="G2270">
        <v>3</v>
      </c>
      <c r="H2270" t="s">
        <v>578</v>
      </c>
      <c r="I2270" t="s">
        <v>570</v>
      </c>
      <c r="J2270" t="str">
        <f t="shared" si="105"/>
        <v>February</v>
      </c>
      <c r="K2270" t="str">
        <f t="shared" si="106"/>
        <v>Q1</v>
      </c>
      <c r="L2270">
        <f t="shared" si="107"/>
        <v>2025</v>
      </c>
    </row>
    <row r="2271" spans="1:12" x14ac:dyDescent="0.3">
      <c r="A2271" t="s">
        <v>3660</v>
      </c>
      <c r="B2271" t="s">
        <v>3661</v>
      </c>
      <c r="C2271" t="s">
        <v>85</v>
      </c>
      <c r="D2271">
        <v>1</v>
      </c>
      <c r="E2271" s="1">
        <v>45855</v>
      </c>
      <c r="F2271" t="s">
        <v>572</v>
      </c>
      <c r="G2271">
        <v>3</v>
      </c>
      <c r="H2271" t="s">
        <v>578</v>
      </c>
      <c r="I2271" t="s">
        <v>570</v>
      </c>
      <c r="J2271" t="str">
        <f t="shared" si="105"/>
        <v>July</v>
      </c>
      <c r="K2271" t="str">
        <f t="shared" si="106"/>
        <v>Q3</v>
      </c>
      <c r="L2271">
        <f t="shared" si="107"/>
        <v>2025</v>
      </c>
    </row>
    <row r="2272" spans="1:12" x14ac:dyDescent="0.3">
      <c r="A2272" t="s">
        <v>3662</v>
      </c>
      <c r="B2272" t="s">
        <v>3661</v>
      </c>
      <c r="C2272" t="s">
        <v>85</v>
      </c>
      <c r="D2272">
        <v>2</v>
      </c>
      <c r="E2272" s="1">
        <v>45867</v>
      </c>
      <c r="F2272" t="s">
        <v>572</v>
      </c>
      <c r="G2272">
        <v>1</v>
      </c>
      <c r="H2272" t="s">
        <v>569</v>
      </c>
      <c r="I2272" t="s">
        <v>570</v>
      </c>
      <c r="J2272" t="str">
        <f t="shared" si="105"/>
        <v>July</v>
      </c>
      <c r="K2272" t="str">
        <f t="shared" si="106"/>
        <v>Q3</v>
      </c>
      <c r="L2272">
        <f t="shared" si="107"/>
        <v>2025</v>
      </c>
    </row>
    <row r="2273" spans="1:12" x14ac:dyDescent="0.3">
      <c r="A2273" t="s">
        <v>3663</v>
      </c>
      <c r="B2273" t="s">
        <v>3664</v>
      </c>
      <c r="C2273" t="s">
        <v>108</v>
      </c>
      <c r="D2273">
        <v>1</v>
      </c>
      <c r="E2273" s="1">
        <v>45763</v>
      </c>
      <c r="F2273" t="s">
        <v>638</v>
      </c>
      <c r="G2273">
        <v>3</v>
      </c>
      <c r="H2273" t="s">
        <v>578</v>
      </c>
      <c r="I2273" t="s">
        <v>570</v>
      </c>
      <c r="J2273" t="str">
        <f t="shared" si="105"/>
        <v>April</v>
      </c>
      <c r="K2273" t="str">
        <f t="shared" si="106"/>
        <v>Q2</v>
      </c>
      <c r="L2273">
        <f t="shared" si="107"/>
        <v>2025</v>
      </c>
    </row>
    <row r="2274" spans="1:12" x14ac:dyDescent="0.3">
      <c r="A2274" t="s">
        <v>3665</v>
      </c>
      <c r="B2274" t="s">
        <v>3664</v>
      </c>
      <c r="C2274" t="s">
        <v>108</v>
      </c>
      <c r="D2274">
        <v>2</v>
      </c>
      <c r="E2274" s="1">
        <v>45770</v>
      </c>
      <c r="F2274" t="s">
        <v>638</v>
      </c>
      <c r="G2274">
        <v>3</v>
      </c>
      <c r="H2274" t="s">
        <v>578</v>
      </c>
      <c r="I2274" t="s">
        <v>570</v>
      </c>
      <c r="J2274" t="str">
        <f t="shared" si="105"/>
        <v>April</v>
      </c>
      <c r="K2274" t="str">
        <f t="shared" si="106"/>
        <v>Q2</v>
      </c>
      <c r="L2274">
        <f t="shared" si="107"/>
        <v>2025</v>
      </c>
    </row>
    <row r="2275" spans="1:12" x14ac:dyDescent="0.3">
      <c r="A2275" t="s">
        <v>3666</v>
      </c>
      <c r="B2275" t="s">
        <v>221</v>
      </c>
      <c r="C2275" t="s">
        <v>96</v>
      </c>
      <c r="D2275">
        <v>1</v>
      </c>
      <c r="E2275" s="1">
        <v>45875</v>
      </c>
      <c r="F2275" t="s">
        <v>572</v>
      </c>
      <c r="G2275">
        <v>4</v>
      </c>
      <c r="H2275" t="s">
        <v>581</v>
      </c>
      <c r="I2275" t="s">
        <v>570</v>
      </c>
      <c r="J2275" t="str">
        <f t="shared" si="105"/>
        <v>August</v>
      </c>
      <c r="K2275" t="str">
        <f t="shared" si="106"/>
        <v>Q3</v>
      </c>
      <c r="L2275">
        <f t="shared" si="107"/>
        <v>2025</v>
      </c>
    </row>
    <row r="2276" spans="1:12" x14ac:dyDescent="0.3">
      <c r="A2276" t="s">
        <v>3667</v>
      </c>
      <c r="B2276" t="s">
        <v>221</v>
      </c>
      <c r="C2276" t="s">
        <v>96</v>
      </c>
      <c r="D2276">
        <v>2</v>
      </c>
      <c r="E2276" s="1">
        <v>45884</v>
      </c>
      <c r="F2276" t="s">
        <v>603</v>
      </c>
      <c r="G2276">
        <v>3</v>
      </c>
      <c r="H2276" t="s">
        <v>578</v>
      </c>
      <c r="I2276" t="s">
        <v>570</v>
      </c>
      <c r="J2276" t="str">
        <f t="shared" si="105"/>
        <v>August</v>
      </c>
      <c r="K2276" t="str">
        <f t="shared" si="106"/>
        <v>Q3</v>
      </c>
      <c r="L2276">
        <f t="shared" si="107"/>
        <v>2025</v>
      </c>
    </row>
    <row r="2277" spans="1:12" x14ac:dyDescent="0.3">
      <c r="A2277" t="s">
        <v>3668</v>
      </c>
      <c r="B2277" t="s">
        <v>221</v>
      </c>
      <c r="C2277" t="s">
        <v>96</v>
      </c>
      <c r="D2277">
        <v>3</v>
      </c>
      <c r="E2277" s="1">
        <v>45889</v>
      </c>
      <c r="F2277" t="s">
        <v>577</v>
      </c>
      <c r="G2277">
        <v>4</v>
      </c>
      <c r="H2277" t="s">
        <v>581</v>
      </c>
      <c r="I2277" t="s">
        <v>570</v>
      </c>
      <c r="J2277" t="str">
        <f t="shared" si="105"/>
        <v>August</v>
      </c>
      <c r="K2277" t="str">
        <f t="shared" si="106"/>
        <v>Q3</v>
      </c>
      <c r="L2277">
        <f t="shared" si="107"/>
        <v>2025</v>
      </c>
    </row>
    <row r="2278" spans="1:12" x14ac:dyDescent="0.3">
      <c r="A2278" t="s">
        <v>3669</v>
      </c>
      <c r="B2278" t="s">
        <v>3670</v>
      </c>
      <c r="C2278" t="s">
        <v>65</v>
      </c>
      <c r="D2278">
        <v>1</v>
      </c>
      <c r="E2278" s="1">
        <v>45932</v>
      </c>
      <c r="F2278" t="s">
        <v>568</v>
      </c>
      <c r="G2278">
        <v>4</v>
      </c>
      <c r="H2278" t="s">
        <v>581</v>
      </c>
      <c r="I2278" t="s">
        <v>570</v>
      </c>
      <c r="J2278" t="str">
        <f t="shared" si="105"/>
        <v>October</v>
      </c>
      <c r="K2278" t="str">
        <f t="shared" si="106"/>
        <v>Q4</v>
      </c>
      <c r="L2278">
        <f t="shared" si="107"/>
        <v>2025</v>
      </c>
    </row>
    <row r="2279" spans="1:12" x14ac:dyDescent="0.3">
      <c r="A2279" t="s">
        <v>3671</v>
      </c>
      <c r="B2279" t="s">
        <v>3672</v>
      </c>
      <c r="C2279" t="s">
        <v>191</v>
      </c>
      <c r="D2279">
        <v>1</v>
      </c>
      <c r="E2279" s="1">
        <v>45671</v>
      </c>
      <c r="G2279">
        <v>2</v>
      </c>
      <c r="H2279" t="s">
        <v>569</v>
      </c>
      <c r="I2279" t="s">
        <v>570</v>
      </c>
      <c r="J2279" t="str">
        <f t="shared" si="105"/>
        <v>January</v>
      </c>
      <c r="K2279" t="str">
        <f t="shared" si="106"/>
        <v>Q1</v>
      </c>
      <c r="L2279">
        <f t="shared" si="107"/>
        <v>2025</v>
      </c>
    </row>
    <row r="2280" spans="1:12" x14ac:dyDescent="0.3">
      <c r="A2280" t="s">
        <v>3673</v>
      </c>
      <c r="B2280" t="s">
        <v>3672</v>
      </c>
      <c r="C2280" t="s">
        <v>191</v>
      </c>
      <c r="D2280">
        <v>2</v>
      </c>
      <c r="E2280" s="1">
        <v>45677</v>
      </c>
      <c r="F2280" t="s">
        <v>600</v>
      </c>
      <c r="G2280">
        <v>3</v>
      </c>
      <c r="H2280" t="s">
        <v>578</v>
      </c>
      <c r="I2280" t="s">
        <v>608</v>
      </c>
      <c r="J2280" t="str">
        <f t="shared" si="105"/>
        <v>January</v>
      </c>
      <c r="K2280" t="str">
        <f t="shared" si="106"/>
        <v>Q1</v>
      </c>
      <c r="L2280">
        <f t="shared" si="107"/>
        <v>2025</v>
      </c>
    </row>
    <row r="2281" spans="1:12" x14ac:dyDescent="0.3">
      <c r="A2281" t="s">
        <v>3674</v>
      </c>
      <c r="B2281" t="s">
        <v>3672</v>
      </c>
      <c r="C2281" t="s">
        <v>191</v>
      </c>
      <c r="D2281">
        <v>3</v>
      </c>
      <c r="E2281" s="1">
        <v>45686</v>
      </c>
      <c r="F2281" t="s">
        <v>600</v>
      </c>
      <c r="G2281">
        <v>3</v>
      </c>
      <c r="H2281" t="s">
        <v>578</v>
      </c>
      <c r="I2281" t="s">
        <v>570</v>
      </c>
      <c r="J2281" t="str">
        <f t="shared" si="105"/>
        <v>January</v>
      </c>
      <c r="K2281" t="str">
        <f t="shared" si="106"/>
        <v>Q1</v>
      </c>
      <c r="L2281">
        <f t="shared" si="107"/>
        <v>2025</v>
      </c>
    </row>
    <row r="2282" spans="1:12" x14ac:dyDescent="0.3">
      <c r="A2282" t="s">
        <v>3675</v>
      </c>
      <c r="B2282" t="s">
        <v>3672</v>
      </c>
      <c r="C2282" t="s">
        <v>191</v>
      </c>
      <c r="D2282">
        <v>4</v>
      </c>
      <c r="E2282" s="1">
        <v>45698</v>
      </c>
      <c r="F2282" t="s">
        <v>600</v>
      </c>
      <c r="G2282">
        <v>3</v>
      </c>
      <c r="H2282" t="s">
        <v>578</v>
      </c>
      <c r="I2282" t="s">
        <v>570</v>
      </c>
      <c r="J2282" t="str">
        <f t="shared" si="105"/>
        <v>February</v>
      </c>
      <c r="K2282" t="str">
        <f t="shared" si="106"/>
        <v>Q1</v>
      </c>
      <c r="L2282">
        <f t="shared" si="107"/>
        <v>2025</v>
      </c>
    </row>
    <row r="2283" spans="1:12" x14ac:dyDescent="0.3">
      <c r="A2283" t="s">
        <v>3676</v>
      </c>
      <c r="B2283" t="s">
        <v>3677</v>
      </c>
      <c r="C2283" t="s">
        <v>78</v>
      </c>
      <c r="D2283">
        <v>1</v>
      </c>
      <c r="E2283" s="1">
        <v>45902</v>
      </c>
      <c r="F2283" t="s">
        <v>663</v>
      </c>
      <c r="G2283">
        <v>3</v>
      </c>
      <c r="H2283" t="s">
        <v>578</v>
      </c>
      <c r="I2283" t="s">
        <v>570</v>
      </c>
      <c r="J2283" t="str">
        <f t="shared" si="105"/>
        <v>September</v>
      </c>
      <c r="K2283" t="str">
        <f t="shared" si="106"/>
        <v>Q3</v>
      </c>
      <c r="L2283">
        <f t="shared" si="107"/>
        <v>2025</v>
      </c>
    </row>
    <row r="2284" spans="1:12" x14ac:dyDescent="0.3">
      <c r="A2284" t="s">
        <v>3678</v>
      </c>
      <c r="B2284" t="s">
        <v>3677</v>
      </c>
      <c r="C2284" t="s">
        <v>78</v>
      </c>
      <c r="D2284">
        <v>2</v>
      </c>
      <c r="E2284" s="1">
        <v>45911</v>
      </c>
      <c r="F2284" t="s">
        <v>568</v>
      </c>
      <c r="G2284">
        <v>4</v>
      </c>
      <c r="H2284" t="s">
        <v>581</v>
      </c>
      <c r="I2284" t="s">
        <v>570</v>
      </c>
      <c r="J2284" t="str">
        <f t="shared" si="105"/>
        <v>September</v>
      </c>
      <c r="K2284" t="str">
        <f t="shared" si="106"/>
        <v>Q3</v>
      </c>
      <c r="L2284">
        <f t="shared" si="107"/>
        <v>2025</v>
      </c>
    </row>
    <row r="2285" spans="1:12" x14ac:dyDescent="0.3">
      <c r="A2285" t="s">
        <v>3679</v>
      </c>
      <c r="B2285" t="s">
        <v>3680</v>
      </c>
      <c r="C2285" t="s">
        <v>37</v>
      </c>
      <c r="D2285">
        <v>1</v>
      </c>
      <c r="E2285" s="1">
        <v>45710</v>
      </c>
      <c r="F2285" t="s">
        <v>663</v>
      </c>
      <c r="G2285">
        <v>2</v>
      </c>
      <c r="H2285" t="s">
        <v>569</v>
      </c>
      <c r="I2285" t="s">
        <v>570</v>
      </c>
      <c r="J2285" t="str">
        <f t="shared" si="105"/>
        <v>February</v>
      </c>
      <c r="K2285" t="str">
        <f t="shared" si="106"/>
        <v>Q1</v>
      </c>
      <c r="L2285">
        <f t="shared" si="107"/>
        <v>2025</v>
      </c>
    </row>
    <row r="2286" spans="1:12" x14ac:dyDescent="0.3">
      <c r="A2286" t="s">
        <v>3681</v>
      </c>
      <c r="B2286" t="s">
        <v>3682</v>
      </c>
      <c r="C2286" t="s">
        <v>92</v>
      </c>
      <c r="D2286">
        <v>1</v>
      </c>
      <c r="E2286" s="1">
        <v>45771</v>
      </c>
      <c r="F2286" t="s">
        <v>605</v>
      </c>
      <c r="G2286">
        <v>3</v>
      </c>
      <c r="H2286" t="s">
        <v>578</v>
      </c>
      <c r="I2286" t="s">
        <v>570</v>
      </c>
      <c r="J2286" t="str">
        <f t="shared" si="105"/>
        <v>April</v>
      </c>
      <c r="K2286" t="str">
        <f t="shared" si="106"/>
        <v>Q2</v>
      </c>
      <c r="L2286">
        <f t="shared" si="107"/>
        <v>2025</v>
      </c>
    </row>
    <row r="2287" spans="1:12" x14ac:dyDescent="0.3">
      <c r="A2287" t="s">
        <v>3683</v>
      </c>
      <c r="B2287" t="s">
        <v>3684</v>
      </c>
      <c r="C2287" t="s">
        <v>51</v>
      </c>
      <c r="D2287">
        <v>1</v>
      </c>
      <c r="E2287" s="1">
        <v>45951</v>
      </c>
      <c r="F2287" t="s">
        <v>596</v>
      </c>
      <c r="G2287">
        <v>1</v>
      </c>
      <c r="H2287" t="s">
        <v>569</v>
      </c>
      <c r="I2287" t="s">
        <v>597</v>
      </c>
      <c r="J2287" t="str">
        <f t="shared" si="105"/>
        <v>October</v>
      </c>
      <c r="K2287" t="str">
        <f t="shared" si="106"/>
        <v>Q4</v>
      </c>
      <c r="L2287">
        <f t="shared" si="107"/>
        <v>2025</v>
      </c>
    </row>
    <row r="2288" spans="1:12" x14ac:dyDescent="0.3">
      <c r="A2288" t="s">
        <v>3685</v>
      </c>
      <c r="B2288" t="s">
        <v>347</v>
      </c>
      <c r="C2288" t="s">
        <v>195</v>
      </c>
      <c r="D2288">
        <v>1</v>
      </c>
      <c r="E2288" s="1">
        <v>45854</v>
      </c>
      <c r="F2288" t="s">
        <v>592</v>
      </c>
      <c r="G2288">
        <v>3</v>
      </c>
      <c r="H2288" t="s">
        <v>578</v>
      </c>
      <c r="I2288" t="s">
        <v>570</v>
      </c>
      <c r="J2288" t="str">
        <f t="shared" si="105"/>
        <v>July</v>
      </c>
      <c r="K2288" t="str">
        <f t="shared" si="106"/>
        <v>Q3</v>
      </c>
      <c r="L2288">
        <f t="shared" si="107"/>
        <v>2025</v>
      </c>
    </row>
    <row r="2289" spans="1:12" x14ac:dyDescent="0.3">
      <c r="A2289" t="s">
        <v>3686</v>
      </c>
      <c r="B2289" t="s">
        <v>347</v>
      </c>
      <c r="C2289" t="s">
        <v>195</v>
      </c>
      <c r="D2289">
        <v>2</v>
      </c>
      <c r="E2289" s="1">
        <v>45865</v>
      </c>
      <c r="F2289" t="s">
        <v>612</v>
      </c>
      <c r="G2289">
        <v>4</v>
      </c>
      <c r="H2289" t="s">
        <v>581</v>
      </c>
      <c r="I2289" t="s">
        <v>570</v>
      </c>
      <c r="J2289" t="str">
        <f t="shared" si="105"/>
        <v>July</v>
      </c>
      <c r="K2289" t="str">
        <f t="shared" si="106"/>
        <v>Q3</v>
      </c>
      <c r="L2289">
        <f t="shared" si="107"/>
        <v>2025</v>
      </c>
    </row>
    <row r="2290" spans="1:12" x14ac:dyDescent="0.3">
      <c r="A2290" t="s">
        <v>3687</v>
      </c>
      <c r="B2290" t="s">
        <v>3688</v>
      </c>
      <c r="C2290" t="s">
        <v>16</v>
      </c>
      <c r="D2290">
        <v>1</v>
      </c>
      <c r="E2290" s="1">
        <v>45767</v>
      </c>
      <c r="F2290" t="s">
        <v>600</v>
      </c>
      <c r="G2290">
        <v>3</v>
      </c>
      <c r="H2290" t="s">
        <v>578</v>
      </c>
      <c r="I2290" t="s">
        <v>570</v>
      </c>
      <c r="J2290" t="str">
        <f t="shared" si="105"/>
        <v>April</v>
      </c>
      <c r="K2290" t="str">
        <f t="shared" si="106"/>
        <v>Q2</v>
      </c>
      <c r="L2290">
        <f t="shared" si="107"/>
        <v>2025</v>
      </c>
    </row>
    <row r="2291" spans="1:12" x14ac:dyDescent="0.3">
      <c r="A2291" t="s">
        <v>3689</v>
      </c>
      <c r="B2291" t="s">
        <v>3690</v>
      </c>
      <c r="C2291" t="s">
        <v>973</v>
      </c>
      <c r="D2291">
        <v>1</v>
      </c>
      <c r="E2291" s="1">
        <v>45926</v>
      </c>
      <c r="F2291" t="s">
        <v>625</v>
      </c>
      <c r="G2291">
        <v>2</v>
      </c>
      <c r="H2291" t="s">
        <v>569</v>
      </c>
      <c r="I2291" t="s">
        <v>570</v>
      </c>
      <c r="J2291" t="str">
        <f t="shared" si="105"/>
        <v>September</v>
      </c>
      <c r="K2291" t="str">
        <f t="shared" si="106"/>
        <v>Q3</v>
      </c>
      <c r="L2291">
        <f t="shared" si="107"/>
        <v>2025</v>
      </c>
    </row>
    <row r="2292" spans="1:12" x14ac:dyDescent="0.3">
      <c r="A2292" t="s">
        <v>3691</v>
      </c>
      <c r="B2292" t="s">
        <v>3690</v>
      </c>
      <c r="C2292" t="s">
        <v>973</v>
      </c>
      <c r="D2292">
        <v>2</v>
      </c>
      <c r="E2292" s="1">
        <v>45930</v>
      </c>
      <c r="F2292" t="s">
        <v>636</v>
      </c>
      <c r="G2292">
        <v>2</v>
      </c>
      <c r="H2292" t="s">
        <v>569</v>
      </c>
      <c r="I2292" t="s">
        <v>570</v>
      </c>
      <c r="J2292" t="str">
        <f t="shared" si="105"/>
        <v>September</v>
      </c>
      <c r="K2292" t="str">
        <f t="shared" si="106"/>
        <v>Q3</v>
      </c>
      <c r="L2292">
        <f t="shared" si="107"/>
        <v>2025</v>
      </c>
    </row>
    <row r="2293" spans="1:12" x14ac:dyDescent="0.3">
      <c r="A2293" t="s">
        <v>3692</v>
      </c>
      <c r="B2293" t="s">
        <v>3690</v>
      </c>
      <c r="C2293" t="s">
        <v>973</v>
      </c>
      <c r="D2293">
        <v>3</v>
      </c>
      <c r="E2293" s="1">
        <v>45942</v>
      </c>
      <c r="F2293" t="s">
        <v>575</v>
      </c>
      <c r="G2293">
        <v>2</v>
      </c>
      <c r="H2293" t="s">
        <v>569</v>
      </c>
      <c r="I2293" t="s">
        <v>570</v>
      </c>
      <c r="J2293" t="str">
        <f t="shared" si="105"/>
        <v>October</v>
      </c>
      <c r="K2293" t="str">
        <f t="shared" si="106"/>
        <v>Q4</v>
      </c>
      <c r="L2293">
        <f t="shared" si="107"/>
        <v>2025</v>
      </c>
    </row>
    <row r="2294" spans="1:12" x14ac:dyDescent="0.3">
      <c r="A2294" t="s">
        <v>3693</v>
      </c>
      <c r="B2294" t="s">
        <v>3690</v>
      </c>
      <c r="C2294" t="s">
        <v>973</v>
      </c>
      <c r="D2294">
        <v>4</v>
      </c>
      <c r="E2294" s="1">
        <v>45951</v>
      </c>
      <c r="F2294" t="s">
        <v>625</v>
      </c>
      <c r="G2294">
        <v>2</v>
      </c>
      <c r="H2294" t="s">
        <v>569</v>
      </c>
      <c r="I2294" t="s">
        <v>570</v>
      </c>
      <c r="J2294" t="str">
        <f t="shared" si="105"/>
        <v>October</v>
      </c>
      <c r="K2294" t="str">
        <f t="shared" si="106"/>
        <v>Q4</v>
      </c>
      <c r="L2294">
        <f t="shared" si="107"/>
        <v>2025</v>
      </c>
    </row>
    <row r="2295" spans="1:12" x14ac:dyDescent="0.3">
      <c r="A2295" t="s">
        <v>3694</v>
      </c>
      <c r="B2295" t="s">
        <v>3695</v>
      </c>
      <c r="C2295" t="s">
        <v>208</v>
      </c>
      <c r="D2295">
        <v>1</v>
      </c>
      <c r="E2295" s="1">
        <v>45805</v>
      </c>
      <c r="F2295" t="s">
        <v>592</v>
      </c>
      <c r="G2295">
        <v>2</v>
      </c>
      <c r="H2295" t="s">
        <v>569</v>
      </c>
      <c r="I2295" t="s">
        <v>570</v>
      </c>
      <c r="J2295" t="str">
        <f t="shared" si="105"/>
        <v>May</v>
      </c>
      <c r="K2295" t="str">
        <f t="shared" si="106"/>
        <v>Q2</v>
      </c>
      <c r="L2295">
        <f t="shared" si="107"/>
        <v>2025</v>
      </c>
    </row>
    <row r="2296" spans="1:12" x14ac:dyDescent="0.3">
      <c r="A2296" t="s">
        <v>3696</v>
      </c>
      <c r="B2296" t="s">
        <v>3695</v>
      </c>
      <c r="C2296" t="s">
        <v>208</v>
      </c>
      <c r="D2296">
        <v>2</v>
      </c>
      <c r="E2296" s="1">
        <v>45814</v>
      </c>
      <c r="F2296" t="s">
        <v>590</v>
      </c>
      <c r="G2296">
        <v>1</v>
      </c>
      <c r="H2296" t="s">
        <v>569</v>
      </c>
      <c r="I2296" t="s">
        <v>570</v>
      </c>
      <c r="J2296" t="str">
        <f t="shared" si="105"/>
        <v>June</v>
      </c>
      <c r="K2296" t="str">
        <f t="shared" si="106"/>
        <v>Q2</v>
      </c>
      <c r="L2296">
        <f t="shared" si="107"/>
        <v>2025</v>
      </c>
    </row>
    <row r="2297" spans="1:12" x14ac:dyDescent="0.3">
      <c r="A2297" t="s">
        <v>3697</v>
      </c>
      <c r="B2297" t="s">
        <v>3695</v>
      </c>
      <c r="C2297" t="s">
        <v>208</v>
      </c>
      <c r="D2297">
        <v>3</v>
      </c>
      <c r="E2297" s="1">
        <v>45818</v>
      </c>
      <c r="F2297" t="s">
        <v>741</v>
      </c>
      <c r="G2297">
        <v>2</v>
      </c>
      <c r="H2297" t="s">
        <v>569</v>
      </c>
      <c r="I2297" t="s">
        <v>570</v>
      </c>
      <c r="J2297" t="str">
        <f t="shared" si="105"/>
        <v>June</v>
      </c>
      <c r="K2297" t="str">
        <f t="shared" si="106"/>
        <v>Q2</v>
      </c>
      <c r="L2297">
        <f t="shared" si="107"/>
        <v>2025</v>
      </c>
    </row>
    <row r="2298" spans="1:12" x14ac:dyDescent="0.3">
      <c r="A2298" t="s">
        <v>3698</v>
      </c>
      <c r="B2298" t="s">
        <v>3695</v>
      </c>
      <c r="C2298" t="s">
        <v>208</v>
      </c>
      <c r="D2298">
        <v>4</v>
      </c>
      <c r="E2298" s="1">
        <v>45828</v>
      </c>
      <c r="F2298" t="s">
        <v>766</v>
      </c>
      <c r="G2298">
        <v>1</v>
      </c>
      <c r="H2298" t="s">
        <v>569</v>
      </c>
      <c r="I2298" t="s">
        <v>570</v>
      </c>
      <c r="J2298" t="str">
        <f t="shared" si="105"/>
        <v>June</v>
      </c>
      <c r="K2298" t="str">
        <f t="shared" si="106"/>
        <v>Q2</v>
      </c>
      <c r="L2298">
        <f t="shared" si="107"/>
        <v>2025</v>
      </c>
    </row>
    <row r="2299" spans="1:12" x14ac:dyDescent="0.3">
      <c r="A2299" t="s">
        <v>3699</v>
      </c>
      <c r="B2299" t="s">
        <v>3700</v>
      </c>
      <c r="C2299" t="s">
        <v>1187</v>
      </c>
      <c r="D2299">
        <v>1</v>
      </c>
      <c r="E2299" s="1">
        <v>45878</v>
      </c>
      <c r="F2299" t="s">
        <v>572</v>
      </c>
      <c r="G2299">
        <v>3</v>
      </c>
      <c r="H2299" t="s">
        <v>578</v>
      </c>
      <c r="I2299" t="s">
        <v>570</v>
      </c>
      <c r="J2299" t="str">
        <f t="shared" si="105"/>
        <v>August</v>
      </c>
      <c r="K2299" t="str">
        <f t="shared" si="106"/>
        <v>Q3</v>
      </c>
      <c r="L2299">
        <f t="shared" si="107"/>
        <v>2025</v>
      </c>
    </row>
    <row r="2300" spans="1:12" x14ac:dyDescent="0.3">
      <c r="A2300" t="s">
        <v>3701</v>
      </c>
      <c r="B2300" t="s">
        <v>556</v>
      </c>
      <c r="C2300" t="s">
        <v>51</v>
      </c>
      <c r="D2300">
        <v>1</v>
      </c>
      <c r="E2300" s="1">
        <v>45960</v>
      </c>
      <c r="F2300" t="s">
        <v>580</v>
      </c>
      <c r="G2300">
        <v>3</v>
      </c>
      <c r="H2300" t="s">
        <v>578</v>
      </c>
      <c r="I2300" t="s">
        <v>570</v>
      </c>
      <c r="J2300" t="str">
        <f t="shared" si="105"/>
        <v>October</v>
      </c>
      <c r="K2300" t="str">
        <f t="shared" si="106"/>
        <v>Q4</v>
      </c>
      <c r="L2300">
        <f t="shared" si="107"/>
        <v>2025</v>
      </c>
    </row>
    <row r="2301" spans="1:12" x14ac:dyDescent="0.3">
      <c r="A2301" t="s">
        <v>3702</v>
      </c>
      <c r="B2301" t="s">
        <v>556</v>
      </c>
      <c r="C2301" t="s">
        <v>51</v>
      </c>
      <c r="D2301">
        <v>2</v>
      </c>
      <c r="E2301" s="1">
        <v>45971</v>
      </c>
      <c r="F2301" t="s">
        <v>596</v>
      </c>
      <c r="G2301">
        <v>2</v>
      </c>
      <c r="H2301" t="s">
        <v>569</v>
      </c>
      <c r="I2301" t="s">
        <v>570</v>
      </c>
      <c r="J2301" t="str">
        <f t="shared" si="105"/>
        <v>November</v>
      </c>
      <c r="K2301" t="str">
        <f t="shared" si="106"/>
        <v>Q4</v>
      </c>
      <c r="L2301">
        <f t="shared" si="107"/>
        <v>2025</v>
      </c>
    </row>
    <row r="2302" spans="1:12" x14ac:dyDescent="0.3">
      <c r="A2302" t="s">
        <v>3703</v>
      </c>
      <c r="B2302" t="s">
        <v>556</v>
      </c>
      <c r="C2302" t="s">
        <v>51</v>
      </c>
      <c r="D2302">
        <v>3</v>
      </c>
      <c r="E2302" s="1">
        <v>45978</v>
      </c>
      <c r="F2302" t="s">
        <v>586</v>
      </c>
      <c r="G2302">
        <v>4</v>
      </c>
      <c r="H2302" t="s">
        <v>581</v>
      </c>
      <c r="I2302" t="s">
        <v>570</v>
      </c>
      <c r="J2302" t="str">
        <f t="shared" si="105"/>
        <v>November</v>
      </c>
      <c r="K2302" t="str">
        <f t="shared" si="106"/>
        <v>Q4</v>
      </c>
      <c r="L2302">
        <f t="shared" si="107"/>
        <v>2025</v>
      </c>
    </row>
    <row r="2303" spans="1:12" x14ac:dyDescent="0.3">
      <c r="A2303" t="s">
        <v>3704</v>
      </c>
      <c r="B2303" t="s">
        <v>3705</v>
      </c>
      <c r="C2303" t="s">
        <v>156</v>
      </c>
      <c r="D2303">
        <v>1</v>
      </c>
      <c r="E2303" s="1">
        <v>45727</v>
      </c>
      <c r="F2303" t="s">
        <v>580</v>
      </c>
      <c r="G2303">
        <v>1</v>
      </c>
      <c r="H2303" t="s">
        <v>569</v>
      </c>
      <c r="I2303" t="s">
        <v>570</v>
      </c>
      <c r="J2303" t="str">
        <f t="shared" si="105"/>
        <v>March</v>
      </c>
      <c r="K2303" t="str">
        <f t="shared" si="106"/>
        <v>Q1</v>
      </c>
      <c r="L2303">
        <f t="shared" si="107"/>
        <v>2025</v>
      </c>
    </row>
    <row r="2304" spans="1:12" x14ac:dyDescent="0.3">
      <c r="A2304" t="s">
        <v>3706</v>
      </c>
      <c r="B2304" t="s">
        <v>3705</v>
      </c>
      <c r="C2304" t="s">
        <v>156</v>
      </c>
      <c r="D2304">
        <v>2</v>
      </c>
      <c r="E2304" s="1">
        <v>45733</v>
      </c>
      <c r="F2304" t="s">
        <v>580</v>
      </c>
      <c r="G2304">
        <v>3</v>
      </c>
      <c r="H2304" t="s">
        <v>578</v>
      </c>
      <c r="I2304" t="s">
        <v>570</v>
      </c>
      <c r="J2304" t="str">
        <f t="shared" si="105"/>
        <v>March</v>
      </c>
      <c r="K2304" t="str">
        <f t="shared" si="106"/>
        <v>Q1</v>
      </c>
      <c r="L2304">
        <f t="shared" si="107"/>
        <v>2025</v>
      </c>
    </row>
    <row r="2305" spans="1:12" x14ac:dyDescent="0.3">
      <c r="A2305" t="s">
        <v>3707</v>
      </c>
      <c r="B2305" t="s">
        <v>3705</v>
      </c>
      <c r="C2305" t="s">
        <v>156</v>
      </c>
      <c r="D2305">
        <v>3</v>
      </c>
      <c r="E2305" s="1">
        <v>45742</v>
      </c>
      <c r="F2305" t="s">
        <v>741</v>
      </c>
      <c r="G2305">
        <v>1</v>
      </c>
      <c r="H2305" t="s">
        <v>569</v>
      </c>
      <c r="I2305" t="s">
        <v>570</v>
      </c>
      <c r="J2305" t="str">
        <f t="shared" si="105"/>
        <v>March</v>
      </c>
      <c r="K2305" t="str">
        <f t="shared" si="106"/>
        <v>Q1</v>
      </c>
      <c r="L2305">
        <f t="shared" si="107"/>
        <v>2025</v>
      </c>
    </row>
    <row r="2306" spans="1:12" x14ac:dyDescent="0.3">
      <c r="A2306" t="s">
        <v>3708</v>
      </c>
      <c r="B2306" t="s">
        <v>3709</v>
      </c>
      <c r="C2306" t="s">
        <v>542</v>
      </c>
      <c r="D2306">
        <v>1</v>
      </c>
      <c r="E2306" s="1">
        <v>45802</v>
      </c>
      <c r="F2306" t="s">
        <v>580</v>
      </c>
      <c r="G2306">
        <v>3</v>
      </c>
      <c r="H2306" t="s">
        <v>578</v>
      </c>
      <c r="I2306" t="s">
        <v>570</v>
      </c>
      <c r="J2306" t="str">
        <f t="shared" ref="J2306:J2369" si="108">TEXT(E2306,"mmmm")</f>
        <v>May</v>
      </c>
      <c r="K2306" t="str">
        <f t="shared" ref="K2306:K2369" si="109">"Q"&amp;ROUNDUP(MONTH(E2306)/3,0)</f>
        <v>Q2</v>
      </c>
      <c r="L2306">
        <f t="shared" ref="L2306:L2369" si="110">YEAR(E2306)</f>
        <v>2025</v>
      </c>
    </row>
    <row r="2307" spans="1:12" x14ac:dyDescent="0.3">
      <c r="A2307" t="s">
        <v>3710</v>
      </c>
      <c r="B2307" t="s">
        <v>3709</v>
      </c>
      <c r="C2307" t="s">
        <v>542</v>
      </c>
      <c r="D2307">
        <v>2</v>
      </c>
      <c r="E2307" s="1">
        <v>45809</v>
      </c>
      <c r="F2307" t="s">
        <v>766</v>
      </c>
      <c r="G2307">
        <v>2</v>
      </c>
      <c r="H2307" t="s">
        <v>569</v>
      </c>
      <c r="I2307" t="s">
        <v>570</v>
      </c>
      <c r="J2307" t="str">
        <f t="shared" si="108"/>
        <v>June</v>
      </c>
      <c r="K2307" t="str">
        <f t="shared" si="109"/>
        <v>Q2</v>
      </c>
      <c r="L2307">
        <f t="shared" si="110"/>
        <v>2025</v>
      </c>
    </row>
    <row r="2308" spans="1:12" x14ac:dyDescent="0.3">
      <c r="A2308" t="s">
        <v>3711</v>
      </c>
      <c r="B2308" t="s">
        <v>3709</v>
      </c>
      <c r="C2308" t="s">
        <v>542</v>
      </c>
      <c r="D2308">
        <v>3</v>
      </c>
      <c r="E2308" s="1">
        <v>45819</v>
      </c>
      <c r="F2308" t="s">
        <v>766</v>
      </c>
      <c r="G2308">
        <v>3</v>
      </c>
      <c r="H2308" t="s">
        <v>578</v>
      </c>
      <c r="I2308" t="s">
        <v>570</v>
      </c>
      <c r="J2308" t="str">
        <f t="shared" si="108"/>
        <v>June</v>
      </c>
      <c r="K2308" t="str">
        <f t="shared" si="109"/>
        <v>Q2</v>
      </c>
      <c r="L2308">
        <f t="shared" si="110"/>
        <v>2025</v>
      </c>
    </row>
    <row r="2309" spans="1:12" x14ac:dyDescent="0.3">
      <c r="A2309" t="s">
        <v>3712</v>
      </c>
      <c r="B2309" t="s">
        <v>3713</v>
      </c>
      <c r="C2309" t="s">
        <v>251</v>
      </c>
      <c r="D2309">
        <v>1</v>
      </c>
      <c r="E2309" s="1">
        <v>45806</v>
      </c>
      <c r="F2309" t="s">
        <v>766</v>
      </c>
      <c r="G2309">
        <v>2</v>
      </c>
      <c r="H2309" t="s">
        <v>569</v>
      </c>
      <c r="I2309" t="s">
        <v>608</v>
      </c>
      <c r="J2309" t="str">
        <f t="shared" si="108"/>
        <v>May</v>
      </c>
      <c r="K2309" t="str">
        <f t="shared" si="109"/>
        <v>Q2</v>
      </c>
      <c r="L2309">
        <f t="shared" si="110"/>
        <v>2025</v>
      </c>
    </row>
    <row r="2310" spans="1:12" x14ac:dyDescent="0.3">
      <c r="A2310" t="s">
        <v>3714</v>
      </c>
      <c r="B2310" t="s">
        <v>3713</v>
      </c>
      <c r="C2310" t="s">
        <v>251</v>
      </c>
      <c r="D2310">
        <v>2</v>
      </c>
      <c r="E2310" s="1">
        <v>45811</v>
      </c>
      <c r="F2310" t="s">
        <v>766</v>
      </c>
      <c r="G2310">
        <v>1</v>
      </c>
      <c r="H2310" t="s">
        <v>569</v>
      </c>
      <c r="I2310" t="s">
        <v>570</v>
      </c>
      <c r="J2310" t="str">
        <f t="shared" si="108"/>
        <v>June</v>
      </c>
      <c r="K2310" t="str">
        <f t="shared" si="109"/>
        <v>Q2</v>
      </c>
      <c r="L2310">
        <f t="shared" si="110"/>
        <v>2025</v>
      </c>
    </row>
    <row r="2311" spans="1:12" x14ac:dyDescent="0.3">
      <c r="A2311" t="s">
        <v>3715</v>
      </c>
      <c r="B2311" t="s">
        <v>3713</v>
      </c>
      <c r="C2311" t="s">
        <v>251</v>
      </c>
      <c r="D2311">
        <v>3</v>
      </c>
      <c r="E2311" s="1">
        <v>45817</v>
      </c>
      <c r="F2311" t="s">
        <v>592</v>
      </c>
      <c r="G2311">
        <v>1</v>
      </c>
      <c r="H2311" t="s">
        <v>569</v>
      </c>
      <c r="I2311" t="s">
        <v>570</v>
      </c>
      <c r="J2311" t="str">
        <f t="shared" si="108"/>
        <v>June</v>
      </c>
      <c r="K2311" t="str">
        <f t="shared" si="109"/>
        <v>Q2</v>
      </c>
      <c r="L2311">
        <f t="shared" si="110"/>
        <v>2025</v>
      </c>
    </row>
    <row r="2312" spans="1:12" x14ac:dyDescent="0.3">
      <c r="A2312" t="s">
        <v>3716</v>
      </c>
      <c r="B2312" t="s">
        <v>31</v>
      </c>
      <c r="C2312" t="s">
        <v>32</v>
      </c>
      <c r="D2312">
        <v>1</v>
      </c>
      <c r="E2312" s="1">
        <v>45756</v>
      </c>
      <c r="F2312" t="s">
        <v>638</v>
      </c>
      <c r="G2312">
        <v>3</v>
      </c>
      <c r="H2312" t="s">
        <v>578</v>
      </c>
      <c r="I2312" t="s">
        <v>570</v>
      </c>
      <c r="J2312" t="str">
        <f t="shared" si="108"/>
        <v>April</v>
      </c>
      <c r="K2312" t="str">
        <f t="shared" si="109"/>
        <v>Q2</v>
      </c>
      <c r="L2312">
        <f t="shared" si="110"/>
        <v>2025</v>
      </c>
    </row>
    <row r="2313" spans="1:12" x14ac:dyDescent="0.3">
      <c r="A2313" t="s">
        <v>3717</v>
      </c>
      <c r="B2313" t="s">
        <v>31</v>
      </c>
      <c r="C2313" t="s">
        <v>32</v>
      </c>
      <c r="D2313">
        <v>2</v>
      </c>
      <c r="E2313" s="1">
        <v>45762</v>
      </c>
      <c r="F2313" t="s">
        <v>596</v>
      </c>
      <c r="G2313">
        <v>3</v>
      </c>
      <c r="H2313" t="s">
        <v>578</v>
      </c>
      <c r="I2313" t="s">
        <v>570</v>
      </c>
      <c r="J2313" t="str">
        <f t="shared" si="108"/>
        <v>April</v>
      </c>
      <c r="K2313" t="str">
        <f t="shared" si="109"/>
        <v>Q2</v>
      </c>
      <c r="L2313">
        <f t="shared" si="110"/>
        <v>2025</v>
      </c>
    </row>
    <row r="2314" spans="1:12" x14ac:dyDescent="0.3">
      <c r="A2314" t="s">
        <v>3718</v>
      </c>
      <c r="B2314" t="s">
        <v>31</v>
      </c>
      <c r="C2314" t="s">
        <v>32</v>
      </c>
      <c r="D2314">
        <v>3</v>
      </c>
      <c r="E2314" s="1">
        <v>45767</v>
      </c>
      <c r="F2314" t="s">
        <v>572</v>
      </c>
      <c r="G2314">
        <v>5</v>
      </c>
      <c r="H2314" t="s">
        <v>581</v>
      </c>
      <c r="I2314" t="s">
        <v>570</v>
      </c>
      <c r="J2314" t="str">
        <f t="shared" si="108"/>
        <v>April</v>
      </c>
      <c r="K2314" t="str">
        <f t="shared" si="109"/>
        <v>Q2</v>
      </c>
      <c r="L2314">
        <f t="shared" si="110"/>
        <v>2025</v>
      </c>
    </row>
    <row r="2315" spans="1:12" x14ac:dyDescent="0.3">
      <c r="A2315" t="s">
        <v>3719</v>
      </c>
      <c r="B2315" t="s">
        <v>3720</v>
      </c>
      <c r="C2315" t="s">
        <v>298</v>
      </c>
      <c r="D2315">
        <v>1</v>
      </c>
      <c r="E2315" s="1">
        <v>45899</v>
      </c>
      <c r="F2315" t="s">
        <v>670</v>
      </c>
      <c r="G2315">
        <v>2</v>
      </c>
      <c r="H2315" t="s">
        <v>569</v>
      </c>
      <c r="I2315" t="s">
        <v>570</v>
      </c>
      <c r="J2315" t="str">
        <f t="shared" si="108"/>
        <v>August</v>
      </c>
      <c r="K2315" t="str">
        <f t="shared" si="109"/>
        <v>Q3</v>
      </c>
      <c r="L2315">
        <f t="shared" si="110"/>
        <v>2025</v>
      </c>
    </row>
    <row r="2316" spans="1:12" x14ac:dyDescent="0.3">
      <c r="A2316" t="s">
        <v>3721</v>
      </c>
      <c r="B2316" t="s">
        <v>3720</v>
      </c>
      <c r="C2316" t="s">
        <v>298</v>
      </c>
      <c r="D2316">
        <v>2</v>
      </c>
      <c r="E2316" s="1">
        <v>45910</v>
      </c>
      <c r="F2316" t="s">
        <v>584</v>
      </c>
      <c r="G2316">
        <v>2</v>
      </c>
      <c r="H2316" t="s">
        <v>569</v>
      </c>
      <c r="I2316" t="s">
        <v>570</v>
      </c>
      <c r="J2316" t="str">
        <f t="shared" si="108"/>
        <v>September</v>
      </c>
      <c r="K2316" t="str">
        <f t="shared" si="109"/>
        <v>Q3</v>
      </c>
      <c r="L2316">
        <f t="shared" si="110"/>
        <v>2025</v>
      </c>
    </row>
    <row r="2317" spans="1:12" x14ac:dyDescent="0.3">
      <c r="A2317" t="s">
        <v>3722</v>
      </c>
      <c r="B2317" t="s">
        <v>3720</v>
      </c>
      <c r="C2317" t="s">
        <v>298</v>
      </c>
      <c r="D2317">
        <v>3</v>
      </c>
      <c r="E2317" s="1">
        <v>45921</v>
      </c>
      <c r="F2317" t="s">
        <v>584</v>
      </c>
      <c r="G2317">
        <v>1</v>
      </c>
      <c r="H2317" t="s">
        <v>569</v>
      </c>
      <c r="I2317" t="s">
        <v>570</v>
      </c>
      <c r="J2317" t="str">
        <f t="shared" si="108"/>
        <v>September</v>
      </c>
      <c r="K2317" t="str">
        <f t="shared" si="109"/>
        <v>Q3</v>
      </c>
      <c r="L2317">
        <f t="shared" si="110"/>
        <v>2025</v>
      </c>
    </row>
    <row r="2318" spans="1:12" x14ac:dyDescent="0.3">
      <c r="A2318" t="s">
        <v>3723</v>
      </c>
      <c r="B2318" t="s">
        <v>3724</v>
      </c>
      <c r="C2318" t="s">
        <v>58</v>
      </c>
      <c r="D2318">
        <v>1</v>
      </c>
      <c r="E2318" s="1">
        <v>45818</v>
      </c>
      <c r="F2318" t="s">
        <v>625</v>
      </c>
      <c r="G2318">
        <v>2</v>
      </c>
      <c r="H2318" t="s">
        <v>569</v>
      </c>
      <c r="I2318" t="s">
        <v>570</v>
      </c>
      <c r="J2318" t="str">
        <f t="shared" si="108"/>
        <v>June</v>
      </c>
      <c r="K2318" t="str">
        <f t="shared" si="109"/>
        <v>Q2</v>
      </c>
      <c r="L2318">
        <f t="shared" si="110"/>
        <v>2025</v>
      </c>
    </row>
    <row r="2319" spans="1:12" x14ac:dyDescent="0.3">
      <c r="A2319" t="s">
        <v>3725</v>
      </c>
      <c r="B2319" t="s">
        <v>3724</v>
      </c>
      <c r="C2319" t="s">
        <v>58</v>
      </c>
      <c r="D2319">
        <v>2</v>
      </c>
      <c r="E2319" s="1">
        <v>45828</v>
      </c>
      <c r="F2319" t="s">
        <v>612</v>
      </c>
      <c r="G2319">
        <v>1</v>
      </c>
      <c r="H2319" t="s">
        <v>569</v>
      </c>
      <c r="I2319" t="s">
        <v>570</v>
      </c>
      <c r="J2319" t="str">
        <f t="shared" si="108"/>
        <v>June</v>
      </c>
      <c r="K2319" t="str">
        <f t="shared" si="109"/>
        <v>Q2</v>
      </c>
      <c r="L2319">
        <f t="shared" si="110"/>
        <v>2025</v>
      </c>
    </row>
    <row r="2320" spans="1:12" x14ac:dyDescent="0.3">
      <c r="A2320" t="s">
        <v>3726</v>
      </c>
      <c r="B2320" t="s">
        <v>398</v>
      </c>
      <c r="C2320" t="s">
        <v>133</v>
      </c>
      <c r="D2320">
        <v>1</v>
      </c>
      <c r="E2320" s="1">
        <v>45694</v>
      </c>
      <c r="F2320" t="s">
        <v>592</v>
      </c>
      <c r="G2320">
        <v>3</v>
      </c>
      <c r="H2320" t="s">
        <v>578</v>
      </c>
      <c r="I2320" t="s">
        <v>570</v>
      </c>
      <c r="J2320" t="str">
        <f t="shared" si="108"/>
        <v>February</v>
      </c>
      <c r="K2320" t="str">
        <f t="shared" si="109"/>
        <v>Q1</v>
      </c>
      <c r="L2320">
        <f t="shared" si="110"/>
        <v>2025</v>
      </c>
    </row>
    <row r="2321" spans="1:12" x14ac:dyDescent="0.3">
      <c r="A2321" t="s">
        <v>3727</v>
      </c>
      <c r="B2321" t="s">
        <v>398</v>
      </c>
      <c r="C2321" t="s">
        <v>133</v>
      </c>
      <c r="D2321">
        <v>2</v>
      </c>
      <c r="E2321" s="1">
        <v>45698</v>
      </c>
      <c r="F2321" t="s">
        <v>629</v>
      </c>
      <c r="G2321">
        <v>3</v>
      </c>
      <c r="H2321" t="s">
        <v>578</v>
      </c>
      <c r="I2321" t="s">
        <v>570</v>
      </c>
      <c r="J2321" t="str">
        <f t="shared" si="108"/>
        <v>February</v>
      </c>
      <c r="K2321" t="str">
        <f t="shared" si="109"/>
        <v>Q1</v>
      </c>
      <c r="L2321">
        <f t="shared" si="110"/>
        <v>2025</v>
      </c>
    </row>
    <row r="2322" spans="1:12" x14ac:dyDescent="0.3">
      <c r="A2322" t="s">
        <v>3728</v>
      </c>
      <c r="B2322" t="s">
        <v>398</v>
      </c>
      <c r="C2322" t="s">
        <v>133</v>
      </c>
      <c r="D2322">
        <v>3</v>
      </c>
      <c r="E2322" s="1">
        <v>45702</v>
      </c>
      <c r="F2322" t="s">
        <v>584</v>
      </c>
      <c r="G2322">
        <v>4</v>
      </c>
      <c r="H2322" t="s">
        <v>581</v>
      </c>
      <c r="I2322" t="s">
        <v>570</v>
      </c>
      <c r="J2322" t="str">
        <f t="shared" si="108"/>
        <v>February</v>
      </c>
      <c r="K2322" t="str">
        <f t="shared" si="109"/>
        <v>Q1</v>
      </c>
      <c r="L2322">
        <f t="shared" si="110"/>
        <v>2025</v>
      </c>
    </row>
    <row r="2323" spans="1:12" x14ac:dyDescent="0.3">
      <c r="A2323" t="s">
        <v>3729</v>
      </c>
      <c r="B2323" t="s">
        <v>3730</v>
      </c>
      <c r="C2323" t="s">
        <v>240</v>
      </c>
      <c r="D2323">
        <v>1</v>
      </c>
      <c r="E2323" s="1">
        <v>45960</v>
      </c>
      <c r="F2323" t="s">
        <v>586</v>
      </c>
      <c r="G2323">
        <v>2</v>
      </c>
      <c r="H2323" t="s">
        <v>569</v>
      </c>
      <c r="I2323" t="s">
        <v>570</v>
      </c>
      <c r="J2323" t="str">
        <f t="shared" si="108"/>
        <v>October</v>
      </c>
      <c r="K2323" t="str">
        <f t="shared" si="109"/>
        <v>Q4</v>
      </c>
      <c r="L2323">
        <f t="shared" si="110"/>
        <v>2025</v>
      </c>
    </row>
    <row r="2324" spans="1:12" x14ac:dyDescent="0.3">
      <c r="A2324" t="s">
        <v>3731</v>
      </c>
      <c r="B2324" t="s">
        <v>527</v>
      </c>
      <c r="C2324" t="s">
        <v>195</v>
      </c>
      <c r="D2324">
        <v>1</v>
      </c>
      <c r="E2324" s="1">
        <v>45847</v>
      </c>
      <c r="F2324" t="s">
        <v>592</v>
      </c>
      <c r="G2324">
        <v>5</v>
      </c>
      <c r="H2324" t="s">
        <v>581</v>
      </c>
      <c r="I2324" t="s">
        <v>570</v>
      </c>
      <c r="J2324" t="str">
        <f t="shared" si="108"/>
        <v>July</v>
      </c>
      <c r="K2324" t="str">
        <f t="shared" si="109"/>
        <v>Q3</v>
      </c>
      <c r="L2324">
        <f t="shared" si="110"/>
        <v>2025</v>
      </c>
    </row>
    <row r="2325" spans="1:12" x14ac:dyDescent="0.3">
      <c r="A2325" t="s">
        <v>3732</v>
      </c>
      <c r="B2325" t="s">
        <v>527</v>
      </c>
      <c r="C2325" t="s">
        <v>195</v>
      </c>
      <c r="D2325">
        <v>2</v>
      </c>
      <c r="E2325" s="1">
        <v>45857</v>
      </c>
      <c r="F2325" t="s">
        <v>632</v>
      </c>
      <c r="G2325">
        <v>3</v>
      </c>
      <c r="H2325" t="s">
        <v>578</v>
      </c>
      <c r="I2325" t="s">
        <v>570</v>
      </c>
      <c r="J2325" t="str">
        <f t="shared" si="108"/>
        <v>July</v>
      </c>
      <c r="K2325" t="str">
        <f t="shared" si="109"/>
        <v>Q3</v>
      </c>
      <c r="L2325">
        <f t="shared" si="110"/>
        <v>2025</v>
      </c>
    </row>
    <row r="2326" spans="1:12" x14ac:dyDescent="0.3">
      <c r="A2326" t="s">
        <v>3733</v>
      </c>
      <c r="B2326" t="s">
        <v>527</v>
      </c>
      <c r="C2326" t="s">
        <v>195</v>
      </c>
      <c r="D2326">
        <v>3</v>
      </c>
      <c r="E2326" s="1">
        <v>45862</v>
      </c>
      <c r="F2326" t="s">
        <v>592</v>
      </c>
      <c r="G2326">
        <v>4</v>
      </c>
      <c r="H2326" t="s">
        <v>581</v>
      </c>
      <c r="I2326" t="s">
        <v>570</v>
      </c>
      <c r="J2326" t="str">
        <f t="shared" si="108"/>
        <v>July</v>
      </c>
      <c r="K2326" t="str">
        <f t="shared" si="109"/>
        <v>Q3</v>
      </c>
      <c r="L2326">
        <f t="shared" si="110"/>
        <v>2025</v>
      </c>
    </row>
    <row r="2327" spans="1:12" x14ac:dyDescent="0.3">
      <c r="A2327" t="s">
        <v>3734</v>
      </c>
      <c r="B2327" t="s">
        <v>527</v>
      </c>
      <c r="C2327" t="s">
        <v>195</v>
      </c>
      <c r="D2327">
        <v>4</v>
      </c>
      <c r="E2327" s="1">
        <v>45866</v>
      </c>
      <c r="F2327" t="s">
        <v>592</v>
      </c>
      <c r="G2327">
        <v>4</v>
      </c>
      <c r="H2327" t="s">
        <v>581</v>
      </c>
      <c r="I2327" t="s">
        <v>570</v>
      </c>
      <c r="J2327" t="str">
        <f t="shared" si="108"/>
        <v>July</v>
      </c>
      <c r="K2327" t="str">
        <f t="shared" si="109"/>
        <v>Q3</v>
      </c>
      <c r="L2327">
        <f t="shared" si="110"/>
        <v>2025</v>
      </c>
    </row>
    <row r="2328" spans="1:12" x14ac:dyDescent="0.3">
      <c r="A2328" t="s">
        <v>3735</v>
      </c>
      <c r="B2328" t="s">
        <v>3736</v>
      </c>
      <c r="C2328" t="s">
        <v>156</v>
      </c>
      <c r="D2328">
        <v>1</v>
      </c>
      <c r="E2328" s="1">
        <v>45739</v>
      </c>
      <c r="F2328" t="s">
        <v>590</v>
      </c>
      <c r="G2328">
        <v>3</v>
      </c>
      <c r="H2328" t="s">
        <v>578</v>
      </c>
      <c r="I2328" t="s">
        <v>597</v>
      </c>
      <c r="J2328" t="str">
        <f t="shared" si="108"/>
        <v>March</v>
      </c>
      <c r="K2328" t="str">
        <f t="shared" si="109"/>
        <v>Q1</v>
      </c>
      <c r="L2328">
        <f t="shared" si="110"/>
        <v>2025</v>
      </c>
    </row>
    <row r="2329" spans="1:12" x14ac:dyDescent="0.3">
      <c r="A2329" t="s">
        <v>3737</v>
      </c>
      <c r="B2329" t="s">
        <v>3738</v>
      </c>
      <c r="C2329" t="s">
        <v>27</v>
      </c>
      <c r="D2329">
        <v>1</v>
      </c>
      <c r="E2329" s="1">
        <v>45884</v>
      </c>
      <c r="F2329" t="s">
        <v>625</v>
      </c>
      <c r="G2329">
        <v>1</v>
      </c>
      <c r="H2329" t="s">
        <v>569</v>
      </c>
      <c r="I2329" t="s">
        <v>608</v>
      </c>
      <c r="J2329" t="str">
        <f t="shared" si="108"/>
        <v>August</v>
      </c>
      <c r="K2329" t="str">
        <f t="shared" si="109"/>
        <v>Q3</v>
      </c>
      <c r="L2329">
        <f t="shared" si="110"/>
        <v>2025</v>
      </c>
    </row>
    <row r="2330" spans="1:12" x14ac:dyDescent="0.3">
      <c r="A2330" t="s">
        <v>3739</v>
      </c>
      <c r="B2330" t="s">
        <v>3738</v>
      </c>
      <c r="C2330" t="s">
        <v>27</v>
      </c>
      <c r="D2330">
        <v>2</v>
      </c>
      <c r="E2330" s="1">
        <v>45889</v>
      </c>
      <c r="F2330" t="s">
        <v>632</v>
      </c>
      <c r="G2330">
        <v>3</v>
      </c>
      <c r="H2330" t="s">
        <v>578</v>
      </c>
      <c r="I2330" t="s">
        <v>570</v>
      </c>
      <c r="J2330" t="str">
        <f t="shared" si="108"/>
        <v>August</v>
      </c>
      <c r="K2330" t="str">
        <f t="shared" si="109"/>
        <v>Q3</v>
      </c>
      <c r="L2330">
        <f t="shared" si="110"/>
        <v>2025</v>
      </c>
    </row>
    <row r="2331" spans="1:12" x14ac:dyDescent="0.3">
      <c r="A2331" t="s">
        <v>3740</v>
      </c>
      <c r="B2331" t="s">
        <v>3738</v>
      </c>
      <c r="C2331" t="s">
        <v>27</v>
      </c>
      <c r="D2331">
        <v>3</v>
      </c>
      <c r="E2331" s="1">
        <v>45900</v>
      </c>
      <c r="F2331" t="s">
        <v>629</v>
      </c>
      <c r="G2331">
        <v>1</v>
      </c>
      <c r="H2331" t="s">
        <v>569</v>
      </c>
      <c r="I2331" t="s">
        <v>570</v>
      </c>
      <c r="J2331" t="str">
        <f t="shared" si="108"/>
        <v>August</v>
      </c>
      <c r="K2331" t="str">
        <f t="shared" si="109"/>
        <v>Q3</v>
      </c>
      <c r="L2331">
        <f t="shared" si="110"/>
        <v>2025</v>
      </c>
    </row>
    <row r="2332" spans="1:12" x14ac:dyDescent="0.3">
      <c r="A2332" t="s">
        <v>3741</v>
      </c>
      <c r="B2332" t="s">
        <v>3738</v>
      </c>
      <c r="C2332" t="s">
        <v>27</v>
      </c>
      <c r="D2332">
        <v>4</v>
      </c>
      <c r="E2332" s="1">
        <v>45911</v>
      </c>
      <c r="F2332" t="s">
        <v>592</v>
      </c>
      <c r="G2332">
        <v>2</v>
      </c>
      <c r="H2332" t="s">
        <v>569</v>
      </c>
      <c r="I2332" t="s">
        <v>570</v>
      </c>
      <c r="J2332" t="str">
        <f t="shared" si="108"/>
        <v>September</v>
      </c>
      <c r="K2332" t="str">
        <f t="shared" si="109"/>
        <v>Q3</v>
      </c>
      <c r="L2332">
        <f t="shared" si="110"/>
        <v>2025</v>
      </c>
    </row>
    <row r="2333" spans="1:12" x14ac:dyDescent="0.3">
      <c r="A2333" t="s">
        <v>3742</v>
      </c>
      <c r="B2333" t="s">
        <v>3743</v>
      </c>
      <c r="C2333" t="s">
        <v>16</v>
      </c>
      <c r="D2333">
        <v>1</v>
      </c>
      <c r="E2333" s="1">
        <v>45764</v>
      </c>
      <c r="F2333" t="s">
        <v>625</v>
      </c>
      <c r="G2333">
        <v>2</v>
      </c>
      <c r="H2333" t="s">
        <v>569</v>
      </c>
      <c r="I2333" t="s">
        <v>597</v>
      </c>
      <c r="J2333" t="str">
        <f t="shared" si="108"/>
        <v>April</v>
      </c>
      <c r="K2333" t="str">
        <f t="shared" si="109"/>
        <v>Q2</v>
      </c>
      <c r="L2333">
        <f t="shared" si="110"/>
        <v>2025</v>
      </c>
    </row>
    <row r="2334" spans="1:12" x14ac:dyDescent="0.3">
      <c r="A2334" t="s">
        <v>3744</v>
      </c>
      <c r="B2334" t="s">
        <v>3743</v>
      </c>
      <c r="C2334" t="s">
        <v>16</v>
      </c>
      <c r="D2334">
        <v>2</v>
      </c>
      <c r="E2334" s="1">
        <v>45769</v>
      </c>
      <c r="F2334" t="s">
        <v>575</v>
      </c>
      <c r="G2334">
        <v>2</v>
      </c>
      <c r="H2334" t="s">
        <v>569</v>
      </c>
      <c r="I2334" t="s">
        <v>570</v>
      </c>
      <c r="J2334" t="str">
        <f t="shared" si="108"/>
        <v>April</v>
      </c>
      <c r="K2334" t="str">
        <f t="shared" si="109"/>
        <v>Q2</v>
      </c>
      <c r="L2334">
        <f t="shared" si="110"/>
        <v>2025</v>
      </c>
    </row>
    <row r="2335" spans="1:12" x14ac:dyDescent="0.3">
      <c r="A2335" t="s">
        <v>3745</v>
      </c>
      <c r="B2335" t="s">
        <v>3743</v>
      </c>
      <c r="C2335" t="s">
        <v>16</v>
      </c>
      <c r="D2335">
        <v>3</v>
      </c>
      <c r="E2335" s="1">
        <v>45781</v>
      </c>
      <c r="F2335" t="s">
        <v>575</v>
      </c>
      <c r="G2335">
        <v>1</v>
      </c>
      <c r="H2335" t="s">
        <v>569</v>
      </c>
      <c r="I2335" t="s">
        <v>570</v>
      </c>
      <c r="J2335" t="str">
        <f t="shared" si="108"/>
        <v>May</v>
      </c>
      <c r="K2335" t="str">
        <f t="shared" si="109"/>
        <v>Q2</v>
      </c>
      <c r="L2335">
        <f t="shared" si="110"/>
        <v>2025</v>
      </c>
    </row>
    <row r="2336" spans="1:12" x14ac:dyDescent="0.3">
      <c r="A2336" t="s">
        <v>3746</v>
      </c>
      <c r="B2336" t="s">
        <v>3747</v>
      </c>
      <c r="C2336" t="s">
        <v>140</v>
      </c>
      <c r="D2336">
        <v>1</v>
      </c>
      <c r="E2336" s="1">
        <v>45933</v>
      </c>
      <c r="F2336" t="s">
        <v>663</v>
      </c>
      <c r="G2336">
        <v>2</v>
      </c>
      <c r="H2336" t="s">
        <v>569</v>
      </c>
      <c r="I2336" t="s">
        <v>570</v>
      </c>
      <c r="J2336" t="str">
        <f t="shared" si="108"/>
        <v>October</v>
      </c>
      <c r="K2336" t="str">
        <f t="shared" si="109"/>
        <v>Q4</v>
      </c>
      <c r="L2336">
        <f t="shared" si="110"/>
        <v>2025</v>
      </c>
    </row>
    <row r="2337" spans="1:12" x14ac:dyDescent="0.3">
      <c r="A2337" t="s">
        <v>3748</v>
      </c>
      <c r="B2337" t="s">
        <v>3747</v>
      </c>
      <c r="C2337" t="s">
        <v>140</v>
      </c>
      <c r="D2337">
        <v>2</v>
      </c>
      <c r="E2337" s="1">
        <v>45940</v>
      </c>
      <c r="F2337" t="s">
        <v>3749</v>
      </c>
      <c r="G2337">
        <v>3</v>
      </c>
      <c r="H2337" t="s">
        <v>578</v>
      </c>
      <c r="I2337" t="s">
        <v>570</v>
      </c>
      <c r="J2337" t="str">
        <f t="shared" si="108"/>
        <v>October</v>
      </c>
      <c r="K2337" t="str">
        <f t="shared" si="109"/>
        <v>Q4</v>
      </c>
      <c r="L2337">
        <f t="shared" si="110"/>
        <v>2025</v>
      </c>
    </row>
    <row r="2338" spans="1:12" x14ac:dyDescent="0.3">
      <c r="A2338" t="s">
        <v>3750</v>
      </c>
      <c r="B2338" t="s">
        <v>3747</v>
      </c>
      <c r="C2338" t="s">
        <v>140</v>
      </c>
      <c r="D2338">
        <v>3</v>
      </c>
      <c r="E2338" s="1">
        <v>45949</v>
      </c>
      <c r="F2338" t="s">
        <v>632</v>
      </c>
      <c r="G2338">
        <v>4</v>
      </c>
      <c r="H2338" t="s">
        <v>581</v>
      </c>
      <c r="I2338" t="s">
        <v>570</v>
      </c>
      <c r="J2338" t="str">
        <f t="shared" si="108"/>
        <v>October</v>
      </c>
      <c r="K2338" t="str">
        <f t="shared" si="109"/>
        <v>Q4</v>
      </c>
      <c r="L2338">
        <f t="shared" si="110"/>
        <v>2025</v>
      </c>
    </row>
    <row r="2339" spans="1:12" x14ac:dyDescent="0.3">
      <c r="A2339" t="s">
        <v>3751</v>
      </c>
      <c r="B2339" t="s">
        <v>3752</v>
      </c>
      <c r="C2339" t="s">
        <v>37</v>
      </c>
      <c r="D2339">
        <v>1</v>
      </c>
      <c r="E2339" s="1">
        <v>45709</v>
      </c>
      <c r="F2339" t="s">
        <v>596</v>
      </c>
      <c r="G2339">
        <v>2</v>
      </c>
      <c r="H2339" t="s">
        <v>569</v>
      </c>
      <c r="I2339" t="s">
        <v>570</v>
      </c>
      <c r="J2339" t="str">
        <f t="shared" si="108"/>
        <v>February</v>
      </c>
      <c r="K2339" t="str">
        <f t="shared" si="109"/>
        <v>Q1</v>
      </c>
      <c r="L2339">
        <f t="shared" si="110"/>
        <v>2025</v>
      </c>
    </row>
    <row r="2340" spans="1:12" x14ac:dyDescent="0.3">
      <c r="A2340" t="s">
        <v>3753</v>
      </c>
      <c r="B2340" t="s">
        <v>3754</v>
      </c>
      <c r="C2340" t="s">
        <v>340</v>
      </c>
      <c r="D2340">
        <v>1</v>
      </c>
      <c r="E2340" s="1">
        <v>45690</v>
      </c>
      <c r="F2340" t="s">
        <v>600</v>
      </c>
      <c r="G2340">
        <v>1</v>
      </c>
      <c r="H2340" t="s">
        <v>569</v>
      </c>
      <c r="I2340" t="s">
        <v>570</v>
      </c>
      <c r="J2340" t="str">
        <f t="shared" si="108"/>
        <v>February</v>
      </c>
      <c r="K2340" t="str">
        <f t="shared" si="109"/>
        <v>Q1</v>
      </c>
      <c r="L2340">
        <f t="shared" si="110"/>
        <v>2025</v>
      </c>
    </row>
    <row r="2341" spans="1:12" x14ac:dyDescent="0.3">
      <c r="A2341" t="s">
        <v>3755</v>
      </c>
      <c r="B2341" t="s">
        <v>3754</v>
      </c>
      <c r="C2341" t="s">
        <v>340</v>
      </c>
      <c r="D2341">
        <v>2</v>
      </c>
      <c r="E2341" s="1">
        <v>45698</v>
      </c>
      <c r="F2341" t="s">
        <v>743</v>
      </c>
      <c r="G2341">
        <v>2</v>
      </c>
      <c r="H2341" t="s">
        <v>569</v>
      </c>
      <c r="I2341" t="s">
        <v>570</v>
      </c>
      <c r="J2341" t="str">
        <f t="shared" si="108"/>
        <v>February</v>
      </c>
      <c r="K2341" t="str">
        <f t="shared" si="109"/>
        <v>Q1</v>
      </c>
      <c r="L2341">
        <f t="shared" si="110"/>
        <v>2025</v>
      </c>
    </row>
    <row r="2342" spans="1:12" x14ac:dyDescent="0.3">
      <c r="A2342" t="s">
        <v>3756</v>
      </c>
      <c r="B2342" t="s">
        <v>3754</v>
      </c>
      <c r="C2342" t="s">
        <v>340</v>
      </c>
      <c r="D2342">
        <v>3</v>
      </c>
      <c r="E2342" s="1">
        <v>45705</v>
      </c>
      <c r="F2342" t="s">
        <v>600</v>
      </c>
      <c r="G2342">
        <v>1</v>
      </c>
      <c r="H2342" t="s">
        <v>569</v>
      </c>
      <c r="I2342" t="s">
        <v>570</v>
      </c>
      <c r="J2342" t="str">
        <f t="shared" si="108"/>
        <v>February</v>
      </c>
      <c r="K2342" t="str">
        <f t="shared" si="109"/>
        <v>Q1</v>
      </c>
      <c r="L2342">
        <f t="shared" si="110"/>
        <v>2025</v>
      </c>
    </row>
    <row r="2343" spans="1:12" x14ac:dyDescent="0.3">
      <c r="A2343" t="s">
        <v>3757</v>
      </c>
      <c r="B2343" t="s">
        <v>507</v>
      </c>
      <c r="C2343" t="s">
        <v>147</v>
      </c>
      <c r="D2343">
        <v>1</v>
      </c>
      <c r="E2343" s="1">
        <v>45834</v>
      </c>
      <c r="F2343" t="s">
        <v>572</v>
      </c>
      <c r="G2343">
        <v>4</v>
      </c>
      <c r="H2343" t="s">
        <v>581</v>
      </c>
      <c r="I2343" t="s">
        <v>570</v>
      </c>
      <c r="J2343" t="str">
        <f t="shared" si="108"/>
        <v>June</v>
      </c>
      <c r="K2343" t="str">
        <f t="shared" si="109"/>
        <v>Q2</v>
      </c>
      <c r="L2343">
        <f t="shared" si="110"/>
        <v>2025</v>
      </c>
    </row>
    <row r="2344" spans="1:12" x14ac:dyDescent="0.3">
      <c r="A2344" t="s">
        <v>3758</v>
      </c>
      <c r="B2344" t="s">
        <v>507</v>
      </c>
      <c r="C2344" t="s">
        <v>147</v>
      </c>
      <c r="D2344">
        <v>2</v>
      </c>
      <c r="E2344" s="1">
        <v>45840</v>
      </c>
      <c r="F2344" t="s">
        <v>586</v>
      </c>
      <c r="G2344">
        <v>5</v>
      </c>
      <c r="H2344" t="s">
        <v>581</v>
      </c>
      <c r="I2344" t="s">
        <v>570</v>
      </c>
      <c r="J2344" t="str">
        <f t="shared" si="108"/>
        <v>July</v>
      </c>
      <c r="K2344" t="str">
        <f t="shared" si="109"/>
        <v>Q3</v>
      </c>
      <c r="L2344">
        <f t="shared" si="110"/>
        <v>2025</v>
      </c>
    </row>
    <row r="2345" spans="1:12" x14ac:dyDescent="0.3">
      <c r="A2345" t="s">
        <v>3759</v>
      </c>
      <c r="B2345" t="s">
        <v>3760</v>
      </c>
      <c r="C2345" t="s">
        <v>22</v>
      </c>
      <c r="D2345">
        <v>1</v>
      </c>
      <c r="E2345" s="1">
        <v>45841</v>
      </c>
      <c r="F2345" t="s">
        <v>577</v>
      </c>
      <c r="G2345">
        <v>1</v>
      </c>
      <c r="H2345" t="s">
        <v>569</v>
      </c>
      <c r="I2345" t="s">
        <v>608</v>
      </c>
      <c r="J2345" t="str">
        <f t="shared" si="108"/>
        <v>July</v>
      </c>
      <c r="K2345" t="str">
        <f t="shared" si="109"/>
        <v>Q3</v>
      </c>
      <c r="L2345">
        <f t="shared" si="110"/>
        <v>2025</v>
      </c>
    </row>
    <row r="2346" spans="1:12" x14ac:dyDescent="0.3">
      <c r="A2346" t="s">
        <v>3761</v>
      </c>
      <c r="B2346" t="s">
        <v>3760</v>
      </c>
      <c r="C2346" t="s">
        <v>22</v>
      </c>
      <c r="D2346">
        <v>2</v>
      </c>
      <c r="E2346" s="1">
        <v>45853</v>
      </c>
      <c r="F2346" t="s">
        <v>605</v>
      </c>
      <c r="G2346">
        <v>1</v>
      </c>
      <c r="H2346" t="s">
        <v>569</v>
      </c>
      <c r="I2346" t="s">
        <v>570</v>
      </c>
      <c r="J2346" t="str">
        <f t="shared" si="108"/>
        <v>July</v>
      </c>
      <c r="K2346" t="str">
        <f t="shared" si="109"/>
        <v>Q3</v>
      </c>
      <c r="L2346">
        <f t="shared" si="110"/>
        <v>2025</v>
      </c>
    </row>
    <row r="2347" spans="1:12" x14ac:dyDescent="0.3">
      <c r="A2347" t="s">
        <v>3762</v>
      </c>
      <c r="B2347" t="s">
        <v>3760</v>
      </c>
      <c r="C2347" t="s">
        <v>22</v>
      </c>
      <c r="D2347">
        <v>3</v>
      </c>
      <c r="E2347" s="1">
        <v>45861</v>
      </c>
      <c r="F2347" t="s">
        <v>612</v>
      </c>
      <c r="G2347">
        <v>1</v>
      </c>
      <c r="H2347" t="s">
        <v>569</v>
      </c>
      <c r="I2347" t="s">
        <v>570</v>
      </c>
      <c r="J2347" t="str">
        <f t="shared" si="108"/>
        <v>July</v>
      </c>
      <c r="K2347" t="str">
        <f t="shared" si="109"/>
        <v>Q3</v>
      </c>
      <c r="L2347">
        <f t="shared" si="110"/>
        <v>2025</v>
      </c>
    </row>
    <row r="2348" spans="1:12" x14ac:dyDescent="0.3">
      <c r="A2348" t="s">
        <v>3763</v>
      </c>
      <c r="B2348" t="s">
        <v>3760</v>
      </c>
      <c r="C2348" t="s">
        <v>22</v>
      </c>
      <c r="D2348">
        <v>4</v>
      </c>
      <c r="E2348" s="1">
        <v>45869</v>
      </c>
      <c r="F2348" t="s">
        <v>625</v>
      </c>
      <c r="G2348">
        <v>2</v>
      </c>
      <c r="H2348" t="s">
        <v>569</v>
      </c>
      <c r="I2348" t="s">
        <v>570</v>
      </c>
      <c r="J2348" t="str">
        <f t="shared" si="108"/>
        <v>July</v>
      </c>
      <c r="K2348" t="str">
        <f t="shared" si="109"/>
        <v>Q3</v>
      </c>
      <c r="L2348">
        <f t="shared" si="110"/>
        <v>2025</v>
      </c>
    </row>
    <row r="2349" spans="1:12" x14ac:dyDescent="0.3">
      <c r="A2349" t="s">
        <v>3764</v>
      </c>
      <c r="B2349" t="s">
        <v>332</v>
      </c>
      <c r="C2349" t="s">
        <v>183</v>
      </c>
      <c r="D2349">
        <v>1</v>
      </c>
      <c r="E2349" s="1">
        <v>45858</v>
      </c>
      <c r="F2349" t="s">
        <v>649</v>
      </c>
      <c r="G2349">
        <v>3</v>
      </c>
      <c r="H2349" t="s">
        <v>578</v>
      </c>
      <c r="I2349" t="s">
        <v>570</v>
      </c>
      <c r="J2349" t="str">
        <f t="shared" si="108"/>
        <v>July</v>
      </c>
      <c r="K2349" t="str">
        <f t="shared" si="109"/>
        <v>Q3</v>
      </c>
      <c r="L2349">
        <f t="shared" si="110"/>
        <v>2025</v>
      </c>
    </row>
    <row r="2350" spans="1:12" x14ac:dyDescent="0.3">
      <c r="A2350" t="s">
        <v>3765</v>
      </c>
      <c r="B2350" t="s">
        <v>332</v>
      </c>
      <c r="C2350" t="s">
        <v>183</v>
      </c>
      <c r="D2350">
        <v>2</v>
      </c>
      <c r="E2350" s="1">
        <v>45862</v>
      </c>
      <c r="F2350" t="s">
        <v>658</v>
      </c>
      <c r="G2350">
        <v>3</v>
      </c>
      <c r="H2350" t="s">
        <v>578</v>
      </c>
      <c r="I2350" t="s">
        <v>570</v>
      </c>
      <c r="J2350" t="str">
        <f t="shared" si="108"/>
        <v>July</v>
      </c>
      <c r="K2350" t="str">
        <f t="shared" si="109"/>
        <v>Q3</v>
      </c>
      <c r="L2350">
        <f t="shared" si="110"/>
        <v>2025</v>
      </c>
    </row>
    <row r="2351" spans="1:12" x14ac:dyDescent="0.3">
      <c r="A2351" t="s">
        <v>3766</v>
      </c>
      <c r="B2351" t="s">
        <v>332</v>
      </c>
      <c r="C2351" t="s">
        <v>183</v>
      </c>
      <c r="D2351">
        <v>3</v>
      </c>
      <c r="E2351" s="1">
        <v>45871</v>
      </c>
      <c r="F2351" t="s">
        <v>656</v>
      </c>
      <c r="G2351">
        <v>4</v>
      </c>
      <c r="H2351" t="s">
        <v>581</v>
      </c>
      <c r="I2351" t="s">
        <v>570</v>
      </c>
      <c r="J2351" t="str">
        <f t="shared" si="108"/>
        <v>August</v>
      </c>
      <c r="K2351" t="str">
        <f t="shared" si="109"/>
        <v>Q3</v>
      </c>
      <c r="L2351">
        <f t="shared" si="110"/>
        <v>2025</v>
      </c>
    </row>
    <row r="2352" spans="1:12" x14ac:dyDescent="0.3">
      <c r="A2352" t="s">
        <v>3767</v>
      </c>
      <c r="B2352" t="s">
        <v>332</v>
      </c>
      <c r="C2352" t="s">
        <v>183</v>
      </c>
      <c r="D2352">
        <v>4</v>
      </c>
      <c r="E2352" s="1">
        <v>45883</v>
      </c>
      <c r="F2352" t="s">
        <v>649</v>
      </c>
      <c r="G2352">
        <v>4</v>
      </c>
      <c r="H2352" t="s">
        <v>581</v>
      </c>
      <c r="I2352" t="s">
        <v>570</v>
      </c>
      <c r="J2352" t="str">
        <f t="shared" si="108"/>
        <v>August</v>
      </c>
      <c r="K2352" t="str">
        <f t="shared" si="109"/>
        <v>Q3</v>
      </c>
      <c r="L2352">
        <f t="shared" si="110"/>
        <v>2025</v>
      </c>
    </row>
    <row r="2353" spans="1:12" x14ac:dyDescent="0.3">
      <c r="A2353" t="s">
        <v>3768</v>
      </c>
      <c r="B2353" t="s">
        <v>406</v>
      </c>
      <c r="C2353" t="s">
        <v>45</v>
      </c>
      <c r="D2353">
        <v>1</v>
      </c>
      <c r="E2353" s="1">
        <v>45857</v>
      </c>
      <c r="F2353" t="s">
        <v>638</v>
      </c>
      <c r="G2353">
        <v>4</v>
      </c>
      <c r="H2353" t="s">
        <v>581</v>
      </c>
      <c r="I2353" t="s">
        <v>570</v>
      </c>
      <c r="J2353" t="str">
        <f t="shared" si="108"/>
        <v>July</v>
      </c>
      <c r="K2353" t="str">
        <f t="shared" si="109"/>
        <v>Q3</v>
      </c>
      <c r="L2353">
        <f t="shared" si="110"/>
        <v>2025</v>
      </c>
    </row>
    <row r="2354" spans="1:12" x14ac:dyDescent="0.3">
      <c r="A2354" t="s">
        <v>3769</v>
      </c>
      <c r="B2354" t="s">
        <v>406</v>
      </c>
      <c r="C2354" t="s">
        <v>45</v>
      </c>
      <c r="D2354">
        <v>2</v>
      </c>
      <c r="E2354" s="1">
        <v>45868</v>
      </c>
      <c r="F2354" t="s">
        <v>741</v>
      </c>
      <c r="G2354">
        <v>4</v>
      </c>
      <c r="H2354" t="s">
        <v>581</v>
      </c>
      <c r="I2354" t="s">
        <v>597</v>
      </c>
      <c r="J2354" t="str">
        <f t="shared" si="108"/>
        <v>July</v>
      </c>
      <c r="K2354" t="str">
        <f t="shared" si="109"/>
        <v>Q3</v>
      </c>
      <c r="L2354">
        <f t="shared" si="110"/>
        <v>2025</v>
      </c>
    </row>
    <row r="2355" spans="1:12" x14ac:dyDescent="0.3">
      <c r="A2355" t="s">
        <v>3770</v>
      </c>
      <c r="B2355" t="s">
        <v>406</v>
      </c>
      <c r="C2355" t="s">
        <v>45</v>
      </c>
      <c r="D2355">
        <v>3</v>
      </c>
      <c r="E2355" s="1">
        <v>45873</v>
      </c>
      <c r="F2355" t="s">
        <v>580</v>
      </c>
      <c r="G2355">
        <v>4</v>
      </c>
      <c r="H2355" t="s">
        <v>581</v>
      </c>
      <c r="I2355" t="s">
        <v>570</v>
      </c>
      <c r="J2355" t="str">
        <f t="shared" si="108"/>
        <v>August</v>
      </c>
      <c r="K2355" t="str">
        <f t="shared" si="109"/>
        <v>Q3</v>
      </c>
      <c r="L2355">
        <f t="shared" si="110"/>
        <v>2025</v>
      </c>
    </row>
    <row r="2356" spans="1:12" x14ac:dyDescent="0.3">
      <c r="A2356" t="s">
        <v>3771</v>
      </c>
      <c r="B2356" t="s">
        <v>406</v>
      </c>
      <c r="C2356" t="s">
        <v>45</v>
      </c>
      <c r="D2356">
        <v>4</v>
      </c>
      <c r="E2356" s="1">
        <v>45885</v>
      </c>
      <c r="F2356" t="s">
        <v>592</v>
      </c>
      <c r="G2356">
        <v>4</v>
      </c>
      <c r="H2356" t="s">
        <v>581</v>
      </c>
      <c r="I2356" t="s">
        <v>570</v>
      </c>
      <c r="J2356" t="str">
        <f t="shared" si="108"/>
        <v>August</v>
      </c>
      <c r="K2356" t="str">
        <f t="shared" si="109"/>
        <v>Q3</v>
      </c>
      <c r="L2356">
        <f t="shared" si="110"/>
        <v>2025</v>
      </c>
    </row>
    <row r="2357" spans="1:12" x14ac:dyDescent="0.3">
      <c r="A2357" t="s">
        <v>3772</v>
      </c>
      <c r="B2357" t="s">
        <v>3773</v>
      </c>
      <c r="C2357" t="s">
        <v>208</v>
      </c>
      <c r="D2357">
        <v>1</v>
      </c>
      <c r="E2357" s="1">
        <v>45806</v>
      </c>
      <c r="F2357" t="s">
        <v>638</v>
      </c>
      <c r="G2357">
        <v>2</v>
      </c>
      <c r="H2357" t="s">
        <v>569</v>
      </c>
      <c r="I2357" t="s">
        <v>570</v>
      </c>
      <c r="J2357" t="str">
        <f t="shared" si="108"/>
        <v>May</v>
      </c>
      <c r="K2357" t="str">
        <f t="shared" si="109"/>
        <v>Q2</v>
      </c>
      <c r="L2357">
        <f t="shared" si="110"/>
        <v>2025</v>
      </c>
    </row>
    <row r="2358" spans="1:12" x14ac:dyDescent="0.3">
      <c r="A2358" t="s">
        <v>3774</v>
      </c>
      <c r="B2358" t="s">
        <v>3773</v>
      </c>
      <c r="C2358" t="s">
        <v>208</v>
      </c>
      <c r="D2358">
        <v>2</v>
      </c>
      <c r="E2358" s="1">
        <v>45811</v>
      </c>
      <c r="F2358" t="s">
        <v>741</v>
      </c>
      <c r="G2358">
        <v>1</v>
      </c>
      <c r="H2358" t="s">
        <v>569</v>
      </c>
      <c r="I2358" t="s">
        <v>597</v>
      </c>
      <c r="J2358" t="str">
        <f t="shared" si="108"/>
        <v>June</v>
      </c>
      <c r="K2358" t="str">
        <f t="shared" si="109"/>
        <v>Q2</v>
      </c>
      <c r="L2358">
        <f t="shared" si="110"/>
        <v>2025</v>
      </c>
    </row>
    <row r="2359" spans="1:12" x14ac:dyDescent="0.3">
      <c r="A2359" t="s">
        <v>3775</v>
      </c>
      <c r="B2359" t="s">
        <v>3776</v>
      </c>
      <c r="C2359" t="s">
        <v>51</v>
      </c>
      <c r="D2359">
        <v>1</v>
      </c>
      <c r="E2359" s="1">
        <v>45949</v>
      </c>
      <c r="F2359" t="s">
        <v>586</v>
      </c>
      <c r="G2359">
        <v>4</v>
      </c>
      <c r="H2359" t="s">
        <v>581</v>
      </c>
      <c r="I2359" t="s">
        <v>570</v>
      </c>
      <c r="J2359" t="str">
        <f t="shared" si="108"/>
        <v>October</v>
      </c>
      <c r="K2359" t="str">
        <f t="shared" si="109"/>
        <v>Q4</v>
      </c>
      <c r="L2359">
        <f t="shared" si="110"/>
        <v>2025</v>
      </c>
    </row>
    <row r="2360" spans="1:12" x14ac:dyDescent="0.3">
      <c r="A2360" t="s">
        <v>3777</v>
      </c>
      <c r="B2360" t="s">
        <v>3776</v>
      </c>
      <c r="C2360" t="s">
        <v>51</v>
      </c>
      <c r="D2360">
        <v>2</v>
      </c>
      <c r="E2360" s="1">
        <v>45959</v>
      </c>
      <c r="F2360" t="s">
        <v>663</v>
      </c>
      <c r="G2360">
        <v>2</v>
      </c>
      <c r="H2360" t="s">
        <v>569</v>
      </c>
      <c r="I2360" t="s">
        <v>570</v>
      </c>
      <c r="J2360" t="str">
        <f t="shared" si="108"/>
        <v>October</v>
      </c>
      <c r="K2360" t="str">
        <f t="shared" si="109"/>
        <v>Q4</v>
      </c>
      <c r="L2360">
        <f t="shared" si="110"/>
        <v>2025</v>
      </c>
    </row>
    <row r="2361" spans="1:12" x14ac:dyDescent="0.3">
      <c r="A2361" t="s">
        <v>3778</v>
      </c>
      <c r="B2361" t="s">
        <v>3776</v>
      </c>
      <c r="C2361" t="s">
        <v>51</v>
      </c>
      <c r="D2361">
        <v>3</v>
      </c>
      <c r="E2361" s="1">
        <v>45965</v>
      </c>
      <c r="F2361" t="s">
        <v>663</v>
      </c>
      <c r="G2361">
        <v>3</v>
      </c>
      <c r="H2361" t="s">
        <v>578</v>
      </c>
      <c r="I2361" t="s">
        <v>570</v>
      </c>
      <c r="J2361" t="str">
        <f t="shared" si="108"/>
        <v>November</v>
      </c>
      <c r="K2361" t="str">
        <f t="shared" si="109"/>
        <v>Q4</v>
      </c>
      <c r="L2361">
        <f t="shared" si="110"/>
        <v>2025</v>
      </c>
    </row>
    <row r="2362" spans="1:12" x14ac:dyDescent="0.3">
      <c r="A2362" t="s">
        <v>3779</v>
      </c>
      <c r="B2362" t="s">
        <v>3780</v>
      </c>
      <c r="C2362" t="s">
        <v>429</v>
      </c>
      <c r="D2362">
        <v>1</v>
      </c>
      <c r="E2362" s="1">
        <v>45773</v>
      </c>
      <c r="F2362" t="s">
        <v>766</v>
      </c>
      <c r="G2362">
        <v>5</v>
      </c>
      <c r="H2362" t="s">
        <v>581</v>
      </c>
      <c r="I2362" t="s">
        <v>570</v>
      </c>
      <c r="J2362" t="str">
        <f t="shared" si="108"/>
        <v>April</v>
      </c>
      <c r="K2362" t="str">
        <f t="shared" si="109"/>
        <v>Q2</v>
      </c>
      <c r="L2362">
        <f t="shared" si="110"/>
        <v>2025</v>
      </c>
    </row>
    <row r="2363" spans="1:12" x14ac:dyDescent="0.3">
      <c r="A2363" t="s">
        <v>3781</v>
      </c>
      <c r="B2363" t="s">
        <v>3780</v>
      </c>
      <c r="C2363" t="s">
        <v>429</v>
      </c>
      <c r="D2363">
        <v>2</v>
      </c>
      <c r="E2363" s="1">
        <v>45779</v>
      </c>
      <c r="F2363" t="s">
        <v>766</v>
      </c>
      <c r="G2363">
        <v>3</v>
      </c>
      <c r="H2363" t="s">
        <v>578</v>
      </c>
      <c r="I2363" t="s">
        <v>570</v>
      </c>
      <c r="J2363" t="str">
        <f t="shared" si="108"/>
        <v>May</v>
      </c>
      <c r="K2363" t="str">
        <f t="shared" si="109"/>
        <v>Q2</v>
      </c>
      <c r="L2363">
        <f t="shared" si="110"/>
        <v>2025</v>
      </c>
    </row>
    <row r="2364" spans="1:12" x14ac:dyDescent="0.3">
      <c r="A2364" t="s">
        <v>3782</v>
      </c>
      <c r="B2364" t="s">
        <v>3780</v>
      </c>
      <c r="C2364" t="s">
        <v>429</v>
      </c>
      <c r="D2364">
        <v>3</v>
      </c>
      <c r="E2364" s="1">
        <v>45788</v>
      </c>
      <c r="F2364" t="s">
        <v>590</v>
      </c>
      <c r="G2364">
        <v>4</v>
      </c>
      <c r="H2364" t="s">
        <v>581</v>
      </c>
      <c r="I2364" t="s">
        <v>570</v>
      </c>
      <c r="J2364" t="str">
        <f t="shared" si="108"/>
        <v>May</v>
      </c>
      <c r="K2364" t="str">
        <f t="shared" si="109"/>
        <v>Q2</v>
      </c>
      <c r="L2364">
        <f t="shared" si="110"/>
        <v>2025</v>
      </c>
    </row>
    <row r="2365" spans="1:12" x14ac:dyDescent="0.3">
      <c r="A2365" t="s">
        <v>3783</v>
      </c>
      <c r="B2365" t="s">
        <v>3784</v>
      </c>
      <c r="C2365" t="s">
        <v>337</v>
      </c>
      <c r="D2365">
        <v>1</v>
      </c>
      <c r="E2365" s="1">
        <v>45842</v>
      </c>
      <c r="F2365" t="s">
        <v>572</v>
      </c>
      <c r="G2365">
        <v>2</v>
      </c>
      <c r="H2365" t="s">
        <v>569</v>
      </c>
      <c r="I2365" t="s">
        <v>570</v>
      </c>
      <c r="J2365" t="str">
        <f t="shared" si="108"/>
        <v>July</v>
      </c>
      <c r="K2365" t="str">
        <f t="shared" si="109"/>
        <v>Q3</v>
      </c>
      <c r="L2365">
        <f t="shared" si="110"/>
        <v>2025</v>
      </c>
    </row>
    <row r="2366" spans="1:12" x14ac:dyDescent="0.3">
      <c r="A2366" t="s">
        <v>3785</v>
      </c>
      <c r="B2366" t="s">
        <v>3784</v>
      </c>
      <c r="C2366" t="s">
        <v>337</v>
      </c>
      <c r="D2366">
        <v>2</v>
      </c>
      <c r="E2366" s="1">
        <v>45846</v>
      </c>
      <c r="F2366" t="s">
        <v>621</v>
      </c>
      <c r="G2366">
        <v>3</v>
      </c>
      <c r="H2366" t="s">
        <v>578</v>
      </c>
      <c r="I2366" t="s">
        <v>570</v>
      </c>
      <c r="J2366" t="str">
        <f t="shared" si="108"/>
        <v>July</v>
      </c>
      <c r="K2366" t="str">
        <f t="shared" si="109"/>
        <v>Q3</v>
      </c>
      <c r="L2366">
        <f t="shared" si="110"/>
        <v>2025</v>
      </c>
    </row>
    <row r="2367" spans="1:12" x14ac:dyDescent="0.3">
      <c r="A2367" t="s">
        <v>3786</v>
      </c>
      <c r="B2367" t="s">
        <v>3784</v>
      </c>
      <c r="C2367" t="s">
        <v>337</v>
      </c>
      <c r="D2367">
        <v>3</v>
      </c>
      <c r="E2367" s="1">
        <v>45851</v>
      </c>
      <c r="F2367" t="s">
        <v>621</v>
      </c>
      <c r="G2367">
        <v>1</v>
      </c>
      <c r="H2367" t="s">
        <v>569</v>
      </c>
      <c r="I2367" t="s">
        <v>570</v>
      </c>
      <c r="J2367" t="str">
        <f t="shared" si="108"/>
        <v>July</v>
      </c>
      <c r="K2367" t="str">
        <f t="shared" si="109"/>
        <v>Q3</v>
      </c>
      <c r="L2367">
        <f t="shared" si="110"/>
        <v>2025</v>
      </c>
    </row>
    <row r="2368" spans="1:12" x14ac:dyDescent="0.3">
      <c r="A2368" t="s">
        <v>3787</v>
      </c>
      <c r="B2368" t="s">
        <v>3784</v>
      </c>
      <c r="C2368" t="s">
        <v>337</v>
      </c>
      <c r="D2368">
        <v>4</v>
      </c>
      <c r="E2368" s="1">
        <v>45857</v>
      </c>
      <c r="F2368" t="s">
        <v>572</v>
      </c>
      <c r="G2368">
        <v>3</v>
      </c>
      <c r="H2368" t="s">
        <v>578</v>
      </c>
      <c r="I2368" t="s">
        <v>570</v>
      </c>
      <c r="J2368" t="str">
        <f t="shared" si="108"/>
        <v>July</v>
      </c>
      <c r="K2368" t="str">
        <f t="shared" si="109"/>
        <v>Q3</v>
      </c>
      <c r="L2368">
        <f t="shared" si="110"/>
        <v>2025</v>
      </c>
    </row>
    <row r="2369" spans="1:12" x14ac:dyDescent="0.3">
      <c r="A2369" t="s">
        <v>3788</v>
      </c>
      <c r="B2369" t="s">
        <v>257</v>
      </c>
      <c r="C2369" t="s">
        <v>156</v>
      </c>
      <c r="D2369">
        <v>1</v>
      </c>
      <c r="E2369" s="1">
        <v>45729</v>
      </c>
      <c r="F2369" t="s">
        <v>580</v>
      </c>
      <c r="G2369">
        <v>2</v>
      </c>
      <c r="H2369" t="s">
        <v>569</v>
      </c>
      <c r="I2369" t="s">
        <v>570</v>
      </c>
      <c r="J2369" t="str">
        <f t="shared" si="108"/>
        <v>March</v>
      </c>
      <c r="K2369" t="str">
        <f t="shared" si="109"/>
        <v>Q1</v>
      </c>
      <c r="L2369">
        <f t="shared" si="110"/>
        <v>2025</v>
      </c>
    </row>
    <row r="2370" spans="1:12" x14ac:dyDescent="0.3">
      <c r="A2370" t="s">
        <v>3789</v>
      </c>
      <c r="B2370" t="s">
        <v>257</v>
      </c>
      <c r="C2370" t="s">
        <v>156</v>
      </c>
      <c r="D2370">
        <v>2</v>
      </c>
      <c r="E2370" s="1">
        <v>45737</v>
      </c>
      <c r="F2370" t="s">
        <v>580</v>
      </c>
      <c r="G2370">
        <v>4</v>
      </c>
      <c r="H2370" t="s">
        <v>581</v>
      </c>
      <c r="I2370" t="s">
        <v>570</v>
      </c>
      <c r="J2370" t="str">
        <f t="shared" ref="J2370:J2433" si="111">TEXT(E2370,"mmmm")</f>
        <v>March</v>
      </c>
      <c r="K2370" t="str">
        <f t="shared" ref="K2370:K2433" si="112">"Q"&amp;ROUNDUP(MONTH(E2370)/3,0)</f>
        <v>Q1</v>
      </c>
      <c r="L2370">
        <f t="shared" ref="L2370:L2433" si="113">YEAR(E2370)</f>
        <v>2025</v>
      </c>
    </row>
    <row r="2371" spans="1:12" x14ac:dyDescent="0.3">
      <c r="A2371" t="s">
        <v>3790</v>
      </c>
      <c r="B2371" t="s">
        <v>3791</v>
      </c>
      <c r="C2371" t="s">
        <v>45</v>
      </c>
      <c r="D2371">
        <v>1</v>
      </c>
      <c r="E2371" s="1">
        <v>45863</v>
      </c>
      <c r="F2371" t="s">
        <v>766</v>
      </c>
      <c r="G2371">
        <v>1</v>
      </c>
      <c r="H2371" t="s">
        <v>569</v>
      </c>
      <c r="I2371" t="s">
        <v>570</v>
      </c>
      <c r="J2371" t="str">
        <f t="shared" si="111"/>
        <v>July</v>
      </c>
      <c r="K2371" t="str">
        <f t="shared" si="112"/>
        <v>Q3</v>
      </c>
      <c r="L2371">
        <f t="shared" si="113"/>
        <v>2025</v>
      </c>
    </row>
    <row r="2372" spans="1:12" x14ac:dyDescent="0.3">
      <c r="A2372" t="s">
        <v>3792</v>
      </c>
      <c r="B2372" t="s">
        <v>3791</v>
      </c>
      <c r="C2372" t="s">
        <v>45</v>
      </c>
      <c r="D2372">
        <v>2</v>
      </c>
      <c r="E2372" s="1">
        <v>45867</v>
      </c>
      <c r="F2372" t="s">
        <v>766</v>
      </c>
      <c r="G2372">
        <v>1</v>
      </c>
      <c r="H2372" t="s">
        <v>569</v>
      </c>
      <c r="I2372" t="s">
        <v>570</v>
      </c>
      <c r="J2372" t="str">
        <f t="shared" si="111"/>
        <v>July</v>
      </c>
      <c r="K2372" t="str">
        <f t="shared" si="112"/>
        <v>Q3</v>
      </c>
      <c r="L2372">
        <f t="shared" si="113"/>
        <v>2025</v>
      </c>
    </row>
    <row r="2373" spans="1:12" x14ac:dyDescent="0.3">
      <c r="A2373" t="s">
        <v>3793</v>
      </c>
      <c r="B2373" t="s">
        <v>3794</v>
      </c>
      <c r="C2373" t="s">
        <v>96</v>
      </c>
      <c r="D2373">
        <v>1</v>
      </c>
      <c r="E2373" s="1">
        <v>45885</v>
      </c>
      <c r="F2373" t="s">
        <v>612</v>
      </c>
      <c r="G2373">
        <v>4</v>
      </c>
      <c r="H2373" t="s">
        <v>581</v>
      </c>
      <c r="I2373" t="s">
        <v>570</v>
      </c>
      <c r="J2373" t="str">
        <f t="shared" si="111"/>
        <v>August</v>
      </c>
      <c r="K2373" t="str">
        <f t="shared" si="112"/>
        <v>Q3</v>
      </c>
      <c r="L2373">
        <f t="shared" si="113"/>
        <v>2025</v>
      </c>
    </row>
    <row r="2374" spans="1:12" x14ac:dyDescent="0.3">
      <c r="A2374" t="s">
        <v>3795</v>
      </c>
      <c r="B2374" t="s">
        <v>3796</v>
      </c>
      <c r="C2374" t="s">
        <v>260</v>
      </c>
      <c r="D2374">
        <v>1</v>
      </c>
      <c r="E2374" s="1">
        <v>45738</v>
      </c>
      <c r="F2374" t="s">
        <v>603</v>
      </c>
      <c r="G2374">
        <v>3</v>
      </c>
      <c r="H2374" t="s">
        <v>578</v>
      </c>
      <c r="I2374" t="s">
        <v>570</v>
      </c>
      <c r="J2374" t="str">
        <f t="shared" si="111"/>
        <v>March</v>
      </c>
      <c r="K2374" t="str">
        <f t="shared" si="112"/>
        <v>Q1</v>
      </c>
      <c r="L2374">
        <f t="shared" si="113"/>
        <v>2025</v>
      </c>
    </row>
    <row r="2375" spans="1:12" x14ac:dyDescent="0.3">
      <c r="A2375" t="s">
        <v>3797</v>
      </c>
      <c r="B2375" t="s">
        <v>3796</v>
      </c>
      <c r="C2375" t="s">
        <v>260</v>
      </c>
      <c r="D2375">
        <v>2</v>
      </c>
      <c r="E2375" s="1">
        <v>45744</v>
      </c>
      <c r="F2375" t="s">
        <v>612</v>
      </c>
      <c r="G2375">
        <v>2</v>
      </c>
      <c r="H2375" t="s">
        <v>569</v>
      </c>
      <c r="I2375" t="s">
        <v>570</v>
      </c>
      <c r="J2375" t="str">
        <f t="shared" si="111"/>
        <v>March</v>
      </c>
      <c r="K2375" t="str">
        <f t="shared" si="112"/>
        <v>Q1</v>
      </c>
      <c r="L2375">
        <f t="shared" si="113"/>
        <v>2025</v>
      </c>
    </row>
    <row r="2376" spans="1:12" x14ac:dyDescent="0.3">
      <c r="A2376" t="s">
        <v>3798</v>
      </c>
      <c r="B2376" t="s">
        <v>3796</v>
      </c>
      <c r="C2376" t="s">
        <v>260</v>
      </c>
      <c r="D2376">
        <v>3</v>
      </c>
      <c r="E2376" s="1">
        <v>45752</v>
      </c>
      <c r="F2376" t="s">
        <v>612</v>
      </c>
      <c r="G2376">
        <v>2</v>
      </c>
      <c r="H2376" t="s">
        <v>569</v>
      </c>
      <c r="I2376" t="s">
        <v>597</v>
      </c>
      <c r="J2376" t="str">
        <f t="shared" si="111"/>
        <v>April</v>
      </c>
      <c r="K2376" t="str">
        <f t="shared" si="112"/>
        <v>Q2</v>
      </c>
      <c r="L2376">
        <f t="shared" si="113"/>
        <v>2025</v>
      </c>
    </row>
    <row r="2377" spans="1:12" x14ac:dyDescent="0.3">
      <c r="A2377" t="s">
        <v>3799</v>
      </c>
      <c r="B2377" t="s">
        <v>3800</v>
      </c>
      <c r="C2377" t="s">
        <v>51</v>
      </c>
      <c r="D2377">
        <v>1</v>
      </c>
      <c r="E2377" s="1">
        <v>45949</v>
      </c>
      <c r="F2377" t="s">
        <v>568</v>
      </c>
      <c r="G2377">
        <v>4</v>
      </c>
      <c r="H2377" t="s">
        <v>581</v>
      </c>
      <c r="I2377" t="s">
        <v>570</v>
      </c>
      <c r="J2377" t="str">
        <f t="shared" si="111"/>
        <v>October</v>
      </c>
      <c r="K2377" t="str">
        <f t="shared" si="112"/>
        <v>Q4</v>
      </c>
      <c r="L2377">
        <f t="shared" si="113"/>
        <v>2025</v>
      </c>
    </row>
    <row r="2378" spans="1:12" x14ac:dyDescent="0.3">
      <c r="A2378" t="s">
        <v>3801</v>
      </c>
      <c r="B2378" t="s">
        <v>3800</v>
      </c>
      <c r="C2378" t="s">
        <v>51</v>
      </c>
      <c r="D2378">
        <v>2</v>
      </c>
      <c r="E2378" s="1">
        <v>45955</v>
      </c>
      <c r="F2378" t="s">
        <v>568</v>
      </c>
      <c r="G2378">
        <v>5</v>
      </c>
      <c r="H2378" t="s">
        <v>581</v>
      </c>
      <c r="I2378" t="s">
        <v>608</v>
      </c>
      <c r="J2378" t="str">
        <f t="shared" si="111"/>
        <v>October</v>
      </c>
      <c r="K2378" t="str">
        <f t="shared" si="112"/>
        <v>Q4</v>
      </c>
      <c r="L2378">
        <f t="shared" si="113"/>
        <v>2025</v>
      </c>
    </row>
    <row r="2379" spans="1:12" x14ac:dyDescent="0.3">
      <c r="A2379" t="s">
        <v>3802</v>
      </c>
      <c r="B2379" t="s">
        <v>3803</v>
      </c>
      <c r="C2379" t="s">
        <v>973</v>
      </c>
      <c r="D2379">
        <v>1</v>
      </c>
      <c r="E2379" s="1">
        <v>45934</v>
      </c>
      <c r="F2379" t="s">
        <v>596</v>
      </c>
      <c r="G2379">
        <v>4</v>
      </c>
      <c r="H2379" t="s">
        <v>581</v>
      </c>
      <c r="I2379" t="s">
        <v>570</v>
      </c>
      <c r="J2379" t="str">
        <f t="shared" si="111"/>
        <v>October</v>
      </c>
      <c r="K2379" t="str">
        <f t="shared" si="112"/>
        <v>Q4</v>
      </c>
      <c r="L2379">
        <f t="shared" si="113"/>
        <v>2025</v>
      </c>
    </row>
    <row r="2380" spans="1:12" x14ac:dyDescent="0.3">
      <c r="A2380" t="s">
        <v>3804</v>
      </c>
      <c r="B2380" t="s">
        <v>3803</v>
      </c>
      <c r="C2380" t="s">
        <v>973</v>
      </c>
      <c r="D2380">
        <v>2</v>
      </c>
      <c r="E2380" s="1">
        <v>45944</v>
      </c>
      <c r="F2380" t="s">
        <v>600</v>
      </c>
      <c r="G2380">
        <v>1</v>
      </c>
      <c r="H2380" t="s">
        <v>569</v>
      </c>
      <c r="I2380" t="s">
        <v>570</v>
      </c>
      <c r="J2380" t="str">
        <f t="shared" si="111"/>
        <v>October</v>
      </c>
      <c r="K2380" t="str">
        <f t="shared" si="112"/>
        <v>Q4</v>
      </c>
      <c r="L2380">
        <f t="shared" si="113"/>
        <v>2025</v>
      </c>
    </row>
    <row r="2381" spans="1:12" x14ac:dyDescent="0.3">
      <c r="A2381" t="s">
        <v>3805</v>
      </c>
      <c r="B2381" t="s">
        <v>3806</v>
      </c>
      <c r="C2381" t="s">
        <v>99</v>
      </c>
      <c r="D2381">
        <v>1</v>
      </c>
      <c r="E2381" s="1">
        <v>45864</v>
      </c>
      <c r="F2381" t="s">
        <v>625</v>
      </c>
      <c r="G2381">
        <v>2</v>
      </c>
      <c r="H2381" t="s">
        <v>569</v>
      </c>
      <c r="I2381" t="s">
        <v>570</v>
      </c>
      <c r="J2381" t="str">
        <f t="shared" si="111"/>
        <v>July</v>
      </c>
      <c r="K2381" t="str">
        <f t="shared" si="112"/>
        <v>Q3</v>
      </c>
      <c r="L2381">
        <f t="shared" si="113"/>
        <v>2025</v>
      </c>
    </row>
    <row r="2382" spans="1:12" x14ac:dyDescent="0.3">
      <c r="A2382" t="s">
        <v>3807</v>
      </c>
      <c r="B2382" t="s">
        <v>3806</v>
      </c>
      <c r="C2382" t="s">
        <v>99</v>
      </c>
      <c r="D2382">
        <v>2</v>
      </c>
      <c r="E2382" s="1">
        <v>45870</v>
      </c>
      <c r="F2382" t="s">
        <v>649</v>
      </c>
      <c r="G2382">
        <v>4</v>
      </c>
      <c r="H2382" t="s">
        <v>581</v>
      </c>
      <c r="I2382" t="s">
        <v>608</v>
      </c>
      <c r="J2382" t="str">
        <f t="shared" si="111"/>
        <v>August</v>
      </c>
      <c r="K2382" t="str">
        <f t="shared" si="112"/>
        <v>Q3</v>
      </c>
      <c r="L2382">
        <f t="shared" si="113"/>
        <v>2025</v>
      </c>
    </row>
    <row r="2383" spans="1:12" x14ac:dyDescent="0.3">
      <c r="A2383" t="s">
        <v>3808</v>
      </c>
      <c r="B2383" t="s">
        <v>3806</v>
      </c>
      <c r="C2383" t="s">
        <v>99</v>
      </c>
      <c r="D2383">
        <v>3</v>
      </c>
      <c r="E2383" s="1">
        <v>45875</v>
      </c>
      <c r="F2383" t="s">
        <v>649</v>
      </c>
      <c r="G2383">
        <v>3</v>
      </c>
      <c r="H2383" t="s">
        <v>578</v>
      </c>
      <c r="I2383" t="s">
        <v>570</v>
      </c>
      <c r="J2383" t="str">
        <f t="shared" si="111"/>
        <v>August</v>
      </c>
      <c r="K2383" t="str">
        <f t="shared" si="112"/>
        <v>Q3</v>
      </c>
      <c r="L2383">
        <f t="shared" si="113"/>
        <v>2025</v>
      </c>
    </row>
    <row r="2384" spans="1:12" x14ac:dyDescent="0.3">
      <c r="A2384" t="s">
        <v>3809</v>
      </c>
      <c r="B2384" t="s">
        <v>3806</v>
      </c>
      <c r="C2384" t="s">
        <v>99</v>
      </c>
      <c r="D2384">
        <v>4</v>
      </c>
      <c r="E2384" s="1">
        <v>45880</v>
      </c>
      <c r="F2384" t="s">
        <v>658</v>
      </c>
      <c r="G2384">
        <v>4</v>
      </c>
      <c r="H2384" t="s">
        <v>581</v>
      </c>
      <c r="I2384" t="s">
        <v>597</v>
      </c>
      <c r="J2384" t="str">
        <f t="shared" si="111"/>
        <v>August</v>
      </c>
      <c r="K2384" t="str">
        <f t="shared" si="112"/>
        <v>Q3</v>
      </c>
      <c r="L2384">
        <f t="shared" si="113"/>
        <v>2025</v>
      </c>
    </row>
    <row r="2385" spans="1:12" x14ac:dyDescent="0.3">
      <c r="A2385" t="s">
        <v>3810</v>
      </c>
      <c r="B2385" t="s">
        <v>3811</v>
      </c>
      <c r="C2385" t="s">
        <v>73</v>
      </c>
      <c r="D2385">
        <v>1</v>
      </c>
      <c r="E2385" s="1">
        <v>45805</v>
      </c>
      <c r="F2385" t="s">
        <v>577</v>
      </c>
      <c r="G2385">
        <v>4</v>
      </c>
      <c r="H2385" t="s">
        <v>581</v>
      </c>
      <c r="I2385" t="s">
        <v>570</v>
      </c>
      <c r="J2385" t="str">
        <f t="shared" si="111"/>
        <v>May</v>
      </c>
      <c r="K2385" t="str">
        <f t="shared" si="112"/>
        <v>Q2</v>
      </c>
      <c r="L2385">
        <f t="shared" si="113"/>
        <v>2025</v>
      </c>
    </row>
    <row r="2386" spans="1:12" x14ac:dyDescent="0.3">
      <c r="A2386" t="s">
        <v>3812</v>
      </c>
      <c r="B2386" t="s">
        <v>3811</v>
      </c>
      <c r="C2386" t="s">
        <v>73</v>
      </c>
      <c r="D2386">
        <v>2</v>
      </c>
      <c r="E2386" s="1">
        <v>45813</v>
      </c>
      <c r="F2386" t="s">
        <v>600</v>
      </c>
      <c r="G2386">
        <v>4</v>
      </c>
      <c r="H2386" t="s">
        <v>581</v>
      </c>
      <c r="I2386" t="s">
        <v>570</v>
      </c>
      <c r="J2386" t="str">
        <f t="shared" si="111"/>
        <v>June</v>
      </c>
      <c r="K2386" t="str">
        <f t="shared" si="112"/>
        <v>Q2</v>
      </c>
      <c r="L2386">
        <f t="shared" si="113"/>
        <v>2025</v>
      </c>
    </row>
    <row r="2387" spans="1:12" x14ac:dyDescent="0.3">
      <c r="A2387" t="s">
        <v>3813</v>
      </c>
      <c r="B2387" t="s">
        <v>3811</v>
      </c>
      <c r="C2387" t="s">
        <v>73</v>
      </c>
      <c r="D2387">
        <v>3</v>
      </c>
      <c r="E2387" s="1">
        <v>45819</v>
      </c>
      <c r="F2387" t="s">
        <v>600</v>
      </c>
      <c r="G2387">
        <v>5</v>
      </c>
      <c r="H2387" t="s">
        <v>581</v>
      </c>
      <c r="I2387" t="s">
        <v>570</v>
      </c>
      <c r="J2387" t="str">
        <f t="shared" si="111"/>
        <v>June</v>
      </c>
      <c r="K2387" t="str">
        <f t="shared" si="112"/>
        <v>Q2</v>
      </c>
      <c r="L2387">
        <f t="shared" si="113"/>
        <v>2025</v>
      </c>
    </row>
    <row r="2388" spans="1:12" x14ac:dyDescent="0.3">
      <c r="A2388" t="s">
        <v>3814</v>
      </c>
      <c r="B2388" t="s">
        <v>3815</v>
      </c>
      <c r="C2388" t="s">
        <v>156</v>
      </c>
      <c r="D2388">
        <v>1</v>
      </c>
      <c r="E2388" s="1">
        <v>45725</v>
      </c>
      <c r="F2388" t="s">
        <v>638</v>
      </c>
      <c r="G2388">
        <v>3</v>
      </c>
      <c r="H2388" t="s">
        <v>578</v>
      </c>
      <c r="I2388" t="s">
        <v>570</v>
      </c>
      <c r="J2388" t="str">
        <f t="shared" si="111"/>
        <v>March</v>
      </c>
      <c r="K2388" t="str">
        <f t="shared" si="112"/>
        <v>Q1</v>
      </c>
      <c r="L2388">
        <f t="shared" si="113"/>
        <v>2025</v>
      </c>
    </row>
    <row r="2389" spans="1:12" x14ac:dyDescent="0.3">
      <c r="A2389" t="s">
        <v>3816</v>
      </c>
      <c r="B2389" t="s">
        <v>3815</v>
      </c>
      <c r="C2389" t="s">
        <v>156</v>
      </c>
      <c r="D2389">
        <v>2</v>
      </c>
      <c r="E2389" s="1">
        <v>45737</v>
      </c>
      <c r="F2389" t="s">
        <v>580</v>
      </c>
      <c r="G2389">
        <v>2</v>
      </c>
      <c r="H2389" t="s">
        <v>569</v>
      </c>
      <c r="I2389" t="s">
        <v>570</v>
      </c>
      <c r="J2389" t="str">
        <f t="shared" si="111"/>
        <v>March</v>
      </c>
      <c r="K2389" t="str">
        <f t="shared" si="112"/>
        <v>Q1</v>
      </c>
      <c r="L2389">
        <f t="shared" si="113"/>
        <v>2025</v>
      </c>
    </row>
    <row r="2390" spans="1:12" x14ac:dyDescent="0.3">
      <c r="A2390" t="s">
        <v>3817</v>
      </c>
      <c r="B2390" t="s">
        <v>175</v>
      </c>
      <c r="C2390" t="s">
        <v>176</v>
      </c>
      <c r="D2390">
        <v>1</v>
      </c>
      <c r="E2390" s="1">
        <v>45714</v>
      </c>
      <c r="F2390" t="s">
        <v>577</v>
      </c>
      <c r="G2390">
        <v>5</v>
      </c>
      <c r="H2390" t="s">
        <v>581</v>
      </c>
      <c r="I2390" t="s">
        <v>570</v>
      </c>
      <c r="J2390" t="str">
        <f t="shared" si="111"/>
        <v>February</v>
      </c>
      <c r="K2390" t="str">
        <f t="shared" si="112"/>
        <v>Q1</v>
      </c>
      <c r="L2390">
        <f t="shared" si="113"/>
        <v>2025</v>
      </c>
    </row>
    <row r="2391" spans="1:12" x14ac:dyDescent="0.3">
      <c r="A2391" t="s">
        <v>3818</v>
      </c>
      <c r="B2391" t="s">
        <v>175</v>
      </c>
      <c r="C2391" t="s">
        <v>176</v>
      </c>
      <c r="D2391">
        <v>2</v>
      </c>
      <c r="E2391" s="1">
        <v>45721</v>
      </c>
      <c r="F2391" t="s">
        <v>621</v>
      </c>
      <c r="G2391">
        <v>4</v>
      </c>
      <c r="H2391" t="s">
        <v>581</v>
      </c>
      <c r="I2391" t="s">
        <v>570</v>
      </c>
      <c r="J2391" t="str">
        <f t="shared" si="111"/>
        <v>March</v>
      </c>
      <c r="K2391" t="str">
        <f t="shared" si="112"/>
        <v>Q1</v>
      </c>
      <c r="L2391">
        <f t="shared" si="113"/>
        <v>2025</v>
      </c>
    </row>
    <row r="2392" spans="1:12" x14ac:dyDescent="0.3">
      <c r="A2392" t="s">
        <v>3819</v>
      </c>
      <c r="B2392" t="s">
        <v>175</v>
      </c>
      <c r="C2392" t="s">
        <v>176</v>
      </c>
      <c r="D2392">
        <v>3</v>
      </c>
      <c r="E2392" s="1">
        <v>45733</v>
      </c>
      <c r="F2392" t="s">
        <v>575</v>
      </c>
      <c r="G2392">
        <v>5</v>
      </c>
      <c r="H2392" t="s">
        <v>581</v>
      </c>
      <c r="I2392" t="s">
        <v>570</v>
      </c>
      <c r="J2392" t="str">
        <f t="shared" si="111"/>
        <v>March</v>
      </c>
      <c r="K2392" t="str">
        <f t="shared" si="112"/>
        <v>Q1</v>
      </c>
      <c r="L2392">
        <f t="shared" si="113"/>
        <v>2025</v>
      </c>
    </row>
    <row r="2393" spans="1:12" x14ac:dyDescent="0.3">
      <c r="A2393" t="s">
        <v>3820</v>
      </c>
      <c r="B2393" t="s">
        <v>325</v>
      </c>
      <c r="C2393" t="s">
        <v>326</v>
      </c>
      <c r="D2393">
        <v>1</v>
      </c>
      <c r="E2393" s="1">
        <v>45755</v>
      </c>
      <c r="F2393" t="s">
        <v>621</v>
      </c>
      <c r="G2393">
        <v>2</v>
      </c>
      <c r="H2393" t="s">
        <v>569</v>
      </c>
      <c r="I2393" t="s">
        <v>570</v>
      </c>
      <c r="J2393" t="str">
        <f t="shared" si="111"/>
        <v>April</v>
      </c>
      <c r="K2393" t="str">
        <f t="shared" si="112"/>
        <v>Q2</v>
      </c>
      <c r="L2393">
        <f t="shared" si="113"/>
        <v>2025</v>
      </c>
    </row>
    <row r="2394" spans="1:12" x14ac:dyDescent="0.3">
      <c r="A2394" t="s">
        <v>3821</v>
      </c>
      <c r="B2394" t="s">
        <v>325</v>
      </c>
      <c r="C2394" t="s">
        <v>326</v>
      </c>
      <c r="D2394">
        <v>2</v>
      </c>
      <c r="E2394" s="1">
        <v>45763</v>
      </c>
      <c r="F2394" t="s">
        <v>575</v>
      </c>
      <c r="G2394">
        <v>4</v>
      </c>
      <c r="H2394" t="s">
        <v>581</v>
      </c>
      <c r="I2394" t="s">
        <v>570</v>
      </c>
      <c r="J2394" t="str">
        <f t="shared" si="111"/>
        <v>April</v>
      </c>
      <c r="K2394" t="str">
        <f t="shared" si="112"/>
        <v>Q2</v>
      </c>
      <c r="L2394">
        <f t="shared" si="113"/>
        <v>2025</v>
      </c>
    </row>
    <row r="2395" spans="1:12" x14ac:dyDescent="0.3">
      <c r="A2395" t="s">
        <v>3822</v>
      </c>
      <c r="B2395" t="s">
        <v>325</v>
      </c>
      <c r="C2395" t="s">
        <v>326</v>
      </c>
      <c r="D2395">
        <v>3</v>
      </c>
      <c r="E2395" s="1">
        <v>45771</v>
      </c>
      <c r="F2395" t="s">
        <v>596</v>
      </c>
      <c r="G2395">
        <v>4</v>
      </c>
      <c r="H2395" t="s">
        <v>581</v>
      </c>
      <c r="I2395" t="s">
        <v>570</v>
      </c>
      <c r="J2395" t="str">
        <f t="shared" si="111"/>
        <v>April</v>
      </c>
      <c r="K2395" t="str">
        <f t="shared" si="112"/>
        <v>Q2</v>
      </c>
      <c r="L2395">
        <f t="shared" si="113"/>
        <v>2025</v>
      </c>
    </row>
    <row r="2396" spans="1:12" x14ac:dyDescent="0.3">
      <c r="A2396" t="s">
        <v>3823</v>
      </c>
      <c r="B2396" t="s">
        <v>3824</v>
      </c>
      <c r="C2396" t="s">
        <v>147</v>
      </c>
      <c r="D2396">
        <v>1</v>
      </c>
      <c r="E2396" s="1">
        <v>45824</v>
      </c>
      <c r="F2396" t="s">
        <v>580</v>
      </c>
      <c r="G2396">
        <v>1</v>
      </c>
      <c r="H2396" t="s">
        <v>569</v>
      </c>
      <c r="I2396" t="s">
        <v>570</v>
      </c>
      <c r="J2396" t="str">
        <f t="shared" si="111"/>
        <v>June</v>
      </c>
      <c r="K2396" t="str">
        <f t="shared" si="112"/>
        <v>Q2</v>
      </c>
      <c r="L2396">
        <f t="shared" si="113"/>
        <v>2025</v>
      </c>
    </row>
    <row r="2397" spans="1:12" x14ac:dyDescent="0.3">
      <c r="A2397" t="s">
        <v>3825</v>
      </c>
      <c r="B2397" t="s">
        <v>3824</v>
      </c>
      <c r="C2397" t="s">
        <v>147</v>
      </c>
      <c r="D2397">
        <v>2</v>
      </c>
      <c r="E2397" s="1">
        <v>45830</v>
      </c>
      <c r="F2397" t="s">
        <v>568</v>
      </c>
      <c r="G2397">
        <v>2</v>
      </c>
      <c r="H2397" t="s">
        <v>569</v>
      </c>
      <c r="I2397" t="s">
        <v>570</v>
      </c>
      <c r="J2397" t="str">
        <f t="shared" si="111"/>
        <v>June</v>
      </c>
      <c r="K2397" t="str">
        <f t="shared" si="112"/>
        <v>Q2</v>
      </c>
      <c r="L2397">
        <f t="shared" si="113"/>
        <v>2025</v>
      </c>
    </row>
    <row r="2398" spans="1:12" x14ac:dyDescent="0.3">
      <c r="A2398" t="s">
        <v>3826</v>
      </c>
      <c r="B2398" t="s">
        <v>3824</v>
      </c>
      <c r="C2398" t="s">
        <v>147</v>
      </c>
      <c r="D2398">
        <v>3</v>
      </c>
      <c r="E2398" s="1">
        <v>45834</v>
      </c>
      <c r="F2398" t="s">
        <v>663</v>
      </c>
      <c r="G2398">
        <v>1</v>
      </c>
      <c r="H2398" t="s">
        <v>569</v>
      </c>
      <c r="I2398" t="s">
        <v>570</v>
      </c>
      <c r="J2398" t="str">
        <f t="shared" si="111"/>
        <v>June</v>
      </c>
      <c r="K2398" t="str">
        <f t="shared" si="112"/>
        <v>Q2</v>
      </c>
      <c r="L2398">
        <f t="shared" si="113"/>
        <v>2025</v>
      </c>
    </row>
    <row r="2399" spans="1:12" x14ac:dyDescent="0.3">
      <c r="A2399" t="s">
        <v>3827</v>
      </c>
      <c r="B2399" t="s">
        <v>328</v>
      </c>
      <c r="C2399" t="s">
        <v>108</v>
      </c>
      <c r="D2399">
        <v>1</v>
      </c>
      <c r="E2399" s="1">
        <v>45762</v>
      </c>
      <c r="F2399" t="s">
        <v>596</v>
      </c>
      <c r="G2399">
        <v>4</v>
      </c>
      <c r="H2399" t="s">
        <v>581</v>
      </c>
      <c r="I2399" t="s">
        <v>570</v>
      </c>
      <c r="J2399" t="str">
        <f t="shared" si="111"/>
        <v>April</v>
      </c>
      <c r="K2399" t="str">
        <f t="shared" si="112"/>
        <v>Q2</v>
      </c>
      <c r="L2399">
        <f t="shared" si="113"/>
        <v>2025</v>
      </c>
    </row>
    <row r="2400" spans="1:12" x14ac:dyDescent="0.3">
      <c r="A2400" t="s">
        <v>3828</v>
      </c>
      <c r="B2400" t="s">
        <v>328</v>
      </c>
      <c r="C2400" t="s">
        <v>108</v>
      </c>
      <c r="D2400">
        <v>2</v>
      </c>
      <c r="E2400" s="1">
        <v>45773</v>
      </c>
      <c r="F2400" t="s">
        <v>577</v>
      </c>
      <c r="G2400">
        <v>4</v>
      </c>
      <c r="H2400" t="s">
        <v>581</v>
      </c>
      <c r="I2400" t="s">
        <v>570</v>
      </c>
      <c r="J2400" t="str">
        <f t="shared" si="111"/>
        <v>April</v>
      </c>
      <c r="K2400" t="str">
        <f t="shared" si="112"/>
        <v>Q2</v>
      </c>
      <c r="L2400">
        <f t="shared" si="113"/>
        <v>2025</v>
      </c>
    </row>
    <row r="2401" spans="1:12" x14ac:dyDescent="0.3">
      <c r="A2401" t="s">
        <v>3829</v>
      </c>
      <c r="B2401" t="s">
        <v>373</v>
      </c>
      <c r="C2401" t="s">
        <v>374</v>
      </c>
      <c r="D2401">
        <v>1</v>
      </c>
      <c r="E2401" s="1">
        <v>45746</v>
      </c>
      <c r="F2401" t="s">
        <v>636</v>
      </c>
      <c r="G2401">
        <v>4</v>
      </c>
      <c r="H2401" t="s">
        <v>581</v>
      </c>
      <c r="I2401" t="s">
        <v>570</v>
      </c>
      <c r="J2401" t="str">
        <f t="shared" si="111"/>
        <v>March</v>
      </c>
      <c r="K2401" t="str">
        <f t="shared" si="112"/>
        <v>Q1</v>
      </c>
      <c r="L2401">
        <f t="shared" si="113"/>
        <v>2025</v>
      </c>
    </row>
    <row r="2402" spans="1:12" x14ac:dyDescent="0.3">
      <c r="A2402" t="s">
        <v>3830</v>
      </c>
      <c r="B2402" t="s">
        <v>3831</v>
      </c>
      <c r="C2402" t="s">
        <v>37</v>
      </c>
      <c r="D2402">
        <v>1</v>
      </c>
      <c r="E2402" s="1">
        <v>45714</v>
      </c>
      <c r="F2402" t="s">
        <v>568</v>
      </c>
      <c r="G2402">
        <v>2</v>
      </c>
      <c r="H2402" t="s">
        <v>569</v>
      </c>
      <c r="I2402" t="s">
        <v>570</v>
      </c>
      <c r="J2402" t="str">
        <f t="shared" si="111"/>
        <v>February</v>
      </c>
      <c r="K2402" t="str">
        <f t="shared" si="112"/>
        <v>Q1</v>
      </c>
      <c r="L2402">
        <f t="shared" si="113"/>
        <v>2025</v>
      </c>
    </row>
    <row r="2403" spans="1:12" x14ac:dyDescent="0.3">
      <c r="A2403" t="s">
        <v>3832</v>
      </c>
      <c r="B2403" t="s">
        <v>3831</v>
      </c>
      <c r="C2403" t="s">
        <v>37</v>
      </c>
      <c r="D2403">
        <v>2</v>
      </c>
      <c r="E2403" s="1">
        <v>45726</v>
      </c>
      <c r="F2403" t="s">
        <v>580</v>
      </c>
      <c r="G2403">
        <v>2</v>
      </c>
      <c r="H2403" t="s">
        <v>569</v>
      </c>
      <c r="I2403" t="s">
        <v>570</v>
      </c>
      <c r="J2403" t="str">
        <f t="shared" si="111"/>
        <v>March</v>
      </c>
      <c r="K2403" t="str">
        <f t="shared" si="112"/>
        <v>Q1</v>
      </c>
      <c r="L2403">
        <f t="shared" si="113"/>
        <v>2025</v>
      </c>
    </row>
    <row r="2404" spans="1:12" x14ac:dyDescent="0.3">
      <c r="A2404" t="s">
        <v>3833</v>
      </c>
      <c r="B2404" t="s">
        <v>3831</v>
      </c>
      <c r="C2404" t="s">
        <v>37</v>
      </c>
      <c r="D2404">
        <v>3</v>
      </c>
      <c r="E2404" s="1">
        <v>45734</v>
      </c>
      <c r="F2404" t="s">
        <v>580</v>
      </c>
      <c r="G2404">
        <v>2</v>
      </c>
      <c r="H2404" t="s">
        <v>569</v>
      </c>
      <c r="I2404" t="s">
        <v>570</v>
      </c>
      <c r="J2404" t="str">
        <f t="shared" si="111"/>
        <v>March</v>
      </c>
      <c r="K2404" t="str">
        <f t="shared" si="112"/>
        <v>Q1</v>
      </c>
      <c r="L2404">
        <f t="shared" si="113"/>
        <v>2025</v>
      </c>
    </row>
    <row r="2405" spans="1:12" x14ac:dyDescent="0.3">
      <c r="A2405" t="s">
        <v>3834</v>
      </c>
      <c r="B2405" t="s">
        <v>3831</v>
      </c>
      <c r="C2405" t="s">
        <v>37</v>
      </c>
      <c r="D2405">
        <v>4</v>
      </c>
      <c r="E2405" s="1">
        <v>45738</v>
      </c>
      <c r="F2405" t="s">
        <v>586</v>
      </c>
      <c r="G2405">
        <v>1</v>
      </c>
      <c r="H2405" t="s">
        <v>569</v>
      </c>
      <c r="I2405" t="s">
        <v>570</v>
      </c>
      <c r="J2405" t="str">
        <f t="shared" si="111"/>
        <v>March</v>
      </c>
      <c r="K2405" t="str">
        <f t="shared" si="112"/>
        <v>Q1</v>
      </c>
      <c r="L2405">
        <f t="shared" si="113"/>
        <v>2025</v>
      </c>
    </row>
    <row r="2406" spans="1:12" x14ac:dyDescent="0.3">
      <c r="A2406" t="s">
        <v>3835</v>
      </c>
      <c r="B2406" t="s">
        <v>3836</v>
      </c>
      <c r="C2406" t="s">
        <v>298</v>
      </c>
      <c r="D2406">
        <v>1</v>
      </c>
      <c r="E2406" s="1">
        <v>45898</v>
      </c>
      <c r="F2406" t="s">
        <v>649</v>
      </c>
      <c r="G2406">
        <v>2</v>
      </c>
      <c r="H2406" t="s">
        <v>569</v>
      </c>
      <c r="I2406" t="s">
        <v>570</v>
      </c>
      <c r="J2406" t="str">
        <f t="shared" si="111"/>
        <v>August</v>
      </c>
      <c r="K2406" t="str">
        <f t="shared" si="112"/>
        <v>Q3</v>
      </c>
      <c r="L2406">
        <f t="shared" si="113"/>
        <v>2025</v>
      </c>
    </row>
    <row r="2407" spans="1:12" x14ac:dyDescent="0.3">
      <c r="A2407" t="s">
        <v>3837</v>
      </c>
      <c r="B2407" t="s">
        <v>3836</v>
      </c>
      <c r="C2407" t="s">
        <v>298</v>
      </c>
      <c r="D2407">
        <v>2</v>
      </c>
      <c r="E2407" s="1">
        <v>45905</v>
      </c>
      <c r="F2407" t="s">
        <v>658</v>
      </c>
      <c r="G2407">
        <v>1</v>
      </c>
      <c r="H2407" t="s">
        <v>569</v>
      </c>
      <c r="I2407" t="s">
        <v>570</v>
      </c>
      <c r="J2407" t="str">
        <f t="shared" si="111"/>
        <v>September</v>
      </c>
      <c r="K2407" t="str">
        <f t="shared" si="112"/>
        <v>Q3</v>
      </c>
      <c r="L2407">
        <f t="shared" si="113"/>
        <v>2025</v>
      </c>
    </row>
    <row r="2408" spans="1:12" x14ac:dyDescent="0.3">
      <c r="A2408" t="s">
        <v>3838</v>
      </c>
      <c r="B2408" t="s">
        <v>3836</v>
      </c>
      <c r="C2408" t="s">
        <v>298</v>
      </c>
      <c r="D2408">
        <v>3</v>
      </c>
      <c r="E2408" s="1">
        <v>45917</v>
      </c>
      <c r="F2408" t="s">
        <v>658</v>
      </c>
      <c r="G2408">
        <v>1</v>
      </c>
      <c r="H2408" t="s">
        <v>569</v>
      </c>
      <c r="I2408" t="s">
        <v>570</v>
      </c>
      <c r="J2408" t="str">
        <f t="shared" si="111"/>
        <v>September</v>
      </c>
      <c r="K2408" t="str">
        <f t="shared" si="112"/>
        <v>Q3</v>
      </c>
      <c r="L2408">
        <f t="shared" si="113"/>
        <v>2025</v>
      </c>
    </row>
    <row r="2409" spans="1:12" x14ac:dyDescent="0.3">
      <c r="A2409" t="s">
        <v>3839</v>
      </c>
      <c r="B2409" t="s">
        <v>3840</v>
      </c>
      <c r="C2409" t="s">
        <v>41</v>
      </c>
      <c r="D2409">
        <v>1</v>
      </c>
      <c r="E2409" s="1">
        <v>45831</v>
      </c>
      <c r="F2409" t="s">
        <v>572</v>
      </c>
      <c r="G2409">
        <v>1</v>
      </c>
      <c r="H2409" t="s">
        <v>569</v>
      </c>
      <c r="I2409" t="s">
        <v>608</v>
      </c>
      <c r="J2409" t="str">
        <f t="shared" si="111"/>
        <v>June</v>
      </c>
      <c r="K2409" t="str">
        <f t="shared" si="112"/>
        <v>Q2</v>
      </c>
      <c r="L2409">
        <f t="shared" si="113"/>
        <v>2025</v>
      </c>
    </row>
    <row r="2410" spans="1:12" x14ac:dyDescent="0.3">
      <c r="A2410" t="s">
        <v>3841</v>
      </c>
      <c r="B2410" t="s">
        <v>3842</v>
      </c>
      <c r="C2410" t="s">
        <v>51</v>
      </c>
      <c r="D2410">
        <v>1</v>
      </c>
      <c r="E2410" s="1">
        <v>45954</v>
      </c>
      <c r="F2410" t="s">
        <v>568</v>
      </c>
      <c r="G2410">
        <v>4</v>
      </c>
      <c r="H2410" t="s">
        <v>581</v>
      </c>
      <c r="I2410" t="s">
        <v>570</v>
      </c>
      <c r="J2410" t="str">
        <f t="shared" si="111"/>
        <v>October</v>
      </c>
      <c r="K2410" t="str">
        <f t="shared" si="112"/>
        <v>Q4</v>
      </c>
      <c r="L2410">
        <f t="shared" si="113"/>
        <v>2025</v>
      </c>
    </row>
    <row r="2411" spans="1:12" x14ac:dyDescent="0.3">
      <c r="A2411" t="s">
        <v>3843</v>
      </c>
      <c r="B2411" t="s">
        <v>449</v>
      </c>
      <c r="C2411" t="s">
        <v>58</v>
      </c>
      <c r="D2411">
        <v>1</v>
      </c>
      <c r="E2411" s="1">
        <v>45811</v>
      </c>
      <c r="F2411" t="s">
        <v>612</v>
      </c>
      <c r="G2411">
        <v>3</v>
      </c>
      <c r="H2411" t="s">
        <v>578</v>
      </c>
      <c r="I2411" t="s">
        <v>570</v>
      </c>
      <c r="J2411" t="str">
        <f t="shared" si="111"/>
        <v>June</v>
      </c>
      <c r="K2411" t="str">
        <f t="shared" si="112"/>
        <v>Q2</v>
      </c>
      <c r="L2411">
        <f t="shared" si="113"/>
        <v>2025</v>
      </c>
    </row>
    <row r="2412" spans="1:12" x14ac:dyDescent="0.3">
      <c r="A2412" t="s">
        <v>3844</v>
      </c>
      <c r="B2412" t="s">
        <v>449</v>
      </c>
      <c r="C2412" t="s">
        <v>58</v>
      </c>
      <c r="D2412">
        <v>2</v>
      </c>
      <c r="E2412" s="1">
        <v>45817</v>
      </c>
      <c r="F2412" t="s">
        <v>605</v>
      </c>
      <c r="G2412">
        <v>3</v>
      </c>
      <c r="H2412" t="s">
        <v>578</v>
      </c>
      <c r="I2412" t="s">
        <v>608</v>
      </c>
      <c r="J2412" t="str">
        <f t="shared" si="111"/>
        <v>June</v>
      </c>
      <c r="K2412" t="str">
        <f t="shared" si="112"/>
        <v>Q2</v>
      </c>
      <c r="L2412">
        <f t="shared" si="113"/>
        <v>2025</v>
      </c>
    </row>
    <row r="2413" spans="1:12" x14ac:dyDescent="0.3">
      <c r="A2413" t="s">
        <v>3845</v>
      </c>
      <c r="B2413" t="s">
        <v>449</v>
      </c>
      <c r="C2413" t="s">
        <v>58</v>
      </c>
      <c r="D2413">
        <v>3</v>
      </c>
      <c r="E2413" s="1">
        <v>45828</v>
      </c>
      <c r="F2413" t="s">
        <v>625</v>
      </c>
      <c r="G2413">
        <v>5</v>
      </c>
      <c r="H2413" t="s">
        <v>581</v>
      </c>
      <c r="I2413" t="s">
        <v>570</v>
      </c>
      <c r="J2413" t="str">
        <f t="shared" si="111"/>
        <v>June</v>
      </c>
      <c r="K2413" t="str">
        <f t="shared" si="112"/>
        <v>Q2</v>
      </c>
      <c r="L2413">
        <f t="shared" si="113"/>
        <v>2025</v>
      </c>
    </row>
    <row r="2414" spans="1:12" x14ac:dyDescent="0.3">
      <c r="A2414" t="s">
        <v>3846</v>
      </c>
      <c r="B2414" t="s">
        <v>3847</v>
      </c>
      <c r="C2414" t="s">
        <v>292</v>
      </c>
      <c r="D2414">
        <v>1</v>
      </c>
      <c r="E2414" s="1">
        <v>45723</v>
      </c>
      <c r="G2414">
        <v>1</v>
      </c>
      <c r="H2414" t="s">
        <v>569</v>
      </c>
      <c r="I2414" t="s">
        <v>570</v>
      </c>
      <c r="J2414" t="str">
        <f t="shared" si="111"/>
        <v>March</v>
      </c>
      <c r="K2414" t="str">
        <f t="shared" si="112"/>
        <v>Q1</v>
      </c>
      <c r="L2414">
        <f t="shared" si="113"/>
        <v>2025</v>
      </c>
    </row>
    <row r="2415" spans="1:12" x14ac:dyDescent="0.3">
      <c r="A2415" t="s">
        <v>3848</v>
      </c>
      <c r="B2415" t="s">
        <v>3847</v>
      </c>
      <c r="C2415" t="s">
        <v>292</v>
      </c>
      <c r="D2415">
        <v>2</v>
      </c>
      <c r="E2415" s="1">
        <v>45731</v>
      </c>
      <c r="F2415" t="s">
        <v>663</v>
      </c>
      <c r="G2415">
        <v>2</v>
      </c>
      <c r="H2415" t="s">
        <v>569</v>
      </c>
      <c r="I2415" t="s">
        <v>570</v>
      </c>
      <c r="J2415" t="str">
        <f t="shared" si="111"/>
        <v>March</v>
      </c>
      <c r="K2415" t="str">
        <f t="shared" si="112"/>
        <v>Q1</v>
      </c>
      <c r="L2415">
        <f t="shared" si="113"/>
        <v>2025</v>
      </c>
    </row>
    <row r="2416" spans="1:12" x14ac:dyDescent="0.3">
      <c r="A2416" t="s">
        <v>3849</v>
      </c>
      <c r="B2416" t="s">
        <v>3847</v>
      </c>
      <c r="C2416" t="s">
        <v>292</v>
      </c>
      <c r="D2416">
        <v>3</v>
      </c>
      <c r="E2416" s="1">
        <v>45738</v>
      </c>
      <c r="F2416" t="s">
        <v>663</v>
      </c>
      <c r="G2416">
        <v>2</v>
      </c>
      <c r="H2416" t="s">
        <v>569</v>
      </c>
      <c r="I2416" t="s">
        <v>570</v>
      </c>
      <c r="J2416" t="str">
        <f t="shared" si="111"/>
        <v>March</v>
      </c>
      <c r="K2416" t="str">
        <f t="shared" si="112"/>
        <v>Q1</v>
      </c>
      <c r="L2416">
        <f t="shared" si="113"/>
        <v>2025</v>
      </c>
    </row>
    <row r="2417" spans="1:12" x14ac:dyDescent="0.3">
      <c r="A2417" t="s">
        <v>3850</v>
      </c>
      <c r="B2417" t="s">
        <v>3847</v>
      </c>
      <c r="C2417" t="s">
        <v>292</v>
      </c>
      <c r="D2417">
        <v>4</v>
      </c>
      <c r="E2417" s="1">
        <v>45747</v>
      </c>
      <c r="F2417" t="s">
        <v>586</v>
      </c>
      <c r="G2417">
        <v>1</v>
      </c>
      <c r="H2417" t="s">
        <v>569</v>
      </c>
      <c r="I2417" t="s">
        <v>570</v>
      </c>
      <c r="J2417" t="str">
        <f t="shared" si="111"/>
        <v>March</v>
      </c>
      <c r="K2417" t="str">
        <f t="shared" si="112"/>
        <v>Q1</v>
      </c>
      <c r="L2417">
        <f t="shared" si="113"/>
        <v>2025</v>
      </c>
    </row>
    <row r="2418" spans="1:12" x14ac:dyDescent="0.3">
      <c r="A2418" t="s">
        <v>3851</v>
      </c>
      <c r="B2418" t="s">
        <v>250</v>
      </c>
      <c r="C2418" t="s">
        <v>251</v>
      </c>
      <c r="D2418">
        <v>1</v>
      </c>
      <c r="E2418" s="1">
        <v>45806</v>
      </c>
      <c r="F2418" t="s">
        <v>584</v>
      </c>
      <c r="G2418">
        <v>3</v>
      </c>
      <c r="H2418" t="s">
        <v>578</v>
      </c>
      <c r="I2418" t="s">
        <v>570</v>
      </c>
      <c r="J2418" t="str">
        <f t="shared" si="111"/>
        <v>May</v>
      </c>
      <c r="K2418" t="str">
        <f t="shared" si="112"/>
        <v>Q2</v>
      </c>
      <c r="L2418">
        <f t="shared" si="113"/>
        <v>2025</v>
      </c>
    </row>
    <row r="2419" spans="1:12" x14ac:dyDescent="0.3">
      <c r="A2419" t="s">
        <v>3852</v>
      </c>
      <c r="B2419" t="s">
        <v>250</v>
      </c>
      <c r="C2419" t="s">
        <v>251</v>
      </c>
      <c r="D2419">
        <v>2</v>
      </c>
      <c r="E2419" s="1">
        <v>45810</v>
      </c>
      <c r="F2419" t="s">
        <v>592</v>
      </c>
      <c r="G2419">
        <v>4</v>
      </c>
      <c r="H2419" t="s">
        <v>581</v>
      </c>
      <c r="I2419" t="s">
        <v>570</v>
      </c>
      <c r="J2419" t="str">
        <f t="shared" si="111"/>
        <v>June</v>
      </c>
      <c r="K2419" t="str">
        <f t="shared" si="112"/>
        <v>Q2</v>
      </c>
      <c r="L2419">
        <f t="shared" si="113"/>
        <v>2025</v>
      </c>
    </row>
    <row r="2420" spans="1:12" x14ac:dyDescent="0.3">
      <c r="A2420" t="s">
        <v>3853</v>
      </c>
      <c r="B2420" t="s">
        <v>250</v>
      </c>
      <c r="C2420" t="s">
        <v>251</v>
      </c>
      <c r="D2420">
        <v>3</v>
      </c>
      <c r="E2420" s="1">
        <v>45817</v>
      </c>
      <c r="F2420" t="s">
        <v>592</v>
      </c>
      <c r="G2420">
        <v>4</v>
      </c>
      <c r="H2420" t="s">
        <v>581</v>
      </c>
      <c r="I2420" t="s">
        <v>570</v>
      </c>
      <c r="J2420" t="str">
        <f t="shared" si="111"/>
        <v>June</v>
      </c>
      <c r="K2420" t="str">
        <f t="shared" si="112"/>
        <v>Q2</v>
      </c>
      <c r="L2420">
        <f t="shared" si="113"/>
        <v>2025</v>
      </c>
    </row>
    <row r="2421" spans="1:12" x14ac:dyDescent="0.3">
      <c r="A2421" t="s">
        <v>3854</v>
      </c>
      <c r="B2421" t="s">
        <v>250</v>
      </c>
      <c r="C2421" t="s">
        <v>251</v>
      </c>
      <c r="D2421">
        <v>4</v>
      </c>
      <c r="E2421" s="1">
        <v>45823</v>
      </c>
      <c r="F2421" t="s">
        <v>625</v>
      </c>
      <c r="G2421">
        <v>4</v>
      </c>
      <c r="H2421" t="s">
        <v>581</v>
      </c>
      <c r="I2421" t="s">
        <v>570</v>
      </c>
      <c r="J2421" t="str">
        <f t="shared" si="111"/>
        <v>June</v>
      </c>
      <c r="K2421" t="str">
        <f t="shared" si="112"/>
        <v>Q2</v>
      </c>
      <c r="L2421">
        <f t="shared" si="113"/>
        <v>2025</v>
      </c>
    </row>
    <row r="2422" spans="1:12" x14ac:dyDescent="0.3">
      <c r="A2422" t="s">
        <v>3855</v>
      </c>
      <c r="B2422" t="s">
        <v>3856</v>
      </c>
      <c r="C2422" t="s">
        <v>429</v>
      </c>
      <c r="D2422">
        <v>1</v>
      </c>
      <c r="E2422" s="1">
        <v>45777</v>
      </c>
      <c r="F2422" t="s">
        <v>638</v>
      </c>
      <c r="G2422">
        <v>2</v>
      </c>
      <c r="H2422" t="s">
        <v>569</v>
      </c>
      <c r="I2422" t="s">
        <v>608</v>
      </c>
      <c r="J2422" t="str">
        <f t="shared" si="111"/>
        <v>April</v>
      </c>
      <c r="K2422" t="str">
        <f t="shared" si="112"/>
        <v>Q2</v>
      </c>
      <c r="L2422">
        <f t="shared" si="113"/>
        <v>2025</v>
      </c>
    </row>
    <row r="2423" spans="1:12" x14ac:dyDescent="0.3">
      <c r="A2423" t="s">
        <v>3857</v>
      </c>
      <c r="B2423" t="s">
        <v>3856</v>
      </c>
      <c r="C2423" t="s">
        <v>429</v>
      </c>
      <c r="D2423">
        <v>2</v>
      </c>
      <c r="E2423" s="1">
        <v>45782</v>
      </c>
      <c r="F2423" t="s">
        <v>638</v>
      </c>
      <c r="G2423">
        <v>1</v>
      </c>
      <c r="H2423" t="s">
        <v>569</v>
      </c>
      <c r="I2423" t="s">
        <v>570</v>
      </c>
      <c r="J2423" t="str">
        <f t="shared" si="111"/>
        <v>May</v>
      </c>
      <c r="K2423" t="str">
        <f t="shared" si="112"/>
        <v>Q2</v>
      </c>
      <c r="L2423">
        <f t="shared" si="113"/>
        <v>2025</v>
      </c>
    </row>
    <row r="2424" spans="1:12" x14ac:dyDescent="0.3">
      <c r="A2424" t="s">
        <v>3858</v>
      </c>
      <c r="B2424" t="s">
        <v>3859</v>
      </c>
      <c r="C2424" t="s">
        <v>195</v>
      </c>
      <c r="D2424">
        <v>1</v>
      </c>
      <c r="E2424" s="1">
        <v>45853</v>
      </c>
      <c r="F2424" t="s">
        <v>586</v>
      </c>
      <c r="G2424">
        <v>2</v>
      </c>
      <c r="H2424" t="s">
        <v>569</v>
      </c>
      <c r="I2424" t="s">
        <v>570</v>
      </c>
      <c r="J2424" t="str">
        <f t="shared" si="111"/>
        <v>July</v>
      </c>
      <c r="K2424" t="str">
        <f t="shared" si="112"/>
        <v>Q3</v>
      </c>
      <c r="L2424">
        <f t="shared" si="113"/>
        <v>2025</v>
      </c>
    </row>
    <row r="2425" spans="1:12" x14ac:dyDescent="0.3">
      <c r="A2425" t="s">
        <v>3860</v>
      </c>
      <c r="B2425" t="s">
        <v>3859</v>
      </c>
      <c r="C2425" t="s">
        <v>195</v>
      </c>
      <c r="D2425">
        <v>2</v>
      </c>
      <c r="E2425" s="1">
        <v>45859</v>
      </c>
      <c r="F2425" t="s">
        <v>586</v>
      </c>
      <c r="G2425">
        <v>3</v>
      </c>
      <c r="H2425" t="s">
        <v>578</v>
      </c>
      <c r="I2425" t="s">
        <v>570</v>
      </c>
      <c r="J2425" t="str">
        <f t="shared" si="111"/>
        <v>July</v>
      </c>
      <c r="K2425" t="str">
        <f t="shared" si="112"/>
        <v>Q3</v>
      </c>
      <c r="L2425">
        <f t="shared" si="113"/>
        <v>2025</v>
      </c>
    </row>
    <row r="2426" spans="1:12" x14ac:dyDescent="0.3">
      <c r="A2426" t="s">
        <v>3861</v>
      </c>
      <c r="B2426" t="s">
        <v>3862</v>
      </c>
      <c r="C2426" t="s">
        <v>37</v>
      </c>
      <c r="D2426">
        <v>1</v>
      </c>
      <c r="E2426" s="1">
        <v>45716</v>
      </c>
      <c r="F2426" t="s">
        <v>586</v>
      </c>
      <c r="G2426">
        <v>1</v>
      </c>
      <c r="H2426" t="s">
        <v>569</v>
      </c>
      <c r="I2426" t="s">
        <v>570</v>
      </c>
      <c r="J2426" t="str">
        <f t="shared" si="111"/>
        <v>February</v>
      </c>
      <c r="K2426" t="str">
        <f t="shared" si="112"/>
        <v>Q1</v>
      </c>
      <c r="L2426">
        <f t="shared" si="113"/>
        <v>2025</v>
      </c>
    </row>
    <row r="2427" spans="1:12" x14ac:dyDescent="0.3">
      <c r="A2427" t="s">
        <v>3863</v>
      </c>
      <c r="B2427" t="s">
        <v>3862</v>
      </c>
      <c r="C2427" t="s">
        <v>37</v>
      </c>
      <c r="D2427">
        <v>2</v>
      </c>
      <c r="E2427" s="1">
        <v>45720</v>
      </c>
      <c r="F2427" t="s">
        <v>586</v>
      </c>
      <c r="G2427">
        <v>2</v>
      </c>
      <c r="H2427" t="s">
        <v>569</v>
      </c>
      <c r="I2427" t="s">
        <v>570</v>
      </c>
      <c r="J2427" t="str">
        <f t="shared" si="111"/>
        <v>March</v>
      </c>
      <c r="K2427" t="str">
        <f t="shared" si="112"/>
        <v>Q1</v>
      </c>
      <c r="L2427">
        <f t="shared" si="113"/>
        <v>2025</v>
      </c>
    </row>
    <row r="2428" spans="1:12" x14ac:dyDescent="0.3">
      <c r="A2428" t="s">
        <v>3864</v>
      </c>
      <c r="B2428" t="s">
        <v>3862</v>
      </c>
      <c r="C2428" t="s">
        <v>37</v>
      </c>
      <c r="D2428">
        <v>3</v>
      </c>
      <c r="E2428" s="1">
        <v>45725</v>
      </c>
      <c r="F2428" t="s">
        <v>568</v>
      </c>
      <c r="G2428">
        <v>1</v>
      </c>
      <c r="H2428" t="s">
        <v>569</v>
      </c>
      <c r="I2428" t="s">
        <v>570</v>
      </c>
      <c r="J2428" t="str">
        <f t="shared" si="111"/>
        <v>March</v>
      </c>
      <c r="K2428" t="str">
        <f t="shared" si="112"/>
        <v>Q1</v>
      </c>
      <c r="L2428">
        <f t="shared" si="113"/>
        <v>2025</v>
      </c>
    </row>
    <row r="2429" spans="1:12" x14ac:dyDescent="0.3">
      <c r="A2429" t="s">
        <v>3865</v>
      </c>
      <c r="B2429" t="s">
        <v>3866</v>
      </c>
      <c r="C2429" t="s">
        <v>55</v>
      </c>
      <c r="D2429">
        <v>1</v>
      </c>
      <c r="E2429" s="1">
        <v>45924</v>
      </c>
      <c r="F2429" t="s">
        <v>568</v>
      </c>
      <c r="G2429">
        <v>1</v>
      </c>
      <c r="H2429" t="s">
        <v>569</v>
      </c>
      <c r="I2429" t="s">
        <v>570</v>
      </c>
      <c r="J2429" t="str">
        <f t="shared" si="111"/>
        <v>September</v>
      </c>
      <c r="K2429" t="str">
        <f t="shared" si="112"/>
        <v>Q3</v>
      </c>
      <c r="L2429">
        <f t="shared" si="113"/>
        <v>2025</v>
      </c>
    </row>
    <row r="2430" spans="1:12" x14ac:dyDescent="0.3">
      <c r="A2430" t="s">
        <v>3867</v>
      </c>
      <c r="B2430" t="s">
        <v>3866</v>
      </c>
      <c r="C2430" t="s">
        <v>55</v>
      </c>
      <c r="D2430">
        <v>2</v>
      </c>
      <c r="E2430" s="1">
        <v>45931</v>
      </c>
      <c r="F2430" t="s">
        <v>568</v>
      </c>
      <c r="G2430">
        <v>2</v>
      </c>
      <c r="H2430" t="s">
        <v>569</v>
      </c>
      <c r="I2430" t="s">
        <v>570</v>
      </c>
      <c r="J2430" t="str">
        <f t="shared" si="111"/>
        <v>October</v>
      </c>
      <c r="K2430" t="str">
        <f t="shared" si="112"/>
        <v>Q4</v>
      </c>
      <c r="L2430">
        <f t="shared" si="113"/>
        <v>2025</v>
      </c>
    </row>
    <row r="2431" spans="1:12" x14ac:dyDescent="0.3">
      <c r="A2431" t="s">
        <v>3868</v>
      </c>
      <c r="B2431" t="s">
        <v>3869</v>
      </c>
      <c r="C2431" t="s">
        <v>78</v>
      </c>
      <c r="D2431">
        <v>1</v>
      </c>
      <c r="E2431" s="1">
        <v>45915</v>
      </c>
      <c r="F2431" t="s">
        <v>580</v>
      </c>
      <c r="G2431">
        <v>2</v>
      </c>
      <c r="H2431" t="s">
        <v>569</v>
      </c>
      <c r="I2431" t="s">
        <v>570</v>
      </c>
      <c r="J2431" t="str">
        <f t="shared" si="111"/>
        <v>September</v>
      </c>
      <c r="K2431" t="str">
        <f t="shared" si="112"/>
        <v>Q3</v>
      </c>
      <c r="L2431">
        <f t="shared" si="113"/>
        <v>2025</v>
      </c>
    </row>
    <row r="2432" spans="1:12" x14ac:dyDescent="0.3">
      <c r="A2432" t="s">
        <v>3870</v>
      </c>
      <c r="B2432" t="s">
        <v>3869</v>
      </c>
      <c r="C2432" t="s">
        <v>78</v>
      </c>
      <c r="D2432">
        <v>2</v>
      </c>
      <c r="E2432" s="1">
        <v>45925</v>
      </c>
      <c r="F2432" t="s">
        <v>663</v>
      </c>
      <c r="G2432">
        <v>2</v>
      </c>
      <c r="H2432" t="s">
        <v>569</v>
      </c>
      <c r="I2432" t="s">
        <v>570</v>
      </c>
      <c r="J2432" t="str">
        <f t="shared" si="111"/>
        <v>September</v>
      </c>
      <c r="K2432" t="str">
        <f t="shared" si="112"/>
        <v>Q3</v>
      </c>
      <c r="L2432">
        <f t="shared" si="113"/>
        <v>2025</v>
      </c>
    </row>
    <row r="2433" spans="1:12" x14ac:dyDescent="0.3">
      <c r="A2433" t="s">
        <v>3871</v>
      </c>
      <c r="B2433" t="s">
        <v>3869</v>
      </c>
      <c r="C2433" t="s">
        <v>78</v>
      </c>
      <c r="D2433">
        <v>3</v>
      </c>
      <c r="E2433" s="1">
        <v>45937</v>
      </c>
      <c r="F2433" t="s">
        <v>568</v>
      </c>
      <c r="G2433">
        <v>3</v>
      </c>
      <c r="H2433" t="s">
        <v>578</v>
      </c>
      <c r="I2433" t="s">
        <v>570</v>
      </c>
      <c r="J2433" t="str">
        <f t="shared" si="111"/>
        <v>October</v>
      </c>
      <c r="K2433" t="str">
        <f t="shared" si="112"/>
        <v>Q4</v>
      </c>
      <c r="L2433">
        <f t="shared" si="113"/>
        <v>2025</v>
      </c>
    </row>
    <row r="2434" spans="1:12" x14ac:dyDescent="0.3">
      <c r="A2434" t="s">
        <v>3872</v>
      </c>
      <c r="B2434" t="s">
        <v>3873</v>
      </c>
      <c r="C2434" t="s">
        <v>45</v>
      </c>
      <c r="D2434">
        <v>1</v>
      </c>
      <c r="E2434" s="1">
        <v>45858</v>
      </c>
      <c r="F2434" t="s">
        <v>741</v>
      </c>
      <c r="G2434">
        <v>3</v>
      </c>
      <c r="H2434" t="s">
        <v>578</v>
      </c>
      <c r="I2434" t="s">
        <v>570</v>
      </c>
      <c r="J2434" t="str">
        <f t="shared" ref="J2434:J2497" si="114">TEXT(E2434,"mmmm")</f>
        <v>July</v>
      </c>
      <c r="K2434" t="str">
        <f t="shared" ref="K2434:K2497" si="115">"Q"&amp;ROUNDUP(MONTH(E2434)/3,0)</f>
        <v>Q3</v>
      </c>
      <c r="L2434">
        <f t="shared" ref="L2434:L2497" si="116">YEAR(E2434)</f>
        <v>2025</v>
      </c>
    </row>
    <row r="2435" spans="1:12" x14ac:dyDescent="0.3">
      <c r="A2435" t="s">
        <v>3874</v>
      </c>
      <c r="B2435" t="s">
        <v>3873</v>
      </c>
      <c r="C2435" t="s">
        <v>45</v>
      </c>
      <c r="D2435">
        <v>2</v>
      </c>
      <c r="E2435" s="1">
        <v>45864</v>
      </c>
      <c r="F2435" t="s">
        <v>741</v>
      </c>
      <c r="G2435">
        <v>2</v>
      </c>
      <c r="H2435" t="s">
        <v>569</v>
      </c>
      <c r="I2435" t="s">
        <v>570</v>
      </c>
      <c r="J2435" t="str">
        <f t="shared" si="114"/>
        <v>July</v>
      </c>
      <c r="K2435" t="str">
        <f t="shared" si="115"/>
        <v>Q3</v>
      </c>
      <c r="L2435">
        <f t="shared" si="116"/>
        <v>2025</v>
      </c>
    </row>
    <row r="2436" spans="1:12" x14ac:dyDescent="0.3">
      <c r="A2436" t="s">
        <v>3875</v>
      </c>
      <c r="B2436" t="s">
        <v>3876</v>
      </c>
      <c r="C2436" t="s">
        <v>156</v>
      </c>
      <c r="D2436">
        <v>1</v>
      </c>
      <c r="E2436" s="1">
        <v>45728</v>
      </c>
      <c r="F2436" t="s">
        <v>592</v>
      </c>
      <c r="G2436">
        <v>3</v>
      </c>
      <c r="H2436" t="s">
        <v>578</v>
      </c>
      <c r="I2436" t="s">
        <v>570</v>
      </c>
      <c r="J2436" t="str">
        <f t="shared" si="114"/>
        <v>March</v>
      </c>
      <c r="K2436" t="str">
        <f t="shared" si="115"/>
        <v>Q1</v>
      </c>
      <c r="L2436">
        <f t="shared" si="116"/>
        <v>2025</v>
      </c>
    </row>
    <row r="2437" spans="1:12" x14ac:dyDescent="0.3">
      <c r="A2437" t="s">
        <v>3877</v>
      </c>
      <c r="B2437" t="s">
        <v>3876</v>
      </c>
      <c r="C2437" t="s">
        <v>156</v>
      </c>
      <c r="D2437">
        <v>2</v>
      </c>
      <c r="E2437" s="1">
        <v>45737</v>
      </c>
      <c r="F2437" t="s">
        <v>590</v>
      </c>
      <c r="G2437">
        <v>3</v>
      </c>
      <c r="H2437" t="s">
        <v>578</v>
      </c>
      <c r="I2437" t="s">
        <v>570</v>
      </c>
      <c r="J2437" t="str">
        <f t="shared" si="114"/>
        <v>March</v>
      </c>
      <c r="K2437" t="str">
        <f t="shared" si="115"/>
        <v>Q1</v>
      </c>
      <c r="L2437">
        <f t="shared" si="116"/>
        <v>2025</v>
      </c>
    </row>
    <row r="2438" spans="1:12" x14ac:dyDescent="0.3">
      <c r="A2438" t="s">
        <v>3878</v>
      </c>
      <c r="B2438" t="s">
        <v>3879</v>
      </c>
      <c r="C2438" t="s">
        <v>973</v>
      </c>
      <c r="D2438">
        <v>1</v>
      </c>
      <c r="E2438" s="1">
        <v>45928</v>
      </c>
      <c r="F2438" t="s">
        <v>625</v>
      </c>
      <c r="G2438">
        <v>2</v>
      </c>
      <c r="H2438" t="s">
        <v>569</v>
      </c>
      <c r="I2438" t="s">
        <v>597</v>
      </c>
      <c r="J2438" t="str">
        <f t="shared" si="114"/>
        <v>September</v>
      </c>
      <c r="K2438" t="str">
        <f t="shared" si="115"/>
        <v>Q3</v>
      </c>
      <c r="L2438">
        <f t="shared" si="116"/>
        <v>2025</v>
      </c>
    </row>
    <row r="2439" spans="1:12" x14ac:dyDescent="0.3">
      <c r="A2439" t="s">
        <v>3880</v>
      </c>
      <c r="B2439" t="s">
        <v>3879</v>
      </c>
      <c r="C2439" t="s">
        <v>973</v>
      </c>
      <c r="D2439">
        <v>2</v>
      </c>
      <c r="E2439" s="1">
        <v>45940</v>
      </c>
      <c r="F2439" t="s">
        <v>625</v>
      </c>
      <c r="G2439">
        <v>3</v>
      </c>
      <c r="H2439" t="s">
        <v>578</v>
      </c>
      <c r="I2439" t="s">
        <v>570</v>
      </c>
      <c r="J2439" t="str">
        <f t="shared" si="114"/>
        <v>October</v>
      </c>
      <c r="K2439" t="str">
        <f t="shared" si="115"/>
        <v>Q4</v>
      </c>
      <c r="L2439">
        <f t="shared" si="116"/>
        <v>2025</v>
      </c>
    </row>
    <row r="2440" spans="1:12" x14ac:dyDescent="0.3">
      <c r="A2440" t="s">
        <v>3881</v>
      </c>
      <c r="B2440" t="s">
        <v>3879</v>
      </c>
      <c r="C2440" t="s">
        <v>973</v>
      </c>
      <c r="D2440">
        <v>3</v>
      </c>
      <c r="E2440" s="1">
        <v>45952</v>
      </c>
      <c r="F2440" t="s">
        <v>575</v>
      </c>
      <c r="G2440">
        <v>3</v>
      </c>
      <c r="H2440" t="s">
        <v>578</v>
      </c>
      <c r="I2440" t="s">
        <v>570</v>
      </c>
      <c r="J2440" t="str">
        <f t="shared" si="114"/>
        <v>October</v>
      </c>
      <c r="K2440" t="str">
        <f t="shared" si="115"/>
        <v>Q4</v>
      </c>
      <c r="L2440">
        <f t="shared" si="116"/>
        <v>2025</v>
      </c>
    </row>
    <row r="2441" spans="1:12" x14ac:dyDescent="0.3">
      <c r="A2441" t="s">
        <v>3882</v>
      </c>
      <c r="B2441" t="s">
        <v>3883</v>
      </c>
      <c r="C2441" t="s">
        <v>140</v>
      </c>
      <c r="D2441">
        <v>1</v>
      </c>
      <c r="E2441" s="1">
        <v>45929</v>
      </c>
      <c r="F2441" t="s">
        <v>584</v>
      </c>
      <c r="G2441">
        <v>1</v>
      </c>
      <c r="H2441" t="s">
        <v>569</v>
      </c>
      <c r="I2441" t="s">
        <v>570</v>
      </c>
      <c r="J2441" t="str">
        <f t="shared" si="114"/>
        <v>September</v>
      </c>
      <c r="K2441" t="str">
        <f t="shared" si="115"/>
        <v>Q3</v>
      </c>
      <c r="L2441">
        <f t="shared" si="116"/>
        <v>2025</v>
      </c>
    </row>
    <row r="2442" spans="1:12" x14ac:dyDescent="0.3">
      <c r="A2442" t="s">
        <v>3884</v>
      </c>
      <c r="B2442" t="s">
        <v>3883</v>
      </c>
      <c r="C2442" t="s">
        <v>140</v>
      </c>
      <c r="D2442">
        <v>2</v>
      </c>
      <c r="E2442" s="1">
        <v>45937</v>
      </c>
      <c r="F2442" t="s">
        <v>584</v>
      </c>
      <c r="G2442">
        <v>1</v>
      </c>
      <c r="H2442" t="s">
        <v>569</v>
      </c>
      <c r="I2442" t="s">
        <v>570</v>
      </c>
      <c r="J2442" t="str">
        <f t="shared" si="114"/>
        <v>October</v>
      </c>
      <c r="K2442" t="str">
        <f t="shared" si="115"/>
        <v>Q4</v>
      </c>
      <c r="L2442">
        <f t="shared" si="116"/>
        <v>2025</v>
      </c>
    </row>
    <row r="2443" spans="1:12" x14ac:dyDescent="0.3">
      <c r="A2443" t="s">
        <v>3885</v>
      </c>
      <c r="B2443" t="s">
        <v>3883</v>
      </c>
      <c r="C2443" t="s">
        <v>140</v>
      </c>
      <c r="D2443">
        <v>3</v>
      </c>
      <c r="E2443" s="1">
        <v>45943</v>
      </c>
      <c r="F2443" t="s">
        <v>632</v>
      </c>
      <c r="G2443">
        <v>2</v>
      </c>
      <c r="H2443" t="s">
        <v>569</v>
      </c>
      <c r="I2443" t="s">
        <v>570</v>
      </c>
      <c r="J2443" t="str">
        <f t="shared" si="114"/>
        <v>October</v>
      </c>
      <c r="K2443" t="str">
        <f t="shared" si="115"/>
        <v>Q4</v>
      </c>
      <c r="L2443">
        <f t="shared" si="116"/>
        <v>2025</v>
      </c>
    </row>
    <row r="2444" spans="1:12" x14ac:dyDescent="0.3">
      <c r="A2444" t="s">
        <v>3886</v>
      </c>
      <c r="B2444" t="s">
        <v>3883</v>
      </c>
      <c r="C2444" t="s">
        <v>140</v>
      </c>
      <c r="D2444">
        <v>4</v>
      </c>
      <c r="E2444" s="1">
        <v>45949</v>
      </c>
      <c r="F2444" t="s">
        <v>663</v>
      </c>
      <c r="G2444">
        <v>1</v>
      </c>
      <c r="H2444" t="s">
        <v>569</v>
      </c>
      <c r="I2444" t="s">
        <v>570</v>
      </c>
      <c r="J2444" t="str">
        <f t="shared" si="114"/>
        <v>October</v>
      </c>
      <c r="K2444" t="str">
        <f t="shared" si="115"/>
        <v>Q4</v>
      </c>
      <c r="L2444">
        <f t="shared" si="116"/>
        <v>2025</v>
      </c>
    </row>
    <row r="2445" spans="1:12" x14ac:dyDescent="0.3">
      <c r="A2445" t="s">
        <v>3887</v>
      </c>
      <c r="B2445" t="s">
        <v>3888</v>
      </c>
      <c r="C2445" t="s">
        <v>108</v>
      </c>
      <c r="D2445">
        <v>1</v>
      </c>
      <c r="E2445" s="1">
        <v>45761</v>
      </c>
      <c r="F2445" t="s">
        <v>577</v>
      </c>
      <c r="G2445">
        <v>2</v>
      </c>
      <c r="H2445" t="s">
        <v>569</v>
      </c>
      <c r="I2445" t="s">
        <v>570</v>
      </c>
      <c r="J2445" t="str">
        <f t="shared" si="114"/>
        <v>April</v>
      </c>
      <c r="K2445" t="str">
        <f t="shared" si="115"/>
        <v>Q2</v>
      </c>
      <c r="L2445">
        <f t="shared" si="116"/>
        <v>2025</v>
      </c>
    </row>
    <row r="2446" spans="1:12" x14ac:dyDescent="0.3">
      <c r="A2446" t="s">
        <v>3889</v>
      </c>
      <c r="B2446" t="s">
        <v>3888</v>
      </c>
      <c r="C2446" t="s">
        <v>108</v>
      </c>
      <c r="D2446">
        <v>2</v>
      </c>
      <c r="E2446" s="1">
        <v>45765</v>
      </c>
      <c r="F2446" t="s">
        <v>572</v>
      </c>
      <c r="G2446">
        <v>1</v>
      </c>
      <c r="H2446" t="s">
        <v>569</v>
      </c>
      <c r="I2446" t="s">
        <v>570</v>
      </c>
      <c r="J2446" t="str">
        <f t="shared" si="114"/>
        <v>April</v>
      </c>
      <c r="K2446" t="str">
        <f t="shared" si="115"/>
        <v>Q2</v>
      </c>
      <c r="L2446">
        <f t="shared" si="116"/>
        <v>2025</v>
      </c>
    </row>
    <row r="2447" spans="1:12" x14ac:dyDescent="0.3">
      <c r="A2447" t="s">
        <v>3890</v>
      </c>
      <c r="B2447" t="s">
        <v>390</v>
      </c>
      <c r="C2447" t="s">
        <v>337</v>
      </c>
      <c r="D2447">
        <v>1</v>
      </c>
      <c r="E2447" s="1">
        <v>45847</v>
      </c>
      <c r="F2447" t="s">
        <v>575</v>
      </c>
      <c r="G2447">
        <v>3</v>
      </c>
      <c r="H2447" t="s">
        <v>578</v>
      </c>
      <c r="I2447" t="s">
        <v>570</v>
      </c>
      <c r="J2447" t="str">
        <f t="shared" si="114"/>
        <v>July</v>
      </c>
      <c r="K2447" t="str">
        <f t="shared" si="115"/>
        <v>Q3</v>
      </c>
      <c r="L2447">
        <f t="shared" si="116"/>
        <v>2025</v>
      </c>
    </row>
    <row r="2448" spans="1:12" x14ac:dyDescent="0.3">
      <c r="A2448" t="s">
        <v>3891</v>
      </c>
      <c r="B2448" t="s">
        <v>390</v>
      </c>
      <c r="C2448" t="s">
        <v>337</v>
      </c>
      <c r="D2448">
        <v>2</v>
      </c>
      <c r="E2448" s="1">
        <v>45852</v>
      </c>
      <c r="F2448" t="s">
        <v>596</v>
      </c>
      <c r="G2448">
        <v>3</v>
      </c>
      <c r="H2448" t="s">
        <v>578</v>
      </c>
      <c r="I2448" t="s">
        <v>570</v>
      </c>
      <c r="J2448" t="str">
        <f t="shared" si="114"/>
        <v>July</v>
      </c>
      <c r="K2448" t="str">
        <f t="shared" si="115"/>
        <v>Q3</v>
      </c>
      <c r="L2448">
        <f t="shared" si="116"/>
        <v>2025</v>
      </c>
    </row>
    <row r="2449" spans="1:12" x14ac:dyDescent="0.3">
      <c r="A2449" t="s">
        <v>3892</v>
      </c>
      <c r="B2449" t="s">
        <v>390</v>
      </c>
      <c r="C2449" t="s">
        <v>337</v>
      </c>
      <c r="D2449">
        <v>3</v>
      </c>
      <c r="E2449" s="1">
        <v>45861</v>
      </c>
      <c r="F2449" t="s">
        <v>596</v>
      </c>
      <c r="G2449">
        <v>3</v>
      </c>
      <c r="H2449" t="s">
        <v>578</v>
      </c>
      <c r="I2449" t="s">
        <v>570</v>
      </c>
      <c r="J2449" t="str">
        <f t="shared" si="114"/>
        <v>July</v>
      </c>
      <c r="K2449" t="str">
        <f t="shared" si="115"/>
        <v>Q3</v>
      </c>
      <c r="L2449">
        <f t="shared" si="116"/>
        <v>2025</v>
      </c>
    </row>
    <row r="2450" spans="1:12" x14ac:dyDescent="0.3">
      <c r="A2450" t="s">
        <v>3893</v>
      </c>
      <c r="B2450" t="s">
        <v>390</v>
      </c>
      <c r="C2450" t="s">
        <v>337</v>
      </c>
      <c r="D2450">
        <v>4</v>
      </c>
      <c r="E2450" s="1">
        <v>45871</v>
      </c>
      <c r="F2450" t="s">
        <v>621</v>
      </c>
      <c r="G2450">
        <v>4</v>
      </c>
      <c r="H2450" t="s">
        <v>581</v>
      </c>
      <c r="I2450" t="s">
        <v>570</v>
      </c>
      <c r="J2450" t="str">
        <f t="shared" si="114"/>
        <v>August</v>
      </c>
      <c r="K2450" t="str">
        <f t="shared" si="115"/>
        <v>Q3</v>
      </c>
      <c r="L2450">
        <f t="shared" si="116"/>
        <v>2025</v>
      </c>
    </row>
    <row r="2451" spans="1:12" x14ac:dyDescent="0.3">
      <c r="A2451" t="s">
        <v>3894</v>
      </c>
      <c r="B2451" t="s">
        <v>3895</v>
      </c>
      <c r="C2451" t="s">
        <v>240</v>
      </c>
      <c r="D2451">
        <v>1</v>
      </c>
      <c r="E2451" s="1">
        <v>45955</v>
      </c>
      <c r="F2451" t="s">
        <v>586</v>
      </c>
      <c r="G2451">
        <v>2</v>
      </c>
      <c r="H2451" t="s">
        <v>569</v>
      </c>
      <c r="I2451" t="s">
        <v>570</v>
      </c>
      <c r="J2451" t="str">
        <f t="shared" si="114"/>
        <v>October</v>
      </c>
      <c r="K2451" t="str">
        <f t="shared" si="115"/>
        <v>Q4</v>
      </c>
      <c r="L2451">
        <f t="shared" si="116"/>
        <v>2025</v>
      </c>
    </row>
    <row r="2452" spans="1:12" x14ac:dyDescent="0.3">
      <c r="A2452" t="s">
        <v>3896</v>
      </c>
      <c r="B2452" t="s">
        <v>3895</v>
      </c>
      <c r="C2452" t="s">
        <v>240</v>
      </c>
      <c r="D2452">
        <v>2</v>
      </c>
      <c r="E2452" s="1">
        <v>45967</v>
      </c>
      <c r="F2452" t="s">
        <v>580</v>
      </c>
      <c r="G2452">
        <v>3</v>
      </c>
      <c r="H2452" t="s">
        <v>578</v>
      </c>
      <c r="I2452" t="s">
        <v>570</v>
      </c>
      <c r="J2452" t="str">
        <f t="shared" si="114"/>
        <v>November</v>
      </c>
      <c r="K2452" t="str">
        <f t="shared" si="115"/>
        <v>Q4</v>
      </c>
      <c r="L2452">
        <f t="shared" si="116"/>
        <v>2025</v>
      </c>
    </row>
    <row r="2453" spans="1:12" x14ac:dyDescent="0.3">
      <c r="A2453" t="s">
        <v>3897</v>
      </c>
      <c r="B2453" t="s">
        <v>3895</v>
      </c>
      <c r="C2453" t="s">
        <v>240</v>
      </c>
      <c r="D2453">
        <v>3</v>
      </c>
      <c r="E2453" s="1">
        <v>45978</v>
      </c>
      <c r="F2453" t="s">
        <v>580</v>
      </c>
      <c r="G2453">
        <v>1</v>
      </c>
      <c r="H2453" t="s">
        <v>569</v>
      </c>
      <c r="I2453" t="s">
        <v>570</v>
      </c>
      <c r="J2453" t="str">
        <f t="shared" si="114"/>
        <v>November</v>
      </c>
      <c r="K2453" t="str">
        <f t="shared" si="115"/>
        <v>Q4</v>
      </c>
      <c r="L2453">
        <f t="shared" si="116"/>
        <v>2025</v>
      </c>
    </row>
    <row r="2454" spans="1:12" x14ac:dyDescent="0.3">
      <c r="A2454" t="s">
        <v>3898</v>
      </c>
      <c r="B2454" t="s">
        <v>3899</v>
      </c>
      <c r="C2454" t="s">
        <v>176</v>
      </c>
      <c r="D2454">
        <v>1</v>
      </c>
      <c r="E2454" s="1">
        <v>45703</v>
      </c>
      <c r="F2454" t="s">
        <v>577</v>
      </c>
      <c r="G2454">
        <v>3</v>
      </c>
      <c r="H2454" t="s">
        <v>578</v>
      </c>
      <c r="I2454" t="s">
        <v>570</v>
      </c>
      <c r="J2454" t="str">
        <f t="shared" si="114"/>
        <v>February</v>
      </c>
      <c r="K2454" t="str">
        <f t="shared" si="115"/>
        <v>Q1</v>
      </c>
      <c r="L2454">
        <f t="shared" si="116"/>
        <v>2025</v>
      </c>
    </row>
    <row r="2455" spans="1:12" x14ac:dyDescent="0.3">
      <c r="A2455" t="s">
        <v>3900</v>
      </c>
      <c r="B2455" t="s">
        <v>3899</v>
      </c>
      <c r="C2455" t="s">
        <v>176</v>
      </c>
      <c r="D2455">
        <v>2</v>
      </c>
      <c r="E2455" s="1">
        <v>45712</v>
      </c>
      <c r="F2455" t="s">
        <v>638</v>
      </c>
      <c r="G2455">
        <v>3</v>
      </c>
      <c r="H2455" t="s">
        <v>578</v>
      </c>
      <c r="I2455" t="s">
        <v>570</v>
      </c>
      <c r="J2455" t="str">
        <f t="shared" si="114"/>
        <v>February</v>
      </c>
      <c r="K2455" t="str">
        <f t="shared" si="115"/>
        <v>Q1</v>
      </c>
      <c r="L2455">
        <f t="shared" si="116"/>
        <v>2025</v>
      </c>
    </row>
    <row r="2456" spans="1:12" x14ac:dyDescent="0.3">
      <c r="A2456" t="s">
        <v>3901</v>
      </c>
      <c r="B2456" t="s">
        <v>3902</v>
      </c>
      <c r="C2456" t="s">
        <v>973</v>
      </c>
      <c r="D2456">
        <v>1</v>
      </c>
      <c r="E2456" s="1">
        <v>45930</v>
      </c>
      <c r="F2456" t="s">
        <v>706</v>
      </c>
      <c r="G2456">
        <v>2</v>
      </c>
      <c r="H2456" t="s">
        <v>569</v>
      </c>
      <c r="I2456" t="s">
        <v>570</v>
      </c>
      <c r="J2456" t="str">
        <f t="shared" si="114"/>
        <v>September</v>
      </c>
      <c r="K2456" t="str">
        <f t="shared" si="115"/>
        <v>Q3</v>
      </c>
      <c r="L2456">
        <f t="shared" si="116"/>
        <v>2025</v>
      </c>
    </row>
    <row r="2457" spans="1:12" x14ac:dyDescent="0.3">
      <c r="A2457" t="s">
        <v>3903</v>
      </c>
      <c r="B2457" t="s">
        <v>3902</v>
      </c>
      <c r="C2457" t="s">
        <v>973</v>
      </c>
      <c r="D2457">
        <v>2</v>
      </c>
      <c r="E2457" s="1">
        <v>45934</v>
      </c>
      <c r="F2457" t="s">
        <v>575</v>
      </c>
      <c r="G2457">
        <v>3</v>
      </c>
      <c r="H2457" t="s">
        <v>578</v>
      </c>
      <c r="I2457" t="s">
        <v>570</v>
      </c>
      <c r="J2457" t="str">
        <f t="shared" si="114"/>
        <v>October</v>
      </c>
      <c r="K2457" t="str">
        <f t="shared" si="115"/>
        <v>Q4</v>
      </c>
      <c r="L2457">
        <f t="shared" si="116"/>
        <v>2025</v>
      </c>
    </row>
    <row r="2458" spans="1:12" x14ac:dyDescent="0.3">
      <c r="A2458" t="s">
        <v>3904</v>
      </c>
      <c r="B2458" t="s">
        <v>3902</v>
      </c>
      <c r="C2458" t="s">
        <v>973</v>
      </c>
      <c r="D2458">
        <v>3</v>
      </c>
      <c r="E2458" s="1">
        <v>45940</v>
      </c>
      <c r="F2458" t="s">
        <v>625</v>
      </c>
      <c r="G2458">
        <v>1</v>
      </c>
      <c r="H2458" t="s">
        <v>569</v>
      </c>
      <c r="I2458" t="s">
        <v>570</v>
      </c>
      <c r="J2458" t="str">
        <f t="shared" si="114"/>
        <v>October</v>
      </c>
      <c r="K2458" t="str">
        <f t="shared" si="115"/>
        <v>Q4</v>
      </c>
      <c r="L2458">
        <f t="shared" si="116"/>
        <v>2025</v>
      </c>
    </row>
    <row r="2459" spans="1:12" x14ac:dyDescent="0.3">
      <c r="A2459" t="s">
        <v>3905</v>
      </c>
      <c r="B2459" t="s">
        <v>3902</v>
      </c>
      <c r="C2459" t="s">
        <v>973</v>
      </c>
      <c r="D2459">
        <v>4</v>
      </c>
      <c r="E2459" s="1">
        <v>45945</v>
      </c>
      <c r="F2459" t="s">
        <v>600</v>
      </c>
      <c r="G2459">
        <v>1</v>
      </c>
      <c r="H2459" t="s">
        <v>569</v>
      </c>
      <c r="I2459" t="s">
        <v>570</v>
      </c>
      <c r="J2459" t="str">
        <f t="shared" si="114"/>
        <v>October</v>
      </c>
      <c r="K2459" t="str">
        <f t="shared" si="115"/>
        <v>Q4</v>
      </c>
      <c r="L2459">
        <f t="shared" si="116"/>
        <v>2025</v>
      </c>
    </row>
    <row r="2460" spans="1:12" x14ac:dyDescent="0.3">
      <c r="A2460" t="s">
        <v>3906</v>
      </c>
      <c r="B2460" t="s">
        <v>3907</v>
      </c>
      <c r="C2460" t="s">
        <v>147</v>
      </c>
      <c r="D2460">
        <v>1</v>
      </c>
      <c r="E2460" s="1">
        <v>45824</v>
      </c>
      <c r="F2460" t="s">
        <v>568</v>
      </c>
      <c r="G2460">
        <v>4</v>
      </c>
      <c r="H2460" t="s">
        <v>581</v>
      </c>
      <c r="I2460" t="s">
        <v>570</v>
      </c>
      <c r="J2460" t="str">
        <f t="shared" si="114"/>
        <v>June</v>
      </c>
      <c r="K2460" t="str">
        <f t="shared" si="115"/>
        <v>Q2</v>
      </c>
      <c r="L2460">
        <f t="shared" si="116"/>
        <v>2025</v>
      </c>
    </row>
    <row r="2461" spans="1:12" x14ac:dyDescent="0.3">
      <c r="A2461" t="s">
        <v>3908</v>
      </c>
      <c r="B2461" t="s">
        <v>3909</v>
      </c>
      <c r="C2461" t="s">
        <v>96</v>
      </c>
      <c r="D2461">
        <v>1</v>
      </c>
      <c r="E2461" s="1">
        <v>45876</v>
      </c>
      <c r="F2461" t="s">
        <v>612</v>
      </c>
      <c r="G2461">
        <v>2</v>
      </c>
      <c r="H2461" t="s">
        <v>569</v>
      </c>
      <c r="I2461" t="s">
        <v>570</v>
      </c>
      <c r="J2461" t="str">
        <f t="shared" si="114"/>
        <v>August</v>
      </c>
      <c r="K2461" t="str">
        <f t="shared" si="115"/>
        <v>Q3</v>
      </c>
      <c r="L2461">
        <f t="shared" si="116"/>
        <v>2025</v>
      </c>
    </row>
    <row r="2462" spans="1:12" x14ac:dyDescent="0.3">
      <c r="A2462" t="s">
        <v>3910</v>
      </c>
      <c r="B2462" t="s">
        <v>3909</v>
      </c>
      <c r="C2462" t="s">
        <v>96</v>
      </c>
      <c r="D2462">
        <v>2</v>
      </c>
      <c r="E2462" s="1">
        <v>45888</v>
      </c>
      <c r="F2462" t="s">
        <v>605</v>
      </c>
      <c r="G2462">
        <v>1</v>
      </c>
      <c r="H2462" t="s">
        <v>569</v>
      </c>
      <c r="I2462" t="s">
        <v>570</v>
      </c>
      <c r="J2462" t="str">
        <f t="shared" si="114"/>
        <v>August</v>
      </c>
      <c r="K2462" t="str">
        <f t="shared" si="115"/>
        <v>Q3</v>
      </c>
      <c r="L2462">
        <f t="shared" si="116"/>
        <v>2025</v>
      </c>
    </row>
    <row r="2463" spans="1:12" x14ac:dyDescent="0.3">
      <c r="A2463" t="s">
        <v>3911</v>
      </c>
      <c r="B2463" t="s">
        <v>3912</v>
      </c>
      <c r="C2463" t="s">
        <v>68</v>
      </c>
      <c r="D2463">
        <v>1</v>
      </c>
      <c r="E2463" s="1">
        <v>45729</v>
      </c>
      <c r="F2463" t="s">
        <v>592</v>
      </c>
      <c r="G2463">
        <v>1</v>
      </c>
      <c r="H2463" t="s">
        <v>569</v>
      </c>
      <c r="I2463" t="s">
        <v>570</v>
      </c>
      <c r="J2463" t="str">
        <f t="shared" si="114"/>
        <v>March</v>
      </c>
      <c r="K2463" t="str">
        <f t="shared" si="115"/>
        <v>Q1</v>
      </c>
      <c r="L2463">
        <f t="shared" si="116"/>
        <v>2025</v>
      </c>
    </row>
    <row r="2464" spans="1:12" x14ac:dyDescent="0.3">
      <c r="A2464" t="s">
        <v>3913</v>
      </c>
      <c r="B2464" t="s">
        <v>3912</v>
      </c>
      <c r="C2464" t="s">
        <v>68</v>
      </c>
      <c r="D2464">
        <v>2</v>
      </c>
      <c r="E2464" s="1">
        <v>45740</v>
      </c>
      <c r="F2464" t="s">
        <v>586</v>
      </c>
      <c r="G2464">
        <v>3</v>
      </c>
      <c r="H2464" t="s">
        <v>578</v>
      </c>
      <c r="I2464" t="s">
        <v>570</v>
      </c>
      <c r="J2464" t="str">
        <f t="shared" si="114"/>
        <v>March</v>
      </c>
      <c r="K2464" t="str">
        <f t="shared" si="115"/>
        <v>Q1</v>
      </c>
      <c r="L2464">
        <f t="shared" si="116"/>
        <v>2025</v>
      </c>
    </row>
    <row r="2465" spans="1:12" x14ac:dyDescent="0.3">
      <c r="A2465" t="s">
        <v>3914</v>
      </c>
      <c r="B2465" t="s">
        <v>3912</v>
      </c>
      <c r="C2465" t="s">
        <v>68</v>
      </c>
      <c r="D2465">
        <v>3</v>
      </c>
      <c r="E2465" s="1">
        <v>45751</v>
      </c>
      <c r="F2465" t="s">
        <v>575</v>
      </c>
      <c r="G2465">
        <v>1</v>
      </c>
      <c r="H2465" t="s">
        <v>569</v>
      </c>
      <c r="I2465" t="s">
        <v>570</v>
      </c>
      <c r="J2465" t="str">
        <f t="shared" si="114"/>
        <v>April</v>
      </c>
      <c r="K2465" t="str">
        <f t="shared" si="115"/>
        <v>Q2</v>
      </c>
      <c r="L2465">
        <f t="shared" si="116"/>
        <v>2025</v>
      </c>
    </row>
    <row r="2466" spans="1:12" x14ac:dyDescent="0.3">
      <c r="A2466" t="s">
        <v>3915</v>
      </c>
      <c r="B2466" t="s">
        <v>414</v>
      </c>
      <c r="C2466" t="s">
        <v>156</v>
      </c>
      <c r="D2466">
        <v>1</v>
      </c>
      <c r="E2466" s="1">
        <v>45737</v>
      </c>
      <c r="F2466" t="s">
        <v>580</v>
      </c>
      <c r="G2466">
        <v>4</v>
      </c>
      <c r="H2466" t="s">
        <v>581</v>
      </c>
      <c r="I2466" t="s">
        <v>570</v>
      </c>
      <c r="J2466" t="str">
        <f t="shared" si="114"/>
        <v>March</v>
      </c>
      <c r="K2466" t="str">
        <f t="shared" si="115"/>
        <v>Q1</v>
      </c>
      <c r="L2466">
        <f t="shared" si="116"/>
        <v>2025</v>
      </c>
    </row>
    <row r="2467" spans="1:12" x14ac:dyDescent="0.3">
      <c r="A2467" t="s">
        <v>3916</v>
      </c>
      <c r="B2467" t="s">
        <v>3917</v>
      </c>
      <c r="C2467" t="s">
        <v>51</v>
      </c>
      <c r="D2467">
        <v>1</v>
      </c>
      <c r="E2467" s="1">
        <v>45961</v>
      </c>
      <c r="F2467" t="s">
        <v>596</v>
      </c>
      <c r="G2467">
        <v>1</v>
      </c>
      <c r="H2467" t="s">
        <v>569</v>
      </c>
      <c r="I2467" t="s">
        <v>570</v>
      </c>
      <c r="J2467" t="str">
        <f t="shared" si="114"/>
        <v>October</v>
      </c>
      <c r="K2467" t="str">
        <f t="shared" si="115"/>
        <v>Q4</v>
      </c>
      <c r="L2467">
        <f t="shared" si="116"/>
        <v>2025</v>
      </c>
    </row>
    <row r="2468" spans="1:12" x14ac:dyDescent="0.3">
      <c r="A2468" t="s">
        <v>3918</v>
      </c>
      <c r="B2468" t="s">
        <v>3917</v>
      </c>
      <c r="C2468" t="s">
        <v>51</v>
      </c>
      <c r="D2468">
        <v>2</v>
      </c>
      <c r="E2468" s="1">
        <v>45966</v>
      </c>
      <c r="F2468" t="s">
        <v>580</v>
      </c>
      <c r="G2468">
        <v>3</v>
      </c>
      <c r="H2468" t="s">
        <v>578</v>
      </c>
      <c r="I2468" t="s">
        <v>570</v>
      </c>
      <c r="J2468" t="str">
        <f t="shared" si="114"/>
        <v>November</v>
      </c>
      <c r="K2468" t="str">
        <f t="shared" si="115"/>
        <v>Q4</v>
      </c>
      <c r="L2468">
        <f t="shared" si="116"/>
        <v>2025</v>
      </c>
    </row>
    <row r="2469" spans="1:12" x14ac:dyDescent="0.3">
      <c r="A2469" t="s">
        <v>3919</v>
      </c>
      <c r="B2469" t="s">
        <v>3917</v>
      </c>
      <c r="C2469" t="s">
        <v>51</v>
      </c>
      <c r="D2469">
        <v>3</v>
      </c>
      <c r="E2469" s="1">
        <v>45972</v>
      </c>
      <c r="F2469" t="s">
        <v>568</v>
      </c>
      <c r="G2469">
        <v>1</v>
      </c>
      <c r="H2469" t="s">
        <v>569</v>
      </c>
      <c r="I2469" t="s">
        <v>570</v>
      </c>
      <c r="J2469" t="str">
        <f t="shared" si="114"/>
        <v>November</v>
      </c>
      <c r="K2469" t="str">
        <f t="shared" si="115"/>
        <v>Q4</v>
      </c>
      <c r="L2469">
        <f t="shared" si="116"/>
        <v>2025</v>
      </c>
    </row>
    <row r="2470" spans="1:12" x14ac:dyDescent="0.3">
      <c r="A2470" t="s">
        <v>3920</v>
      </c>
      <c r="B2470" t="s">
        <v>3921</v>
      </c>
      <c r="C2470" t="s">
        <v>73</v>
      </c>
      <c r="D2470">
        <v>1</v>
      </c>
      <c r="E2470" s="1">
        <v>45810</v>
      </c>
      <c r="F2470" t="s">
        <v>621</v>
      </c>
      <c r="G2470">
        <v>4</v>
      </c>
      <c r="H2470" t="s">
        <v>581</v>
      </c>
      <c r="I2470" t="s">
        <v>570</v>
      </c>
      <c r="J2470" t="str">
        <f t="shared" si="114"/>
        <v>June</v>
      </c>
      <c r="K2470" t="str">
        <f t="shared" si="115"/>
        <v>Q2</v>
      </c>
      <c r="L2470">
        <f t="shared" si="116"/>
        <v>2025</v>
      </c>
    </row>
    <row r="2471" spans="1:12" x14ac:dyDescent="0.3">
      <c r="A2471" t="s">
        <v>3922</v>
      </c>
      <c r="B2471" t="s">
        <v>3923</v>
      </c>
      <c r="C2471" t="s">
        <v>127</v>
      </c>
      <c r="D2471">
        <v>1</v>
      </c>
      <c r="E2471" s="1">
        <v>45954</v>
      </c>
      <c r="F2471" t="s">
        <v>584</v>
      </c>
      <c r="G2471">
        <v>3</v>
      </c>
      <c r="H2471" t="s">
        <v>578</v>
      </c>
      <c r="I2471" t="s">
        <v>597</v>
      </c>
      <c r="J2471" t="str">
        <f t="shared" si="114"/>
        <v>October</v>
      </c>
      <c r="K2471" t="str">
        <f t="shared" si="115"/>
        <v>Q4</v>
      </c>
      <c r="L2471">
        <f t="shared" si="116"/>
        <v>2025</v>
      </c>
    </row>
    <row r="2472" spans="1:12" x14ac:dyDescent="0.3">
      <c r="A2472" t="s">
        <v>3924</v>
      </c>
      <c r="B2472" t="s">
        <v>3923</v>
      </c>
      <c r="C2472" t="s">
        <v>127</v>
      </c>
      <c r="D2472">
        <v>2</v>
      </c>
      <c r="E2472" s="1">
        <v>45965</v>
      </c>
      <c r="F2472" t="s">
        <v>625</v>
      </c>
      <c r="G2472">
        <v>3</v>
      </c>
      <c r="H2472" t="s">
        <v>578</v>
      </c>
      <c r="I2472" t="s">
        <v>570</v>
      </c>
      <c r="J2472" t="str">
        <f t="shared" si="114"/>
        <v>November</v>
      </c>
      <c r="K2472" t="str">
        <f t="shared" si="115"/>
        <v>Q4</v>
      </c>
      <c r="L2472">
        <f t="shared" si="116"/>
        <v>2025</v>
      </c>
    </row>
    <row r="2473" spans="1:12" x14ac:dyDescent="0.3">
      <c r="A2473" t="s">
        <v>3925</v>
      </c>
      <c r="B2473" t="s">
        <v>3923</v>
      </c>
      <c r="C2473" t="s">
        <v>127</v>
      </c>
      <c r="D2473">
        <v>3</v>
      </c>
      <c r="E2473" s="1">
        <v>45969</v>
      </c>
      <c r="F2473" t="s">
        <v>766</v>
      </c>
      <c r="G2473">
        <v>2</v>
      </c>
      <c r="H2473" t="s">
        <v>569</v>
      </c>
      <c r="I2473" t="s">
        <v>570</v>
      </c>
      <c r="J2473" t="str">
        <f t="shared" si="114"/>
        <v>November</v>
      </c>
      <c r="K2473" t="str">
        <f t="shared" si="115"/>
        <v>Q4</v>
      </c>
      <c r="L2473">
        <f t="shared" si="116"/>
        <v>2025</v>
      </c>
    </row>
    <row r="2474" spans="1:12" x14ac:dyDescent="0.3">
      <c r="A2474" t="s">
        <v>3926</v>
      </c>
      <c r="B2474" t="s">
        <v>3927</v>
      </c>
      <c r="C2474" t="s">
        <v>147</v>
      </c>
      <c r="D2474">
        <v>1</v>
      </c>
      <c r="E2474" s="1">
        <v>45821</v>
      </c>
      <c r="F2474" t="s">
        <v>572</v>
      </c>
      <c r="G2474">
        <v>1</v>
      </c>
      <c r="H2474" t="s">
        <v>569</v>
      </c>
      <c r="I2474" t="s">
        <v>570</v>
      </c>
      <c r="J2474" t="str">
        <f t="shared" si="114"/>
        <v>June</v>
      </c>
      <c r="K2474" t="str">
        <f t="shared" si="115"/>
        <v>Q2</v>
      </c>
      <c r="L2474">
        <f t="shared" si="116"/>
        <v>2025</v>
      </c>
    </row>
    <row r="2475" spans="1:12" x14ac:dyDescent="0.3">
      <c r="A2475" t="s">
        <v>3928</v>
      </c>
      <c r="B2475" t="s">
        <v>3929</v>
      </c>
      <c r="C2475" t="s">
        <v>51</v>
      </c>
      <c r="D2475">
        <v>1</v>
      </c>
      <c r="E2475" s="1">
        <v>45946</v>
      </c>
      <c r="F2475" t="s">
        <v>580</v>
      </c>
      <c r="G2475">
        <v>2</v>
      </c>
      <c r="H2475" t="s">
        <v>569</v>
      </c>
      <c r="I2475" t="s">
        <v>570</v>
      </c>
      <c r="J2475" t="str">
        <f t="shared" si="114"/>
        <v>October</v>
      </c>
      <c r="K2475" t="str">
        <f t="shared" si="115"/>
        <v>Q4</v>
      </c>
      <c r="L2475">
        <f t="shared" si="116"/>
        <v>2025</v>
      </c>
    </row>
    <row r="2476" spans="1:12" x14ac:dyDescent="0.3">
      <c r="A2476" t="s">
        <v>3930</v>
      </c>
      <c r="B2476" t="s">
        <v>3929</v>
      </c>
      <c r="C2476" t="s">
        <v>51</v>
      </c>
      <c r="D2476">
        <v>2</v>
      </c>
      <c r="E2476" s="1">
        <v>45956</v>
      </c>
      <c r="F2476" t="s">
        <v>596</v>
      </c>
      <c r="G2476">
        <v>1</v>
      </c>
      <c r="H2476" t="s">
        <v>569</v>
      </c>
      <c r="I2476" t="s">
        <v>570</v>
      </c>
      <c r="J2476" t="str">
        <f t="shared" si="114"/>
        <v>October</v>
      </c>
      <c r="K2476" t="str">
        <f t="shared" si="115"/>
        <v>Q4</v>
      </c>
      <c r="L2476">
        <f t="shared" si="116"/>
        <v>2025</v>
      </c>
    </row>
    <row r="2477" spans="1:12" x14ac:dyDescent="0.3">
      <c r="A2477" t="s">
        <v>3931</v>
      </c>
      <c r="B2477" t="s">
        <v>3929</v>
      </c>
      <c r="C2477" t="s">
        <v>51</v>
      </c>
      <c r="D2477">
        <v>3</v>
      </c>
      <c r="E2477" s="1">
        <v>45962</v>
      </c>
      <c r="F2477" t="s">
        <v>663</v>
      </c>
      <c r="G2477">
        <v>2</v>
      </c>
      <c r="H2477" t="s">
        <v>569</v>
      </c>
      <c r="I2477" t="s">
        <v>570</v>
      </c>
      <c r="J2477" t="str">
        <f t="shared" si="114"/>
        <v>November</v>
      </c>
      <c r="K2477" t="str">
        <f t="shared" si="115"/>
        <v>Q4</v>
      </c>
      <c r="L2477">
        <f t="shared" si="116"/>
        <v>2025</v>
      </c>
    </row>
    <row r="2478" spans="1:12" x14ac:dyDescent="0.3">
      <c r="A2478" t="s">
        <v>3932</v>
      </c>
      <c r="B2478" t="s">
        <v>3929</v>
      </c>
      <c r="C2478" t="s">
        <v>51</v>
      </c>
      <c r="D2478">
        <v>4</v>
      </c>
      <c r="E2478" s="1">
        <v>45968</v>
      </c>
      <c r="G2478">
        <v>1</v>
      </c>
      <c r="H2478" t="s">
        <v>569</v>
      </c>
      <c r="I2478" t="s">
        <v>570</v>
      </c>
      <c r="J2478" t="str">
        <f t="shared" si="114"/>
        <v>November</v>
      </c>
      <c r="K2478" t="str">
        <f t="shared" si="115"/>
        <v>Q4</v>
      </c>
      <c r="L2478">
        <f t="shared" si="116"/>
        <v>2025</v>
      </c>
    </row>
    <row r="2479" spans="1:12" x14ac:dyDescent="0.3">
      <c r="A2479" t="s">
        <v>3933</v>
      </c>
      <c r="B2479" t="s">
        <v>3934</v>
      </c>
      <c r="C2479" t="s">
        <v>65</v>
      </c>
      <c r="D2479">
        <v>1</v>
      </c>
      <c r="E2479" s="1">
        <v>45931</v>
      </c>
      <c r="F2479" t="s">
        <v>568</v>
      </c>
      <c r="G2479">
        <v>2</v>
      </c>
      <c r="H2479" t="s">
        <v>569</v>
      </c>
      <c r="I2479" t="s">
        <v>570</v>
      </c>
      <c r="J2479" t="str">
        <f t="shared" si="114"/>
        <v>October</v>
      </c>
      <c r="K2479" t="str">
        <f t="shared" si="115"/>
        <v>Q4</v>
      </c>
      <c r="L2479">
        <f t="shared" si="116"/>
        <v>2025</v>
      </c>
    </row>
    <row r="2480" spans="1:12" x14ac:dyDescent="0.3">
      <c r="A2480" t="s">
        <v>3935</v>
      </c>
      <c r="B2480" t="s">
        <v>3934</v>
      </c>
      <c r="C2480" t="s">
        <v>65</v>
      </c>
      <c r="D2480">
        <v>2</v>
      </c>
      <c r="E2480" s="1">
        <v>45941</v>
      </c>
      <c r="F2480" t="s">
        <v>572</v>
      </c>
      <c r="G2480">
        <v>1</v>
      </c>
      <c r="H2480" t="s">
        <v>569</v>
      </c>
      <c r="I2480" t="s">
        <v>570</v>
      </c>
      <c r="J2480" t="str">
        <f t="shared" si="114"/>
        <v>October</v>
      </c>
      <c r="K2480" t="str">
        <f t="shared" si="115"/>
        <v>Q4</v>
      </c>
      <c r="L2480">
        <f t="shared" si="116"/>
        <v>2025</v>
      </c>
    </row>
    <row r="2481" spans="1:12" x14ac:dyDescent="0.3">
      <c r="A2481" t="s">
        <v>3936</v>
      </c>
      <c r="B2481" t="s">
        <v>3934</v>
      </c>
      <c r="C2481" t="s">
        <v>65</v>
      </c>
      <c r="D2481">
        <v>3</v>
      </c>
      <c r="E2481" s="1">
        <v>45949</v>
      </c>
      <c r="F2481" t="s">
        <v>596</v>
      </c>
      <c r="G2481">
        <v>1</v>
      </c>
      <c r="H2481" t="s">
        <v>569</v>
      </c>
      <c r="I2481" t="s">
        <v>570</v>
      </c>
      <c r="J2481" t="str">
        <f t="shared" si="114"/>
        <v>October</v>
      </c>
      <c r="K2481" t="str">
        <f t="shared" si="115"/>
        <v>Q4</v>
      </c>
      <c r="L2481">
        <f t="shared" si="116"/>
        <v>2025</v>
      </c>
    </row>
    <row r="2482" spans="1:12" x14ac:dyDescent="0.3">
      <c r="A2482" t="s">
        <v>3937</v>
      </c>
      <c r="B2482" t="s">
        <v>3934</v>
      </c>
      <c r="C2482" t="s">
        <v>65</v>
      </c>
      <c r="D2482">
        <v>4</v>
      </c>
      <c r="E2482" s="1">
        <v>45959</v>
      </c>
      <c r="F2482" t="s">
        <v>663</v>
      </c>
      <c r="G2482">
        <v>2</v>
      </c>
      <c r="H2482" t="s">
        <v>569</v>
      </c>
      <c r="I2482" t="s">
        <v>570</v>
      </c>
      <c r="J2482" t="str">
        <f t="shared" si="114"/>
        <v>October</v>
      </c>
      <c r="K2482" t="str">
        <f t="shared" si="115"/>
        <v>Q4</v>
      </c>
      <c r="L2482">
        <f t="shared" si="116"/>
        <v>2025</v>
      </c>
    </row>
    <row r="2483" spans="1:12" x14ac:dyDescent="0.3">
      <c r="A2483" t="s">
        <v>3938</v>
      </c>
      <c r="B2483" t="s">
        <v>190</v>
      </c>
      <c r="C2483" t="s">
        <v>191</v>
      </c>
      <c r="D2483">
        <v>1</v>
      </c>
      <c r="E2483" s="1">
        <v>45669</v>
      </c>
      <c r="F2483" t="s">
        <v>741</v>
      </c>
      <c r="G2483">
        <v>5</v>
      </c>
      <c r="H2483" t="s">
        <v>581</v>
      </c>
      <c r="I2483" t="s">
        <v>570</v>
      </c>
      <c r="J2483" t="str">
        <f t="shared" si="114"/>
        <v>January</v>
      </c>
      <c r="K2483" t="str">
        <f t="shared" si="115"/>
        <v>Q1</v>
      </c>
      <c r="L2483">
        <f t="shared" si="116"/>
        <v>2025</v>
      </c>
    </row>
    <row r="2484" spans="1:12" x14ac:dyDescent="0.3">
      <c r="A2484" t="s">
        <v>3939</v>
      </c>
      <c r="B2484" t="s">
        <v>190</v>
      </c>
      <c r="C2484" t="s">
        <v>191</v>
      </c>
      <c r="D2484">
        <v>2</v>
      </c>
      <c r="E2484" s="1">
        <v>45679</v>
      </c>
      <c r="F2484" t="s">
        <v>988</v>
      </c>
      <c r="G2484">
        <v>4</v>
      </c>
      <c r="H2484" t="s">
        <v>581</v>
      </c>
      <c r="I2484" t="s">
        <v>570</v>
      </c>
      <c r="J2484" t="str">
        <f t="shared" si="114"/>
        <v>January</v>
      </c>
      <c r="K2484" t="str">
        <f t="shared" si="115"/>
        <v>Q1</v>
      </c>
      <c r="L2484">
        <f t="shared" si="116"/>
        <v>2025</v>
      </c>
    </row>
    <row r="2485" spans="1:12" x14ac:dyDescent="0.3">
      <c r="A2485" t="s">
        <v>3940</v>
      </c>
      <c r="B2485" t="s">
        <v>3941</v>
      </c>
      <c r="C2485" t="s">
        <v>147</v>
      </c>
      <c r="D2485">
        <v>1</v>
      </c>
      <c r="E2485" s="1">
        <v>45835</v>
      </c>
      <c r="G2485">
        <v>1</v>
      </c>
      <c r="H2485" t="s">
        <v>569</v>
      </c>
      <c r="I2485" t="s">
        <v>570</v>
      </c>
      <c r="J2485" t="str">
        <f t="shared" si="114"/>
        <v>June</v>
      </c>
      <c r="K2485" t="str">
        <f t="shared" si="115"/>
        <v>Q2</v>
      </c>
      <c r="L2485">
        <f t="shared" si="116"/>
        <v>2025</v>
      </c>
    </row>
    <row r="2486" spans="1:12" x14ac:dyDescent="0.3">
      <c r="A2486" t="s">
        <v>3942</v>
      </c>
      <c r="B2486" t="s">
        <v>21</v>
      </c>
      <c r="C2486" t="s">
        <v>22</v>
      </c>
      <c r="D2486">
        <v>1</v>
      </c>
      <c r="E2486" s="1">
        <v>45839</v>
      </c>
      <c r="F2486" t="s">
        <v>612</v>
      </c>
      <c r="G2486">
        <v>4</v>
      </c>
      <c r="H2486" t="s">
        <v>581</v>
      </c>
      <c r="I2486" t="s">
        <v>570</v>
      </c>
      <c r="J2486" t="str">
        <f t="shared" si="114"/>
        <v>July</v>
      </c>
      <c r="K2486" t="str">
        <f t="shared" si="115"/>
        <v>Q3</v>
      </c>
      <c r="L2486">
        <f t="shared" si="116"/>
        <v>2025</v>
      </c>
    </row>
    <row r="2487" spans="1:12" x14ac:dyDescent="0.3">
      <c r="A2487" t="s">
        <v>3943</v>
      </c>
      <c r="B2487" t="s">
        <v>21</v>
      </c>
      <c r="C2487" t="s">
        <v>22</v>
      </c>
      <c r="D2487">
        <v>2</v>
      </c>
      <c r="E2487" s="1">
        <v>45849</v>
      </c>
      <c r="F2487" t="s">
        <v>572</v>
      </c>
      <c r="G2487">
        <v>4</v>
      </c>
      <c r="H2487" t="s">
        <v>581</v>
      </c>
      <c r="I2487" t="s">
        <v>570</v>
      </c>
      <c r="J2487" t="str">
        <f t="shared" si="114"/>
        <v>July</v>
      </c>
      <c r="K2487" t="str">
        <f t="shared" si="115"/>
        <v>Q3</v>
      </c>
      <c r="L2487">
        <f t="shared" si="116"/>
        <v>2025</v>
      </c>
    </row>
    <row r="2488" spans="1:12" x14ac:dyDescent="0.3">
      <c r="A2488" t="s">
        <v>3944</v>
      </c>
      <c r="B2488" t="s">
        <v>3945</v>
      </c>
      <c r="C2488" t="s">
        <v>58</v>
      </c>
      <c r="D2488">
        <v>1</v>
      </c>
      <c r="E2488" s="1">
        <v>45816</v>
      </c>
      <c r="F2488" t="s">
        <v>612</v>
      </c>
      <c r="G2488">
        <v>2</v>
      </c>
      <c r="H2488" t="s">
        <v>569</v>
      </c>
      <c r="I2488" t="s">
        <v>570</v>
      </c>
      <c r="J2488" t="str">
        <f t="shared" si="114"/>
        <v>June</v>
      </c>
      <c r="K2488" t="str">
        <f t="shared" si="115"/>
        <v>Q2</v>
      </c>
      <c r="L2488">
        <f t="shared" si="116"/>
        <v>2025</v>
      </c>
    </row>
    <row r="2489" spans="1:12" x14ac:dyDescent="0.3">
      <c r="A2489" t="s">
        <v>3946</v>
      </c>
      <c r="B2489" t="s">
        <v>3945</v>
      </c>
      <c r="C2489" t="s">
        <v>58</v>
      </c>
      <c r="D2489">
        <v>2</v>
      </c>
      <c r="E2489" s="1">
        <v>45826</v>
      </c>
      <c r="F2489" t="s">
        <v>572</v>
      </c>
      <c r="G2489">
        <v>3</v>
      </c>
      <c r="H2489" t="s">
        <v>578</v>
      </c>
      <c r="I2489" t="s">
        <v>570</v>
      </c>
      <c r="J2489" t="str">
        <f t="shared" si="114"/>
        <v>June</v>
      </c>
      <c r="K2489" t="str">
        <f t="shared" si="115"/>
        <v>Q2</v>
      </c>
      <c r="L2489">
        <f t="shared" si="116"/>
        <v>2025</v>
      </c>
    </row>
    <row r="2490" spans="1:12" x14ac:dyDescent="0.3">
      <c r="A2490" t="s">
        <v>3947</v>
      </c>
      <c r="B2490" t="s">
        <v>3948</v>
      </c>
      <c r="C2490" t="s">
        <v>340</v>
      </c>
      <c r="D2490">
        <v>1</v>
      </c>
      <c r="E2490" s="1">
        <v>45681</v>
      </c>
      <c r="F2490" t="s">
        <v>577</v>
      </c>
      <c r="G2490">
        <v>2</v>
      </c>
      <c r="H2490" t="s">
        <v>569</v>
      </c>
      <c r="I2490" t="s">
        <v>570</v>
      </c>
      <c r="J2490" t="str">
        <f t="shared" si="114"/>
        <v>January</v>
      </c>
      <c r="K2490" t="str">
        <f t="shared" si="115"/>
        <v>Q1</v>
      </c>
      <c r="L2490">
        <f t="shared" si="116"/>
        <v>2025</v>
      </c>
    </row>
    <row r="2491" spans="1:12" x14ac:dyDescent="0.3">
      <c r="A2491" t="s">
        <v>3949</v>
      </c>
      <c r="B2491" t="s">
        <v>3948</v>
      </c>
      <c r="C2491" t="s">
        <v>340</v>
      </c>
      <c r="D2491">
        <v>2</v>
      </c>
      <c r="E2491" s="1">
        <v>45691</v>
      </c>
      <c r="F2491" t="s">
        <v>741</v>
      </c>
      <c r="G2491">
        <v>1</v>
      </c>
      <c r="H2491" t="s">
        <v>569</v>
      </c>
      <c r="I2491" t="s">
        <v>570</v>
      </c>
      <c r="J2491" t="str">
        <f t="shared" si="114"/>
        <v>February</v>
      </c>
      <c r="K2491" t="str">
        <f t="shared" si="115"/>
        <v>Q1</v>
      </c>
      <c r="L2491">
        <f t="shared" si="116"/>
        <v>2025</v>
      </c>
    </row>
    <row r="2492" spans="1:12" x14ac:dyDescent="0.3">
      <c r="A2492" t="s">
        <v>3950</v>
      </c>
      <c r="B2492" t="s">
        <v>3951</v>
      </c>
      <c r="C2492" t="s">
        <v>10</v>
      </c>
      <c r="D2492">
        <v>1</v>
      </c>
      <c r="E2492" s="1">
        <v>45925</v>
      </c>
      <c r="F2492" t="s">
        <v>596</v>
      </c>
      <c r="G2492">
        <v>2</v>
      </c>
      <c r="H2492" t="s">
        <v>569</v>
      </c>
      <c r="I2492" t="s">
        <v>570</v>
      </c>
      <c r="J2492" t="str">
        <f t="shared" si="114"/>
        <v>September</v>
      </c>
      <c r="K2492" t="str">
        <f t="shared" si="115"/>
        <v>Q3</v>
      </c>
      <c r="L2492">
        <f t="shared" si="116"/>
        <v>2025</v>
      </c>
    </row>
    <row r="2493" spans="1:12" x14ac:dyDescent="0.3">
      <c r="A2493" t="s">
        <v>3952</v>
      </c>
      <c r="B2493" t="s">
        <v>3951</v>
      </c>
      <c r="C2493" t="s">
        <v>10</v>
      </c>
      <c r="D2493">
        <v>2</v>
      </c>
      <c r="E2493" s="1">
        <v>45929</v>
      </c>
      <c r="F2493" t="s">
        <v>663</v>
      </c>
      <c r="G2493">
        <v>3</v>
      </c>
      <c r="H2493" t="s">
        <v>578</v>
      </c>
      <c r="I2493" t="s">
        <v>570</v>
      </c>
      <c r="J2493" t="str">
        <f t="shared" si="114"/>
        <v>September</v>
      </c>
      <c r="K2493" t="str">
        <f t="shared" si="115"/>
        <v>Q3</v>
      </c>
      <c r="L2493">
        <f t="shared" si="116"/>
        <v>2025</v>
      </c>
    </row>
    <row r="2494" spans="1:12" x14ac:dyDescent="0.3">
      <c r="A2494" t="s">
        <v>3953</v>
      </c>
      <c r="B2494" t="s">
        <v>3954</v>
      </c>
      <c r="C2494" t="s">
        <v>62</v>
      </c>
      <c r="D2494">
        <v>1</v>
      </c>
      <c r="E2494" s="1">
        <v>45695</v>
      </c>
      <c r="F2494" t="s">
        <v>612</v>
      </c>
      <c r="G2494">
        <v>2</v>
      </c>
      <c r="H2494" t="s">
        <v>569</v>
      </c>
      <c r="I2494" t="s">
        <v>570</v>
      </c>
      <c r="J2494" t="str">
        <f t="shared" si="114"/>
        <v>February</v>
      </c>
      <c r="K2494" t="str">
        <f t="shared" si="115"/>
        <v>Q1</v>
      </c>
      <c r="L2494">
        <f t="shared" si="116"/>
        <v>2025</v>
      </c>
    </row>
    <row r="2495" spans="1:12" x14ac:dyDescent="0.3">
      <c r="A2495" t="s">
        <v>3955</v>
      </c>
      <c r="B2495" t="s">
        <v>3954</v>
      </c>
      <c r="C2495" t="s">
        <v>62</v>
      </c>
      <c r="D2495">
        <v>2</v>
      </c>
      <c r="E2495" s="1">
        <v>45700</v>
      </c>
      <c r="F2495" t="s">
        <v>605</v>
      </c>
      <c r="G2495">
        <v>2</v>
      </c>
      <c r="H2495" t="s">
        <v>569</v>
      </c>
      <c r="I2495" t="s">
        <v>570</v>
      </c>
      <c r="J2495" t="str">
        <f t="shared" si="114"/>
        <v>February</v>
      </c>
      <c r="K2495" t="str">
        <f t="shared" si="115"/>
        <v>Q1</v>
      </c>
      <c r="L2495">
        <f t="shared" si="116"/>
        <v>2025</v>
      </c>
    </row>
    <row r="2496" spans="1:12" x14ac:dyDescent="0.3">
      <c r="A2496" t="s">
        <v>3956</v>
      </c>
      <c r="B2496" t="s">
        <v>3954</v>
      </c>
      <c r="C2496" t="s">
        <v>62</v>
      </c>
      <c r="D2496">
        <v>3</v>
      </c>
      <c r="E2496" s="1">
        <v>45706</v>
      </c>
      <c r="F2496" t="s">
        <v>603</v>
      </c>
      <c r="G2496">
        <v>2</v>
      </c>
      <c r="H2496" t="s">
        <v>569</v>
      </c>
      <c r="I2496" t="s">
        <v>570</v>
      </c>
      <c r="J2496" t="str">
        <f t="shared" si="114"/>
        <v>February</v>
      </c>
      <c r="K2496" t="str">
        <f t="shared" si="115"/>
        <v>Q1</v>
      </c>
      <c r="L2496">
        <f t="shared" si="116"/>
        <v>2025</v>
      </c>
    </row>
    <row r="2497" spans="1:12" x14ac:dyDescent="0.3">
      <c r="A2497" t="s">
        <v>3957</v>
      </c>
      <c r="B2497" t="s">
        <v>3954</v>
      </c>
      <c r="C2497" t="s">
        <v>62</v>
      </c>
      <c r="D2497">
        <v>4</v>
      </c>
      <c r="E2497" s="1">
        <v>45717</v>
      </c>
      <c r="F2497" t="s">
        <v>577</v>
      </c>
      <c r="G2497">
        <v>1</v>
      </c>
      <c r="H2497" t="s">
        <v>569</v>
      </c>
      <c r="I2497" t="s">
        <v>570</v>
      </c>
      <c r="J2497" t="str">
        <f t="shared" si="114"/>
        <v>March</v>
      </c>
      <c r="K2497" t="str">
        <f t="shared" si="115"/>
        <v>Q1</v>
      </c>
      <c r="L2497">
        <f t="shared" si="116"/>
        <v>2025</v>
      </c>
    </row>
    <row r="2498" spans="1:12" x14ac:dyDescent="0.3">
      <c r="A2498" t="s">
        <v>3958</v>
      </c>
      <c r="B2498" t="s">
        <v>3959</v>
      </c>
      <c r="C2498" t="s">
        <v>73</v>
      </c>
      <c r="D2498">
        <v>1</v>
      </c>
      <c r="E2498" s="1">
        <v>45795</v>
      </c>
      <c r="F2498" t="s">
        <v>577</v>
      </c>
      <c r="G2498">
        <v>1</v>
      </c>
      <c r="H2498" t="s">
        <v>569</v>
      </c>
      <c r="I2498" t="s">
        <v>570</v>
      </c>
      <c r="J2498" t="str">
        <f t="shared" ref="J2498:J2538" si="117">TEXT(E2498,"mmmm")</f>
        <v>May</v>
      </c>
      <c r="K2498" t="str">
        <f t="shared" ref="K2498:K2538" si="118">"Q"&amp;ROUNDUP(MONTH(E2498)/3,0)</f>
        <v>Q2</v>
      </c>
      <c r="L2498">
        <f t="shared" ref="L2498:L2538" si="119">YEAR(E2498)</f>
        <v>2025</v>
      </c>
    </row>
    <row r="2499" spans="1:12" x14ac:dyDescent="0.3">
      <c r="A2499" t="s">
        <v>3960</v>
      </c>
      <c r="B2499" t="s">
        <v>3959</v>
      </c>
      <c r="C2499" t="s">
        <v>73</v>
      </c>
      <c r="D2499">
        <v>2</v>
      </c>
      <c r="E2499" s="1">
        <v>45807</v>
      </c>
      <c r="F2499" t="s">
        <v>577</v>
      </c>
      <c r="G2499">
        <v>4</v>
      </c>
      <c r="H2499" t="s">
        <v>581</v>
      </c>
      <c r="I2499" t="s">
        <v>570</v>
      </c>
      <c r="J2499" t="str">
        <f t="shared" si="117"/>
        <v>May</v>
      </c>
      <c r="K2499" t="str">
        <f t="shared" si="118"/>
        <v>Q2</v>
      </c>
      <c r="L2499">
        <f t="shared" si="119"/>
        <v>2025</v>
      </c>
    </row>
    <row r="2500" spans="1:12" x14ac:dyDescent="0.3">
      <c r="A2500" t="s">
        <v>3961</v>
      </c>
      <c r="B2500" t="s">
        <v>3959</v>
      </c>
      <c r="C2500" t="s">
        <v>73</v>
      </c>
      <c r="D2500">
        <v>3</v>
      </c>
      <c r="E2500" s="1">
        <v>45817</v>
      </c>
      <c r="F2500" t="s">
        <v>988</v>
      </c>
      <c r="G2500">
        <v>2</v>
      </c>
      <c r="H2500" t="s">
        <v>569</v>
      </c>
      <c r="I2500" t="s">
        <v>570</v>
      </c>
      <c r="J2500" t="str">
        <f t="shared" si="117"/>
        <v>June</v>
      </c>
      <c r="K2500" t="str">
        <f t="shared" si="118"/>
        <v>Q2</v>
      </c>
      <c r="L2500">
        <f t="shared" si="119"/>
        <v>2025</v>
      </c>
    </row>
    <row r="2501" spans="1:12" x14ac:dyDescent="0.3">
      <c r="A2501" t="s">
        <v>3962</v>
      </c>
      <c r="B2501" t="s">
        <v>3959</v>
      </c>
      <c r="C2501" t="s">
        <v>73</v>
      </c>
      <c r="D2501">
        <v>4</v>
      </c>
      <c r="E2501" s="1">
        <v>45828</v>
      </c>
      <c r="F2501" t="s">
        <v>600</v>
      </c>
      <c r="G2501">
        <v>3</v>
      </c>
      <c r="H2501" t="s">
        <v>578</v>
      </c>
      <c r="I2501" t="s">
        <v>570</v>
      </c>
      <c r="J2501" t="str">
        <f t="shared" si="117"/>
        <v>June</v>
      </c>
      <c r="K2501" t="str">
        <f t="shared" si="118"/>
        <v>Q2</v>
      </c>
      <c r="L2501">
        <f t="shared" si="119"/>
        <v>2025</v>
      </c>
    </row>
    <row r="2502" spans="1:12" x14ac:dyDescent="0.3">
      <c r="A2502" t="s">
        <v>3963</v>
      </c>
      <c r="B2502" t="s">
        <v>3964</v>
      </c>
      <c r="C2502" t="s">
        <v>292</v>
      </c>
      <c r="D2502">
        <v>1</v>
      </c>
      <c r="E2502" s="1">
        <v>45715</v>
      </c>
      <c r="F2502" t="s">
        <v>568</v>
      </c>
      <c r="G2502">
        <v>1</v>
      </c>
      <c r="H2502" t="s">
        <v>569</v>
      </c>
      <c r="I2502" t="s">
        <v>570</v>
      </c>
      <c r="J2502" t="str">
        <f t="shared" si="117"/>
        <v>February</v>
      </c>
      <c r="K2502" t="str">
        <f t="shared" si="118"/>
        <v>Q1</v>
      </c>
      <c r="L2502">
        <f t="shared" si="119"/>
        <v>2025</v>
      </c>
    </row>
    <row r="2503" spans="1:12" x14ac:dyDescent="0.3">
      <c r="A2503" t="s">
        <v>3965</v>
      </c>
      <c r="B2503" t="s">
        <v>3966</v>
      </c>
      <c r="C2503" t="s">
        <v>88</v>
      </c>
      <c r="D2503">
        <v>1</v>
      </c>
      <c r="E2503" s="1">
        <v>45751</v>
      </c>
      <c r="F2503" t="s">
        <v>577</v>
      </c>
      <c r="G2503">
        <v>3</v>
      </c>
      <c r="H2503" t="s">
        <v>578</v>
      </c>
      <c r="I2503" t="s">
        <v>570</v>
      </c>
      <c r="J2503" t="str">
        <f t="shared" si="117"/>
        <v>April</v>
      </c>
      <c r="K2503" t="str">
        <f t="shared" si="118"/>
        <v>Q2</v>
      </c>
      <c r="L2503">
        <f t="shared" si="119"/>
        <v>2025</v>
      </c>
    </row>
    <row r="2504" spans="1:12" x14ac:dyDescent="0.3">
      <c r="A2504" t="s">
        <v>3967</v>
      </c>
      <c r="B2504" t="s">
        <v>3966</v>
      </c>
      <c r="C2504" t="s">
        <v>88</v>
      </c>
      <c r="D2504">
        <v>2</v>
      </c>
      <c r="E2504" s="1">
        <v>45762</v>
      </c>
      <c r="F2504" t="s">
        <v>577</v>
      </c>
      <c r="G2504">
        <v>3</v>
      </c>
      <c r="H2504" t="s">
        <v>578</v>
      </c>
      <c r="I2504" t="s">
        <v>570</v>
      </c>
      <c r="J2504" t="str">
        <f t="shared" si="117"/>
        <v>April</v>
      </c>
      <c r="K2504" t="str">
        <f t="shared" si="118"/>
        <v>Q2</v>
      </c>
      <c r="L2504">
        <f t="shared" si="119"/>
        <v>2025</v>
      </c>
    </row>
    <row r="2505" spans="1:12" x14ac:dyDescent="0.3">
      <c r="A2505" t="s">
        <v>3968</v>
      </c>
      <c r="B2505" t="s">
        <v>3969</v>
      </c>
      <c r="C2505" t="s">
        <v>45</v>
      </c>
      <c r="D2505">
        <v>1</v>
      </c>
      <c r="E2505" s="1">
        <v>45863</v>
      </c>
      <c r="F2505" t="s">
        <v>638</v>
      </c>
      <c r="G2505">
        <v>1</v>
      </c>
      <c r="H2505" t="s">
        <v>569</v>
      </c>
      <c r="I2505" t="s">
        <v>570</v>
      </c>
      <c r="J2505" t="str">
        <f t="shared" si="117"/>
        <v>July</v>
      </c>
      <c r="K2505" t="str">
        <f t="shared" si="118"/>
        <v>Q3</v>
      </c>
      <c r="L2505">
        <f t="shared" si="119"/>
        <v>2025</v>
      </c>
    </row>
    <row r="2506" spans="1:12" x14ac:dyDescent="0.3">
      <c r="A2506" t="s">
        <v>3970</v>
      </c>
      <c r="B2506" t="s">
        <v>3969</v>
      </c>
      <c r="C2506" t="s">
        <v>45</v>
      </c>
      <c r="D2506">
        <v>2</v>
      </c>
      <c r="E2506" s="1">
        <v>45869</v>
      </c>
      <c r="F2506" t="s">
        <v>592</v>
      </c>
      <c r="G2506">
        <v>2</v>
      </c>
      <c r="H2506" t="s">
        <v>569</v>
      </c>
      <c r="I2506" t="s">
        <v>570</v>
      </c>
      <c r="J2506" t="str">
        <f t="shared" si="117"/>
        <v>July</v>
      </c>
      <c r="K2506" t="str">
        <f t="shared" si="118"/>
        <v>Q3</v>
      </c>
      <c r="L2506">
        <f t="shared" si="119"/>
        <v>2025</v>
      </c>
    </row>
    <row r="2507" spans="1:12" x14ac:dyDescent="0.3">
      <c r="A2507" t="s">
        <v>3971</v>
      </c>
      <c r="B2507" t="s">
        <v>3972</v>
      </c>
      <c r="C2507" t="s">
        <v>73</v>
      </c>
      <c r="D2507">
        <v>1</v>
      </c>
      <c r="E2507" s="1">
        <v>45804</v>
      </c>
      <c r="F2507" t="s">
        <v>621</v>
      </c>
      <c r="G2507">
        <v>2</v>
      </c>
      <c r="H2507" t="s">
        <v>569</v>
      </c>
      <c r="I2507" t="s">
        <v>570</v>
      </c>
      <c r="J2507" t="str">
        <f t="shared" si="117"/>
        <v>May</v>
      </c>
      <c r="K2507" t="str">
        <f t="shared" si="118"/>
        <v>Q2</v>
      </c>
      <c r="L2507">
        <f t="shared" si="119"/>
        <v>2025</v>
      </c>
    </row>
    <row r="2508" spans="1:12" x14ac:dyDescent="0.3">
      <c r="A2508" t="s">
        <v>3973</v>
      </c>
      <c r="B2508" t="s">
        <v>3972</v>
      </c>
      <c r="C2508" t="s">
        <v>73</v>
      </c>
      <c r="D2508">
        <v>2</v>
      </c>
      <c r="E2508" s="1">
        <v>45813</v>
      </c>
      <c r="G2508">
        <v>3</v>
      </c>
      <c r="H2508" t="s">
        <v>578</v>
      </c>
      <c r="I2508" t="s">
        <v>570</v>
      </c>
      <c r="J2508" t="str">
        <f t="shared" si="117"/>
        <v>June</v>
      </c>
      <c r="K2508" t="str">
        <f t="shared" si="118"/>
        <v>Q2</v>
      </c>
      <c r="L2508">
        <f t="shared" si="119"/>
        <v>2025</v>
      </c>
    </row>
    <row r="2509" spans="1:12" x14ac:dyDescent="0.3">
      <c r="A2509" t="s">
        <v>3974</v>
      </c>
      <c r="B2509" t="s">
        <v>3972</v>
      </c>
      <c r="C2509" t="s">
        <v>73</v>
      </c>
      <c r="D2509">
        <v>3</v>
      </c>
      <c r="E2509" s="1">
        <v>45817</v>
      </c>
      <c r="F2509" t="s">
        <v>743</v>
      </c>
      <c r="G2509">
        <v>4</v>
      </c>
      <c r="H2509" t="s">
        <v>581</v>
      </c>
      <c r="I2509" t="s">
        <v>570</v>
      </c>
      <c r="J2509" t="str">
        <f t="shared" si="117"/>
        <v>June</v>
      </c>
      <c r="K2509" t="str">
        <f t="shared" si="118"/>
        <v>Q2</v>
      </c>
      <c r="L2509">
        <f t="shared" si="119"/>
        <v>2025</v>
      </c>
    </row>
    <row r="2510" spans="1:12" x14ac:dyDescent="0.3">
      <c r="A2510" t="s">
        <v>3975</v>
      </c>
      <c r="B2510" t="s">
        <v>3976</v>
      </c>
      <c r="C2510" t="s">
        <v>429</v>
      </c>
      <c r="D2510">
        <v>1</v>
      </c>
      <c r="E2510" s="1">
        <v>45764</v>
      </c>
      <c r="G2510">
        <v>2</v>
      </c>
      <c r="H2510" t="s">
        <v>569</v>
      </c>
      <c r="I2510" t="s">
        <v>570</v>
      </c>
      <c r="J2510" t="str">
        <f t="shared" si="117"/>
        <v>April</v>
      </c>
      <c r="K2510" t="str">
        <f t="shared" si="118"/>
        <v>Q2</v>
      </c>
      <c r="L2510">
        <f t="shared" si="119"/>
        <v>2025</v>
      </c>
    </row>
    <row r="2511" spans="1:12" x14ac:dyDescent="0.3">
      <c r="A2511" t="s">
        <v>3977</v>
      </c>
      <c r="B2511" t="s">
        <v>3976</v>
      </c>
      <c r="C2511" t="s">
        <v>429</v>
      </c>
      <c r="D2511">
        <v>2</v>
      </c>
      <c r="E2511" s="1">
        <v>45771</v>
      </c>
      <c r="F2511" t="s">
        <v>766</v>
      </c>
      <c r="G2511">
        <v>4</v>
      </c>
      <c r="H2511" t="s">
        <v>581</v>
      </c>
      <c r="I2511" t="s">
        <v>608</v>
      </c>
      <c r="J2511" t="str">
        <f t="shared" si="117"/>
        <v>April</v>
      </c>
      <c r="K2511" t="str">
        <f t="shared" si="118"/>
        <v>Q2</v>
      </c>
      <c r="L2511">
        <f t="shared" si="119"/>
        <v>2025</v>
      </c>
    </row>
    <row r="2512" spans="1:12" x14ac:dyDescent="0.3">
      <c r="A2512" t="s">
        <v>3978</v>
      </c>
      <c r="B2512" t="s">
        <v>3976</v>
      </c>
      <c r="C2512" t="s">
        <v>429</v>
      </c>
      <c r="D2512">
        <v>3</v>
      </c>
      <c r="E2512" s="1">
        <v>45778</v>
      </c>
      <c r="F2512" t="s">
        <v>638</v>
      </c>
      <c r="G2512">
        <v>2</v>
      </c>
      <c r="H2512" t="s">
        <v>569</v>
      </c>
      <c r="I2512" t="s">
        <v>570</v>
      </c>
      <c r="J2512" t="str">
        <f t="shared" si="117"/>
        <v>May</v>
      </c>
      <c r="K2512" t="str">
        <f t="shared" si="118"/>
        <v>Q2</v>
      </c>
      <c r="L2512">
        <f t="shared" si="119"/>
        <v>2025</v>
      </c>
    </row>
    <row r="2513" spans="1:12" x14ac:dyDescent="0.3">
      <c r="A2513" t="s">
        <v>3979</v>
      </c>
      <c r="B2513" t="s">
        <v>3976</v>
      </c>
      <c r="C2513" t="s">
        <v>429</v>
      </c>
      <c r="D2513">
        <v>4</v>
      </c>
      <c r="E2513" s="1">
        <v>45783</v>
      </c>
      <c r="F2513" t="s">
        <v>590</v>
      </c>
      <c r="G2513">
        <v>2</v>
      </c>
      <c r="H2513" t="s">
        <v>569</v>
      </c>
      <c r="I2513" t="s">
        <v>570</v>
      </c>
      <c r="J2513" t="str">
        <f t="shared" si="117"/>
        <v>May</v>
      </c>
      <c r="K2513" t="str">
        <f t="shared" si="118"/>
        <v>Q2</v>
      </c>
      <c r="L2513">
        <f t="shared" si="119"/>
        <v>2025</v>
      </c>
    </row>
    <row r="2514" spans="1:12" x14ac:dyDescent="0.3">
      <c r="A2514" t="s">
        <v>3980</v>
      </c>
      <c r="B2514" t="s">
        <v>3981</v>
      </c>
      <c r="C2514" t="s">
        <v>85</v>
      </c>
      <c r="D2514">
        <v>1</v>
      </c>
      <c r="E2514" s="1">
        <v>45843</v>
      </c>
      <c r="F2514" t="s">
        <v>580</v>
      </c>
      <c r="G2514">
        <v>1</v>
      </c>
      <c r="H2514" t="s">
        <v>569</v>
      </c>
      <c r="I2514" t="s">
        <v>570</v>
      </c>
      <c r="J2514" t="str">
        <f t="shared" si="117"/>
        <v>July</v>
      </c>
      <c r="K2514" t="str">
        <f t="shared" si="118"/>
        <v>Q3</v>
      </c>
      <c r="L2514">
        <f t="shared" si="119"/>
        <v>2025</v>
      </c>
    </row>
    <row r="2515" spans="1:12" x14ac:dyDescent="0.3">
      <c r="A2515" t="s">
        <v>3982</v>
      </c>
      <c r="B2515" t="s">
        <v>3983</v>
      </c>
      <c r="C2515" t="s">
        <v>22</v>
      </c>
      <c r="D2515">
        <v>1</v>
      </c>
      <c r="E2515" s="1">
        <v>45853</v>
      </c>
      <c r="F2515" t="s">
        <v>612</v>
      </c>
      <c r="G2515">
        <v>3</v>
      </c>
      <c r="H2515" t="s">
        <v>578</v>
      </c>
      <c r="I2515" t="s">
        <v>570</v>
      </c>
      <c r="J2515" t="str">
        <f t="shared" si="117"/>
        <v>July</v>
      </c>
      <c r="K2515" t="str">
        <f t="shared" si="118"/>
        <v>Q3</v>
      </c>
      <c r="L2515">
        <f t="shared" si="119"/>
        <v>2025</v>
      </c>
    </row>
    <row r="2516" spans="1:12" x14ac:dyDescent="0.3">
      <c r="A2516" t="s">
        <v>3984</v>
      </c>
      <c r="B2516" t="s">
        <v>289</v>
      </c>
      <c r="C2516" t="s">
        <v>16</v>
      </c>
      <c r="D2516">
        <v>1</v>
      </c>
      <c r="E2516" s="1">
        <v>45760</v>
      </c>
      <c r="F2516" t="s">
        <v>600</v>
      </c>
      <c r="G2516">
        <v>4</v>
      </c>
      <c r="H2516" t="s">
        <v>581</v>
      </c>
      <c r="I2516" t="s">
        <v>570</v>
      </c>
      <c r="J2516" t="str">
        <f t="shared" si="117"/>
        <v>April</v>
      </c>
      <c r="K2516" t="str">
        <f t="shared" si="118"/>
        <v>Q2</v>
      </c>
      <c r="L2516">
        <f t="shared" si="119"/>
        <v>2025</v>
      </c>
    </row>
    <row r="2517" spans="1:12" x14ac:dyDescent="0.3">
      <c r="A2517" t="s">
        <v>3985</v>
      </c>
      <c r="B2517" t="s">
        <v>3986</v>
      </c>
      <c r="C2517" t="s">
        <v>240</v>
      </c>
      <c r="D2517">
        <v>1</v>
      </c>
      <c r="E2517" s="1">
        <v>45964</v>
      </c>
      <c r="F2517" t="s">
        <v>572</v>
      </c>
      <c r="G2517">
        <v>1</v>
      </c>
      <c r="H2517" t="s">
        <v>569</v>
      </c>
      <c r="I2517" t="s">
        <v>570</v>
      </c>
      <c r="J2517" t="str">
        <f t="shared" si="117"/>
        <v>November</v>
      </c>
      <c r="K2517" t="str">
        <f t="shared" si="118"/>
        <v>Q4</v>
      </c>
      <c r="L2517">
        <f t="shared" si="119"/>
        <v>2025</v>
      </c>
    </row>
    <row r="2518" spans="1:12" x14ac:dyDescent="0.3">
      <c r="A2518" t="s">
        <v>3987</v>
      </c>
      <c r="B2518" t="s">
        <v>3986</v>
      </c>
      <c r="C2518" t="s">
        <v>240</v>
      </c>
      <c r="D2518">
        <v>2</v>
      </c>
      <c r="E2518" s="1">
        <v>45974</v>
      </c>
      <c r="F2518" t="s">
        <v>663</v>
      </c>
      <c r="G2518">
        <v>2</v>
      </c>
      <c r="H2518" t="s">
        <v>569</v>
      </c>
      <c r="I2518" t="s">
        <v>570</v>
      </c>
      <c r="J2518" t="str">
        <f t="shared" si="117"/>
        <v>November</v>
      </c>
      <c r="K2518" t="str">
        <f t="shared" si="118"/>
        <v>Q4</v>
      </c>
      <c r="L2518">
        <f t="shared" si="119"/>
        <v>2025</v>
      </c>
    </row>
    <row r="2519" spans="1:12" x14ac:dyDescent="0.3">
      <c r="A2519" t="s">
        <v>3988</v>
      </c>
      <c r="B2519" t="s">
        <v>3989</v>
      </c>
      <c r="C2519" t="s">
        <v>156</v>
      </c>
      <c r="D2519">
        <v>1</v>
      </c>
      <c r="E2519" s="1">
        <v>45734</v>
      </c>
      <c r="F2519" t="s">
        <v>638</v>
      </c>
      <c r="G2519">
        <v>2</v>
      </c>
      <c r="H2519" t="s">
        <v>569</v>
      </c>
      <c r="I2519" t="s">
        <v>570</v>
      </c>
      <c r="J2519" t="str">
        <f t="shared" si="117"/>
        <v>March</v>
      </c>
      <c r="K2519" t="str">
        <f t="shared" si="118"/>
        <v>Q1</v>
      </c>
      <c r="L2519">
        <f t="shared" si="119"/>
        <v>2025</v>
      </c>
    </row>
    <row r="2520" spans="1:12" x14ac:dyDescent="0.3">
      <c r="A2520" t="s">
        <v>3990</v>
      </c>
      <c r="B2520" t="s">
        <v>3989</v>
      </c>
      <c r="C2520" t="s">
        <v>156</v>
      </c>
      <c r="D2520">
        <v>2</v>
      </c>
      <c r="E2520" s="1">
        <v>45746</v>
      </c>
      <c r="F2520" t="s">
        <v>590</v>
      </c>
      <c r="G2520">
        <v>3</v>
      </c>
      <c r="H2520" t="s">
        <v>578</v>
      </c>
      <c r="I2520" t="s">
        <v>570</v>
      </c>
      <c r="J2520" t="str">
        <f t="shared" si="117"/>
        <v>March</v>
      </c>
      <c r="K2520" t="str">
        <f t="shared" si="118"/>
        <v>Q1</v>
      </c>
      <c r="L2520">
        <f t="shared" si="119"/>
        <v>2025</v>
      </c>
    </row>
    <row r="2521" spans="1:12" x14ac:dyDescent="0.3">
      <c r="A2521" t="s">
        <v>3991</v>
      </c>
      <c r="B2521" t="s">
        <v>3992</v>
      </c>
      <c r="C2521" t="s">
        <v>16</v>
      </c>
      <c r="D2521">
        <v>1</v>
      </c>
      <c r="E2521" s="1">
        <v>45768</v>
      </c>
      <c r="F2521" t="s">
        <v>706</v>
      </c>
      <c r="G2521">
        <v>2</v>
      </c>
      <c r="H2521" t="s">
        <v>569</v>
      </c>
      <c r="I2521" t="s">
        <v>570</v>
      </c>
      <c r="J2521" t="str">
        <f t="shared" si="117"/>
        <v>April</v>
      </c>
      <c r="K2521" t="str">
        <f t="shared" si="118"/>
        <v>Q2</v>
      </c>
      <c r="L2521">
        <f t="shared" si="119"/>
        <v>2025</v>
      </c>
    </row>
    <row r="2522" spans="1:12" x14ac:dyDescent="0.3">
      <c r="A2522" t="s">
        <v>3993</v>
      </c>
      <c r="B2522" t="s">
        <v>3992</v>
      </c>
      <c r="C2522" t="s">
        <v>16</v>
      </c>
      <c r="D2522">
        <v>2</v>
      </c>
      <c r="E2522" s="1">
        <v>45774</v>
      </c>
      <c r="F2522" t="s">
        <v>706</v>
      </c>
      <c r="G2522">
        <v>2</v>
      </c>
      <c r="H2522" t="s">
        <v>569</v>
      </c>
      <c r="I2522" t="s">
        <v>570</v>
      </c>
      <c r="J2522" t="str">
        <f t="shared" si="117"/>
        <v>April</v>
      </c>
      <c r="K2522" t="str">
        <f t="shared" si="118"/>
        <v>Q2</v>
      </c>
      <c r="L2522">
        <f t="shared" si="119"/>
        <v>2025</v>
      </c>
    </row>
    <row r="2523" spans="1:12" x14ac:dyDescent="0.3">
      <c r="A2523" t="s">
        <v>3994</v>
      </c>
      <c r="B2523" t="s">
        <v>3992</v>
      </c>
      <c r="C2523" t="s">
        <v>16</v>
      </c>
      <c r="D2523">
        <v>3</v>
      </c>
      <c r="E2523" s="1">
        <v>45783</v>
      </c>
      <c r="F2523" t="s">
        <v>596</v>
      </c>
      <c r="G2523">
        <v>2</v>
      </c>
      <c r="H2523" t="s">
        <v>569</v>
      </c>
      <c r="I2523" t="s">
        <v>570</v>
      </c>
      <c r="J2523" t="str">
        <f t="shared" si="117"/>
        <v>May</v>
      </c>
      <c r="K2523" t="str">
        <f t="shared" si="118"/>
        <v>Q2</v>
      </c>
      <c r="L2523">
        <f t="shared" si="119"/>
        <v>2025</v>
      </c>
    </row>
    <row r="2524" spans="1:12" x14ac:dyDescent="0.3">
      <c r="A2524" t="s">
        <v>3995</v>
      </c>
      <c r="B2524" t="s">
        <v>3996</v>
      </c>
      <c r="C2524" t="s">
        <v>96</v>
      </c>
      <c r="D2524">
        <v>1</v>
      </c>
      <c r="E2524" s="1">
        <v>45875</v>
      </c>
      <c r="F2524" t="s">
        <v>612</v>
      </c>
      <c r="G2524">
        <v>2</v>
      </c>
      <c r="H2524" t="s">
        <v>569</v>
      </c>
      <c r="I2524" t="s">
        <v>570</v>
      </c>
      <c r="J2524" t="str">
        <f t="shared" si="117"/>
        <v>August</v>
      </c>
      <c r="K2524" t="str">
        <f t="shared" si="118"/>
        <v>Q3</v>
      </c>
      <c r="L2524">
        <f t="shared" si="119"/>
        <v>2025</v>
      </c>
    </row>
    <row r="2525" spans="1:12" x14ac:dyDescent="0.3">
      <c r="A2525" t="s">
        <v>3997</v>
      </c>
      <c r="B2525" t="s">
        <v>3996</v>
      </c>
      <c r="C2525" t="s">
        <v>96</v>
      </c>
      <c r="D2525">
        <v>2</v>
      </c>
      <c r="E2525" s="1">
        <v>45880</v>
      </c>
      <c r="F2525" t="s">
        <v>603</v>
      </c>
      <c r="G2525">
        <v>1</v>
      </c>
      <c r="H2525" t="s">
        <v>569</v>
      </c>
      <c r="I2525" t="s">
        <v>570</v>
      </c>
      <c r="J2525" t="str">
        <f t="shared" si="117"/>
        <v>August</v>
      </c>
      <c r="K2525" t="str">
        <f t="shared" si="118"/>
        <v>Q3</v>
      </c>
      <c r="L2525">
        <f t="shared" si="119"/>
        <v>2025</v>
      </c>
    </row>
    <row r="2526" spans="1:12" x14ac:dyDescent="0.3">
      <c r="A2526" t="s">
        <v>3998</v>
      </c>
      <c r="B2526" t="s">
        <v>3996</v>
      </c>
      <c r="C2526" t="s">
        <v>96</v>
      </c>
      <c r="D2526">
        <v>3</v>
      </c>
      <c r="E2526" s="1">
        <v>45886</v>
      </c>
      <c r="F2526" t="s">
        <v>603</v>
      </c>
      <c r="G2526">
        <v>1</v>
      </c>
      <c r="H2526" t="s">
        <v>569</v>
      </c>
      <c r="I2526" t="s">
        <v>570</v>
      </c>
      <c r="J2526" t="str">
        <f t="shared" si="117"/>
        <v>August</v>
      </c>
      <c r="K2526" t="str">
        <f t="shared" si="118"/>
        <v>Q3</v>
      </c>
      <c r="L2526">
        <f t="shared" si="119"/>
        <v>2025</v>
      </c>
    </row>
    <row r="2527" spans="1:12" x14ac:dyDescent="0.3">
      <c r="A2527" t="s">
        <v>3999</v>
      </c>
      <c r="B2527" t="s">
        <v>4000</v>
      </c>
      <c r="C2527" t="s">
        <v>51</v>
      </c>
      <c r="D2527">
        <v>1</v>
      </c>
      <c r="E2527" s="1">
        <v>45956</v>
      </c>
      <c r="G2527">
        <v>2</v>
      </c>
      <c r="H2527" t="s">
        <v>569</v>
      </c>
      <c r="I2527" t="s">
        <v>570</v>
      </c>
      <c r="J2527" t="str">
        <f t="shared" si="117"/>
        <v>October</v>
      </c>
      <c r="K2527" t="str">
        <f t="shared" si="118"/>
        <v>Q4</v>
      </c>
      <c r="L2527">
        <f t="shared" si="119"/>
        <v>2025</v>
      </c>
    </row>
    <row r="2528" spans="1:12" x14ac:dyDescent="0.3">
      <c r="A2528" t="s">
        <v>4001</v>
      </c>
      <c r="B2528" t="s">
        <v>4000</v>
      </c>
      <c r="C2528" t="s">
        <v>51</v>
      </c>
      <c r="D2528">
        <v>2</v>
      </c>
      <c r="E2528" s="1">
        <v>45960</v>
      </c>
      <c r="F2528" t="s">
        <v>586</v>
      </c>
      <c r="G2528">
        <v>3</v>
      </c>
      <c r="H2528" t="s">
        <v>578</v>
      </c>
      <c r="I2528" t="s">
        <v>570</v>
      </c>
      <c r="J2528" t="str">
        <f t="shared" si="117"/>
        <v>October</v>
      </c>
      <c r="K2528" t="str">
        <f t="shared" si="118"/>
        <v>Q4</v>
      </c>
      <c r="L2528">
        <f t="shared" si="119"/>
        <v>2025</v>
      </c>
    </row>
    <row r="2529" spans="1:12" x14ac:dyDescent="0.3">
      <c r="A2529" t="s">
        <v>4002</v>
      </c>
      <c r="B2529" t="s">
        <v>4000</v>
      </c>
      <c r="C2529" t="s">
        <v>51</v>
      </c>
      <c r="D2529">
        <v>3</v>
      </c>
      <c r="E2529" s="1">
        <v>45972</v>
      </c>
      <c r="F2529" t="s">
        <v>580</v>
      </c>
      <c r="G2529">
        <v>3</v>
      </c>
      <c r="H2529" t="s">
        <v>578</v>
      </c>
      <c r="I2529" t="s">
        <v>570</v>
      </c>
      <c r="J2529" t="str">
        <f t="shared" si="117"/>
        <v>November</v>
      </c>
      <c r="K2529" t="str">
        <f t="shared" si="118"/>
        <v>Q4</v>
      </c>
      <c r="L2529">
        <f t="shared" si="119"/>
        <v>2025</v>
      </c>
    </row>
    <row r="2530" spans="1:12" x14ac:dyDescent="0.3">
      <c r="A2530" t="s">
        <v>4003</v>
      </c>
      <c r="B2530" t="s">
        <v>271</v>
      </c>
      <c r="C2530" t="s">
        <v>147</v>
      </c>
      <c r="D2530">
        <v>1</v>
      </c>
      <c r="E2530" s="1">
        <v>45824</v>
      </c>
      <c r="F2530" t="s">
        <v>568</v>
      </c>
      <c r="G2530">
        <v>3</v>
      </c>
      <c r="H2530" t="s">
        <v>578</v>
      </c>
      <c r="I2530" t="s">
        <v>570</v>
      </c>
      <c r="J2530" t="str">
        <f t="shared" si="117"/>
        <v>June</v>
      </c>
      <c r="K2530" t="str">
        <f t="shared" si="118"/>
        <v>Q2</v>
      </c>
      <c r="L2530">
        <f t="shared" si="119"/>
        <v>2025</v>
      </c>
    </row>
    <row r="2531" spans="1:12" x14ac:dyDescent="0.3">
      <c r="A2531" t="s">
        <v>4004</v>
      </c>
      <c r="B2531" t="s">
        <v>271</v>
      </c>
      <c r="C2531" t="s">
        <v>147</v>
      </c>
      <c r="D2531">
        <v>2</v>
      </c>
      <c r="E2531" s="1">
        <v>45828</v>
      </c>
      <c r="F2531" t="s">
        <v>586</v>
      </c>
      <c r="G2531">
        <v>4</v>
      </c>
      <c r="H2531" t="s">
        <v>581</v>
      </c>
      <c r="I2531" t="s">
        <v>570</v>
      </c>
      <c r="J2531" t="str">
        <f t="shared" si="117"/>
        <v>June</v>
      </c>
      <c r="K2531" t="str">
        <f t="shared" si="118"/>
        <v>Q2</v>
      </c>
      <c r="L2531">
        <f t="shared" si="119"/>
        <v>2025</v>
      </c>
    </row>
    <row r="2532" spans="1:12" x14ac:dyDescent="0.3">
      <c r="A2532" t="s">
        <v>4005</v>
      </c>
      <c r="B2532" t="s">
        <v>475</v>
      </c>
      <c r="C2532" t="s">
        <v>156</v>
      </c>
      <c r="D2532">
        <v>1</v>
      </c>
      <c r="E2532" s="1">
        <v>45739</v>
      </c>
      <c r="G2532">
        <v>5</v>
      </c>
      <c r="H2532" t="s">
        <v>581</v>
      </c>
      <c r="I2532" t="s">
        <v>570</v>
      </c>
      <c r="J2532" t="str">
        <f t="shared" si="117"/>
        <v>March</v>
      </c>
      <c r="K2532" t="str">
        <f t="shared" si="118"/>
        <v>Q1</v>
      </c>
      <c r="L2532">
        <f t="shared" si="119"/>
        <v>2025</v>
      </c>
    </row>
    <row r="2533" spans="1:12" x14ac:dyDescent="0.3">
      <c r="A2533" t="s">
        <v>4006</v>
      </c>
      <c r="B2533" t="s">
        <v>4007</v>
      </c>
      <c r="C2533" t="s">
        <v>156</v>
      </c>
      <c r="D2533">
        <v>1</v>
      </c>
      <c r="E2533" s="1">
        <v>45730</v>
      </c>
      <c r="F2533" t="s">
        <v>638</v>
      </c>
      <c r="G2533">
        <v>1</v>
      </c>
      <c r="H2533" t="s">
        <v>569</v>
      </c>
      <c r="I2533" t="s">
        <v>570</v>
      </c>
      <c r="J2533" t="str">
        <f t="shared" si="117"/>
        <v>March</v>
      </c>
      <c r="K2533" t="str">
        <f t="shared" si="118"/>
        <v>Q1</v>
      </c>
      <c r="L2533">
        <f t="shared" si="119"/>
        <v>2025</v>
      </c>
    </row>
    <row r="2534" spans="1:12" x14ac:dyDescent="0.3">
      <c r="A2534" t="s">
        <v>4008</v>
      </c>
      <c r="B2534" t="s">
        <v>4007</v>
      </c>
      <c r="C2534" t="s">
        <v>156</v>
      </c>
      <c r="D2534">
        <v>2</v>
      </c>
      <c r="E2534" s="1">
        <v>45741</v>
      </c>
      <c r="F2534" t="s">
        <v>592</v>
      </c>
      <c r="G2534">
        <v>1</v>
      </c>
      <c r="H2534" t="s">
        <v>569</v>
      </c>
      <c r="I2534" t="s">
        <v>570</v>
      </c>
      <c r="J2534" t="str">
        <f t="shared" si="117"/>
        <v>March</v>
      </c>
      <c r="K2534" t="str">
        <f t="shared" si="118"/>
        <v>Q1</v>
      </c>
      <c r="L2534">
        <f t="shared" si="119"/>
        <v>2025</v>
      </c>
    </row>
    <row r="2535" spans="1:12" x14ac:dyDescent="0.3">
      <c r="A2535" t="s">
        <v>4009</v>
      </c>
      <c r="B2535" t="s">
        <v>4007</v>
      </c>
      <c r="C2535" t="s">
        <v>156</v>
      </c>
      <c r="D2535">
        <v>3</v>
      </c>
      <c r="E2535" s="1">
        <v>45747</v>
      </c>
      <c r="F2535" t="s">
        <v>580</v>
      </c>
      <c r="G2535">
        <v>1</v>
      </c>
      <c r="H2535" t="s">
        <v>569</v>
      </c>
      <c r="I2535" t="s">
        <v>570</v>
      </c>
      <c r="J2535" t="str">
        <f t="shared" si="117"/>
        <v>March</v>
      </c>
      <c r="K2535" t="str">
        <f t="shared" si="118"/>
        <v>Q1</v>
      </c>
      <c r="L2535">
        <f t="shared" si="119"/>
        <v>2025</v>
      </c>
    </row>
    <row r="2536" spans="1:12" x14ac:dyDescent="0.3">
      <c r="A2536" t="s">
        <v>4010</v>
      </c>
      <c r="B2536" t="s">
        <v>4011</v>
      </c>
      <c r="C2536" t="s">
        <v>55</v>
      </c>
      <c r="D2536">
        <v>1</v>
      </c>
      <c r="E2536" s="1">
        <v>45923</v>
      </c>
      <c r="F2536" t="s">
        <v>568</v>
      </c>
      <c r="G2536">
        <v>1</v>
      </c>
      <c r="H2536" t="s">
        <v>569</v>
      </c>
      <c r="I2536" t="s">
        <v>608</v>
      </c>
      <c r="J2536" t="str">
        <f t="shared" si="117"/>
        <v>September</v>
      </c>
      <c r="K2536" t="str">
        <f t="shared" si="118"/>
        <v>Q3</v>
      </c>
      <c r="L2536">
        <f t="shared" si="119"/>
        <v>2025</v>
      </c>
    </row>
    <row r="2537" spans="1:12" x14ac:dyDescent="0.3">
      <c r="A2537" t="s">
        <v>4012</v>
      </c>
      <c r="B2537" t="s">
        <v>4011</v>
      </c>
      <c r="C2537" t="s">
        <v>55</v>
      </c>
      <c r="D2537">
        <v>2</v>
      </c>
      <c r="E2537" s="1">
        <v>45934</v>
      </c>
      <c r="F2537" t="s">
        <v>572</v>
      </c>
      <c r="G2537">
        <v>3</v>
      </c>
      <c r="H2537" t="s">
        <v>578</v>
      </c>
      <c r="I2537" t="s">
        <v>570</v>
      </c>
      <c r="J2537" t="str">
        <f t="shared" si="117"/>
        <v>October</v>
      </c>
      <c r="K2537" t="str">
        <f t="shared" si="118"/>
        <v>Q4</v>
      </c>
      <c r="L2537">
        <f t="shared" si="119"/>
        <v>2025</v>
      </c>
    </row>
    <row r="2538" spans="1:12" x14ac:dyDescent="0.3">
      <c r="A2538" t="s">
        <v>4013</v>
      </c>
      <c r="B2538" t="s">
        <v>4011</v>
      </c>
      <c r="C2538" t="s">
        <v>55</v>
      </c>
      <c r="D2538">
        <v>3</v>
      </c>
      <c r="E2538" s="1">
        <v>45938</v>
      </c>
      <c r="F2538" t="s">
        <v>663</v>
      </c>
      <c r="G2538">
        <v>1</v>
      </c>
      <c r="H2538" t="s">
        <v>569</v>
      </c>
      <c r="I2538" t="s">
        <v>570</v>
      </c>
      <c r="J2538" t="str">
        <f t="shared" si="117"/>
        <v>October</v>
      </c>
      <c r="K2538" t="str">
        <f t="shared" si="118"/>
        <v>Q4</v>
      </c>
      <c r="L2538">
        <f t="shared" si="119"/>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E81A-891D-4686-84AB-DB1532BFBAB6}">
  <dimension ref="A1:M49"/>
  <sheetViews>
    <sheetView topLeftCell="A2" workbookViewId="0">
      <selection activeCell="I11" sqref="I11"/>
    </sheetView>
  </sheetViews>
  <sheetFormatPr defaultRowHeight="14.4" x14ac:dyDescent="0.3"/>
  <cols>
    <col min="2" max="2" width="12.88671875" customWidth="1"/>
    <col min="4" max="4" width="15.6640625" customWidth="1"/>
    <col min="5" max="5" width="13.109375" customWidth="1"/>
    <col min="6" max="6" width="15.77734375" customWidth="1"/>
    <col min="7" max="7" width="9" customWidth="1"/>
    <col min="8" max="8" width="10" customWidth="1"/>
    <col min="9" max="9" width="13.33203125" customWidth="1"/>
  </cols>
  <sheetData>
    <row r="1" spans="1:13" x14ac:dyDescent="0.3">
      <c r="A1" t="s">
        <v>2</v>
      </c>
      <c r="B1" t="s">
        <v>4</v>
      </c>
      <c r="C1" t="s">
        <v>4014</v>
      </c>
      <c r="D1" t="s">
        <v>4015</v>
      </c>
      <c r="E1" t="s">
        <v>4016</v>
      </c>
      <c r="F1" t="s">
        <v>4017</v>
      </c>
      <c r="G1" t="s">
        <v>4018</v>
      </c>
      <c r="H1" t="s">
        <v>4019</v>
      </c>
      <c r="I1" t="s">
        <v>4020</v>
      </c>
      <c r="J1" t="s">
        <v>565</v>
      </c>
      <c r="K1" t="s">
        <v>6631</v>
      </c>
      <c r="L1" t="s">
        <v>6632</v>
      </c>
      <c r="M1" t="s">
        <v>6633</v>
      </c>
    </row>
    <row r="2" spans="1:13" x14ac:dyDescent="0.3">
      <c r="A2" t="s">
        <v>1187</v>
      </c>
      <c r="B2" t="s">
        <v>23</v>
      </c>
      <c r="C2" t="s">
        <v>24</v>
      </c>
      <c r="D2" t="s">
        <v>4021</v>
      </c>
      <c r="E2" t="s">
        <v>4022</v>
      </c>
      <c r="F2">
        <v>1</v>
      </c>
      <c r="G2" t="s">
        <v>4023</v>
      </c>
      <c r="H2" t="s">
        <v>4024</v>
      </c>
      <c r="I2" s="1">
        <v>45872</v>
      </c>
      <c r="J2" t="s">
        <v>4025</v>
      </c>
      <c r="K2" t="str">
        <f t="shared" ref="K2:K49" si="0">TEXT(I2,"mmmm")</f>
        <v>August</v>
      </c>
      <c r="L2" t="str">
        <f t="shared" ref="L2:L49" si="1">"Q"&amp;ROUNDUP(MONTH(I2)/3,0)</f>
        <v>Q3</v>
      </c>
      <c r="M2">
        <f t="shared" ref="M2:M49" si="2">YEAR(I2)</f>
        <v>2025</v>
      </c>
    </row>
    <row r="3" spans="1:13" x14ac:dyDescent="0.3">
      <c r="A3" t="s">
        <v>292</v>
      </c>
      <c r="B3" t="s">
        <v>11</v>
      </c>
      <c r="C3" t="s">
        <v>293</v>
      </c>
      <c r="D3" t="s">
        <v>4026</v>
      </c>
      <c r="E3" t="s">
        <v>4027</v>
      </c>
      <c r="F3">
        <v>3</v>
      </c>
      <c r="G3" t="s">
        <v>4028</v>
      </c>
      <c r="H3" t="s">
        <v>4029</v>
      </c>
      <c r="I3" s="1">
        <v>45707</v>
      </c>
      <c r="J3" t="s">
        <v>4030</v>
      </c>
      <c r="K3" t="str">
        <f t="shared" si="0"/>
        <v>February</v>
      </c>
      <c r="L3" t="str">
        <f t="shared" si="1"/>
        <v>Q1</v>
      </c>
      <c r="M3">
        <f t="shared" si="2"/>
        <v>2025</v>
      </c>
    </row>
    <row r="4" spans="1:13" x14ac:dyDescent="0.3">
      <c r="A4" t="s">
        <v>41</v>
      </c>
      <c r="B4" t="s">
        <v>23</v>
      </c>
      <c r="C4" t="s">
        <v>42</v>
      </c>
      <c r="D4" t="s">
        <v>4033</v>
      </c>
      <c r="E4" t="s">
        <v>4022</v>
      </c>
      <c r="F4">
        <v>3</v>
      </c>
      <c r="G4" t="s">
        <v>4034</v>
      </c>
      <c r="H4" t="s">
        <v>4035</v>
      </c>
      <c r="I4" s="1">
        <v>45811</v>
      </c>
      <c r="J4" t="s">
        <v>4030</v>
      </c>
      <c r="K4" t="str">
        <f t="shared" si="0"/>
        <v>June</v>
      </c>
      <c r="L4" t="str">
        <f t="shared" si="1"/>
        <v>Q2</v>
      </c>
      <c r="M4">
        <f t="shared" si="2"/>
        <v>2025</v>
      </c>
    </row>
    <row r="5" spans="1:13" x14ac:dyDescent="0.3">
      <c r="A5" t="s">
        <v>337</v>
      </c>
      <c r="B5" t="s">
        <v>33</v>
      </c>
      <c r="C5" t="s">
        <v>167</v>
      </c>
      <c r="D5" t="s">
        <v>4036</v>
      </c>
      <c r="E5" t="s">
        <v>4037</v>
      </c>
      <c r="F5">
        <v>1</v>
      </c>
      <c r="G5" t="s">
        <v>4028</v>
      </c>
      <c r="H5" t="s">
        <v>4038</v>
      </c>
      <c r="I5" s="1">
        <v>45833</v>
      </c>
      <c r="J5" t="s">
        <v>4025</v>
      </c>
      <c r="K5" t="str">
        <f t="shared" si="0"/>
        <v>June</v>
      </c>
      <c r="L5" t="str">
        <f t="shared" si="1"/>
        <v>Q2</v>
      </c>
      <c r="M5">
        <f t="shared" si="2"/>
        <v>2025</v>
      </c>
    </row>
    <row r="6" spans="1:13" x14ac:dyDescent="0.3">
      <c r="A6" t="s">
        <v>201</v>
      </c>
      <c r="B6" t="s">
        <v>23</v>
      </c>
      <c r="C6" t="s">
        <v>93</v>
      </c>
      <c r="D6" t="s">
        <v>4039</v>
      </c>
      <c r="E6" t="s">
        <v>4022</v>
      </c>
      <c r="F6">
        <v>2</v>
      </c>
      <c r="G6" t="s">
        <v>4028</v>
      </c>
      <c r="H6" t="s">
        <v>4040</v>
      </c>
      <c r="I6" s="1">
        <v>45954</v>
      </c>
      <c r="J6" t="s">
        <v>4030</v>
      </c>
      <c r="K6" t="str">
        <f t="shared" si="0"/>
        <v>October</v>
      </c>
      <c r="L6" t="str">
        <f t="shared" si="1"/>
        <v>Q4</v>
      </c>
      <c r="M6">
        <f t="shared" si="2"/>
        <v>2025</v>
      </c>
    </row>
    <row r="7" spans="1:13" x14ac:dyDescent="0.3">
      <c r="A7" t="s">
        <v>147</v>
      </c>
      <c r="B7" t="s">
        <v>11</v>
      </c>
      <c r="C7" t="s">
        <v>38</v>
      </c>
      <c r="D7" t="s">
        <v>4041</v>
      </c>
      <c r="E7" t="s">
        <v>4032</v>
      </c>
      <c r="F7">
        <v>3</v>
      </c>
      <c r="G7" t="s">
        <v>4034</v>
      </c>
      <c r="H7" t="s">
        <v>4042</v>
      </c>
      <c r="I7" s="1">
        <v>45816</v>
      </c>
      <c r="J7" t="s">
        <v>4030</v>
      </c>
      <c r="K7" t="str">
        <f t="shared" si="0"/>
        <v>June</v>
      </c>
      <c r="L7" t="str">
        <f t="shared" si="1"/>
        <v>Q2</v>
      </c>
      <c r="M7">
        <f t="shared" si="2"/>
        <v>2025</v>
      </c>
    </row>
    <row r="8" spans="1:13" x14ac:dyDescent="0.3">
      <c r="A8" t="s">
        <v>195</v>
      </c>
      <c r="B8" t="s">
        <v>69</v>
      </c>
      <c r="C8" t="s">
        <v>196</v>
      </c>
      <c r="D8" t="s">
        <v>4036</v>
      </c>
      <c r="E8" t="s">
        <v>4043</v>
      </c>
      <c r="F8">
        <v>5</v>
      </c>
      <c r="G8" t="s">
        <v>4028</v>
      </c>
      <c r="H8" t="s">
        <v>4040</v>
      </c>
      <c r="I8" s="1">
        <v>45839</v>
      </c>
      <c r="J8" t="s">
        <v>4025</v>
      </c>
      <c r="K8" t="str">
        <f t="shared" si="0"/>
        <v>July</v>
      </c>
      <c r="L8" t="str">
        <f t="shared" si="1"/>
        <v>Q3</v>
      </c>
      <c r="M8">
        <f t="shared" si="2"/>
        <v>2025</v>
      </c>
    </row>
    <row r="9" spans="1:13" x14ac:dyDescent="0.3">
      <c r="A9" t="s">
        <v>55</v>
      </c>
      <c r="B9" t="s">
        <v>11</v>
      </c>
      <c r="C9" t="s">
        <v>38</v>
      </c>
      <c r="D9" t="s">
        <v>4031</v>
      </c>
      <c r="E9" t="s">
        <v>4032</v>
      </c>
      <c r="F9">
        <v>1</v>
      </c>
      <c r="G9" t="s">
        <v>4034</v>
      </c>
      <c r="H9" t="s">
        <v>4044</v>
      </c>
      <c r="I9" s="1">
        <v>45912</v>
      </c>
      <c r="J9" t="s">
        <v>4025</v>
      </c>
      <c r="K9" t="str">
        <f t="shared" si="0"/>
        <v>September</v>
      </c>
      <c r="L9" t="str">
        <f t="shared" si="1"/>
        <v>Q3</v>
      </c>
      <c r="M9">
        <f t="shared" si="2"/>
        <v>2025</v>
      </c>
    </row>
    <row r="10" spans="1:13" x14ac:dyDescent="0.3">
      <c r="A10" t="s">
        <v>96</v>
      </c>
      <c r="B10" t="s">
        <v>23</v>
      </c>
      <c r="C10" t="s">
        <v>59</v>
      </c>
      <c r="D10" t="s">
        <v>4041</v>
      </c>
      <c r="E10" t="s">
        <v>4022</v>
      </c>
      <c r="F10">
        <v>4</v>
      </c>
      <c r="G10" t="s">
        <v>4023</v>
      </c>
      <c r="H10" t="s">
        <v>4024</v>
      </c>
      <c r="I10" s="1">
        <v>45870</v>
      </c>
      <c r="J10" t="s">
        <v>4045</v>
      </c>
      <c r="K10" t="str">
        <f t="shared" si="0"/>
        <v>August</v>
      </c>
      <c r="L10" t="str">
        <f t="shared" si="1"/>
        <v>Q3</v>
      </c>
      <c r="M10">
        <f t="shared" si="2"/>
        <v>2025</v>
      </c>
    </row>
    <row r="11" spans="1:13" x14ac:dyDescent="0.3">
      <c r="A11" t="s">
        <v>123</v>
      </c>
      <c r="B11" t="s">
        <v>28</v>
      </c>
      <c r="C11" t="s">
        <v>124</v>
      </c>
      <c r="D11" t="s">
        <v>4046</v>
      </c>
      <c r="E11" t="s">
        <v>4047</v>
      </c>
      <c r="F11">
        <v>1</v>
      </c>
      <c r="G11" t="s">
        <v>4034</v>
      </c>
      <c r="H11" t="s">
        <v>4048</v>
      </c>
      <c r="I11" s="1">
        <v>45777</v>
      </c>
      <c r="J11" t="s">
        <v>4025</v>
      </c>
      <c r="K11" t="str">
        <f t="shared" si="0"/>
        <v>April</v>
      </c>
      <c r="L11" t="str">
        <f t="shared" si="1"/>
        <v>Q2</v>
      </c>
      <c r="M11">
        <f t="shared" si="2"/>
        <v>2025</v>
      </c>
    </row>
    <row r="12" spans="1:13" x14ac:dyDescent="0.3">
      <c r="A12" t="s">
        <v>127</v>
      </c>
      <c r="B12" t="s">
        <v>28</v>
      </c>
      <c r="C12" t="s">
        <v>128</v>
      </c>
      <c r="D12" t="s">
        <v>4049</v>
      </c>
      <c r="E12" t="s">
        <v>4047</v>
      </c>
      <c r="F12">
        <v>1</v>
      </c>
      <c r="G12" t="s">
        <v>4028</v>
      </c>
      <c r="H12" t="s">
        <v>4029</v>
      </c>
      <c r="I12" s="1">
        <v>45947</v>
      </c>
      <c r="J12" t="s">
        <v>4025</v>
      </c>
      <c r="K12" t="str">
        <f t="shared" si="0"/>
        <v>October</v>
      </c>
      <c r="L12" t="str">
        <f t="shared" si="1"/>
        <v>Q4</v>
      </c>
      <c r="M12">
        <f t="shared" si="2"/>
        <v>2025</v>
      </c>
    </row>
    <row r="13" spans="1:13" x14ac:dyDescent="0.3">
      <c r="A13" t="s">
        <v>240</v>
      </c>
      <c r="B13" t="s">
        <v>11</v>
      </c>
      <c r="C13" t="s">
        <v>241</v>
      </c>
      <c r="D13" t="s">
        <v>4021</v>
      </c>
      <c r="E13" t="s">
        <v>4032</v>
      </c>
      <c r="F13">
        <v>5</v>
      </c>
      <c r="G13" t="s">
        <v>4023</v>
      </c>
      <c r="H13" t="s">
        <v>4050</v>
      </c>
      <c r="I13" s="1">
        <v>45944</v>
      </c>
      <c r="J13" t="s">
        <v>4030</v>
      </c>
      <c r="K13" t="str">
        <f t="shared" si="0"/>
        <v>October</v>
      </c>
      <c r="L13" t="str">
        <f t="shared" si="1"/>
        <v>Q4</v>
      </c>
      <c r="M13">
        <f t="shared" si="2"/>
        <v>2025</v>
      </c>
    </row>
    <row r="14" spans="1:13" x14ac:dyDescent="0.3">
      <c r="A14" t="s">
        <v>298</v>
      </c>
      <c r="B14" t="s">
        <v>100</v>
      </c>
      <c r="C14" t="s">
        <v>299</v>
      </c>
      <c r="D14" t="s">
        <v>4051</v>
      </c>
      <c r="E14" t="s">
        <v>4052</v>
      </c>
      <c r="F14">
        <v>1</v>
      </c>
      <c r="G14" t="s">
        <v>4034</v>
      </c>
      <c r="H14" t="s">
        <v>4053</v>
      </c>
      <c r="I14" s="1">
        <v>45883</v>
      </c>
      <c r="J14" t="s">
        <v>4025</v>
      </c>
      <c r="K14" t="str">
        <f t="shared" si="0"/>
        <v>August</v>
      </c>
      <c r="L14" t="str">
        <f t="shared" si="1"/>
        <v>Q3</v>
      </c>
      <c r="M14">
        <f t="shared" si="2"/>
        <v>2025</v>
      </c>
    </row>
    <row r="15" spans="1:13" x14ac:dyDescent="0.3">
      <c r="A15" t="s">
        <v>340</v>
      </c>
      <c r="B15" t="s">
        <v>74</v>
      </c>
      <c r="C15" t="s">
        <v>341</v>
      </c>
      <c r="D15" t="s">
        <v>4054</v>
      </c>
      <c r="E15" t="s">
        <v>4055</v>
      </c>
      <c r="F15">
        <v>2</v>
      </c>
      <c r="G15" t="s">
        <v>4028</v>
      </c>
      <c r="H15" t="s">
        <v>4029</v>
      </c>
      <c r="I15" s="1">
        <v>45671</v>
      </c>
      <c r="J15" t="s">
        <v>4025</v>
      </c>
      <c r="K15" t="str">
        <f t="shared" si="0"/>
        <v>January</v>
      </c>
      <c r="L15" t="str">
        <f t="shared" si="1"/>
        <v>Q1</v>
      </c>
      <c r="M15">
        <f t="shared" si="2"/>
        <v>2025</v>
      </c>
    </row>
    <row r="16" spans="1:13" x14ac:dyDescent="0.3">
      <c r="A16" t="s">
        <v>156</v>
      </c>
      <c r="B16" t="s">
        <v>46</v>
      </c>
      <c r="C16" t="s">
        <v>157</v>
      </c>
      <c r="D16" t="s">
        <v>4056</v>
      </c>
      <c r="E16" t="s">
        <v>4057</v>
      </c>
      <c r="F16">
        <v>6</v>
      </c>
      <c r="G16" t="s">
        <v>4028</v>
      </c>
      <c r="H16" t="s">
        <v>4040</v>
      </c>
      <c r="I16" s="1">
        <v>45720</v>
      </c>
      <c r="J16" t="s">
        <v>4025</v>
      </c>
      <c r="K16" t="str">
        <f t="shared" si="0"/>
        <v>March</v>
      </c>
      <c r="L16" t="str">
        <f t="shared" si="1"/>
        <v>Q1</v>
      </c>
      <c r="M16">
        <f t="shared" si="2"/>
        <v>2025</v>
      </c>
    </row>
    <row r="17" spans="1:13" x14ac:dyDescent="0.3">
      <c r="A17" t="s">
        <v>22</v>
      </c>
      <c r="B17" t="s">
        <v>23</v>
      </c>
      <c r="C17" t="s">
        <v>24</v>
      </c>
      <c r="D17" t="s">
        <v>4051</v>
      </c>
      <c r="E17" t="s">
        <v>4022</v>
      </c>
      <c r="F17">
        <v>2</v>
      </c>
      <c r="G17" t="s">
        <v>4034</v>
      </c>
      <c r="H17" t="s">
        <v>4042</v>
      </c>
      <c r="I17" s="1">
        <v>45833</v>
      </c>
      <c r="J17" t="s">
        <v>4030</v>
      </c>
      <c r="K17" t="str">
        <f t="shared" si="0"/>
        <v>June</v>
      </c>
      <c r="L17" t="str">
        <f t="shared" si="1"/>
        <v>Q2</v>
      </c>
      <c r="M17">
        <f t="shared" si="2"/>
        <v>2025</v>
      </c>
    </row>
    <row r="18" spans="1:13" x14ac:dyDescent="0.3">
      <c r="A18" t="s">
        <v>260</v>
      </c>
      <c r="B18" t="s">
        <v>23</v>
      </c>
      <c r="C18" t="s">
        <v>261</v>
      </c>
      <c r="D18" t="s">
        <v>4058</v>
      </c>
      <c r="E18" t="s">
        <v>4022</v>
      </c>
      <c r="F18">
        <v>1</v>
      </c>
      <c r="G18" t="s">
        <v>4023</v>
      </c>
      <c r="H18" t="s">
        <v>4029</v>
      </c>
      <c r="I18" s="1">
        <v>45733</v>
      </c>
      <c r="J18" t="s">
        <v>4030</v>
      </c>
      <c r="K18" t="str">
        <f t="shared" si="0"/>
        <v>March</v>
      </c>
      <c r="L18" t="str">
        <f t="shared" si="1"/>
        <v>Q1</v>
      </c>
      <c r="M18">
        <f t="shared" si="2"/>
        <v>2025</v>
      </c>
    </row>
    <row r="19" spans="1:13" x14ac:dyDescent="0.3">
      <c r="A19" t="s">
        <v>108</v>
      </c>
      <c r="B19" t="s">
        <v>33</v>
      </c>
      <c r="C19" t="s">
        <v>89</v>
      </c>
      <c r="D19" t="s">
        <v>4059</v>
      </c>
      <c r="E19" t="s">
        <v>4037</v>
      </c>
      <c r="F19">
        <v>3</v>
      </c>
      <c r="G19" t="s">
        <v>4034</v>
      </c>
      <c r="H19" t="s">
        <v>4029</v>
      </c>
      <c r="I19" s="1">
        <v>45743</v>
      </c>
      <c r="J19" t="s">
        <v>4030</v>
      </c>
      <c r="K19" t="str">
        <f t="shared" si="0"/>
        <v>March</v>
      </c>
      <c r="L19" t="str">
        <f t="shared" si="1"/>
        <v>Q1</v>
      </c>
      <c r="M19">
        <f t="shared" si="2"/>
        <v>2025</v>
      </c>
    </row>
    <row r="20" spans="1:13" x14ac:dyDescent="0.3">
      <c r="A20" t="s">
        <v>429</v>
      </c>
      <c r="B20" t="s">
        <v>46</v>
      </c>
      <c r="C20" t="s">
        <v>47</v>
      </c>
      <c r="D20" t="s">
        <v>4060</v>
      </c>
      <c r="E20" t="s">
        <v>4057</v>
      </c>
      <c r="F20">
        <v>3</v>
      </c>
      <c r="G20" t="s">
        <v>4028</v>
      </c>
      <c r="H20" t="s">
        <v>4038</v>
      </c>
      <c r="I20" s="1">
        <v>45757</v>
      </c>
      <c r="J20" t="s">
        <v>4030</v>
      </c>
      <c r="K20" t="str">
        <f t="shared" si="0"/>
        <v>April</v>
      </c>
      <c r="L20" t="str">
        <f t="shared" si="1"/>
        <v>Q2</v>
      </c>
      <c r="M20">
        <f t="shared" si="2"/>
        <v>2025</v>
      </c>
    </row>
    <row r="21" spans="1:13" x14ac:dyDescent="0.3">
      <c r="A21" t="s">
        <v>45</v>
      </c>
      <c r="B21" t="s">
        <v>46</v>
      </c>
      <c r="C21" t="s">
        <v>47</v>
      </c>
      <c r="D21" t="s">
        <v>4062</v>
      </c>
      <c r="E21" t="s">
        <v>4057</v>
      </c>
      <c r="F21">
        <v>4</v>
      </c>
      <c r="G21" t="s">
        <v>4028</v>
      </c>
      <c r="H21" t="s">
        <v>4029</v>
      </c>
      <c r="I21" s="1">
        <v>45844</v>
      </c>
      <c r="J21" t="s">
        <v>4025</v>
      </c>
      <c r="K21" t="str">
        <f t="shared" si="0"/>
        <v>July</v>
      </c>
      <c r="L21" t="str">
        <f t="shared" si="1"/>
        <v>Q3</v>
      </c>
      <c r="M21">
        <f t="shared" si="2"/>
        <v>2025</v>
      </c>
    </row>
    <row r="22" spans="1:13" x14ac:dyDescent="0.3">
      <c r="A22" t="s">
        <v>244</v>
      </c>
      <c r="B22" t="s">
        <v>11</v>
      </c>
      <c r="C22" t="s">
        <v>12</v>
      </c>
      <c r="D22" t="s">
        <v>4061</v>
      </c>
      <c r="E22" t="s">
        <v>4032</v>
      </c>
      <c r="F22">
        <v>1</v>
      </c>
      <c r="G22" t="s">
        <v>4028</v>
      </c>
      <c r="H22" t="s">
        <v>4063</v>
      </c>
      <c r="I22" s="1">
        <v>45658</v>
      </c>
      <c r="J22" t="s">
        <v>4030</v>
      </c>
      <c r="K22" t="str">
        <f t="shared" si="0"/>
        <v>January</v>
      </c>
      <c r="L22" t="str">
        <f t="shared" si="1"/>
        <v>Q1</v>
      </c>
      <c r="M22">
        <f t="shared" si="2"/>
        <v>2025</v>
      </c>
    </row>
    <row r="23" spans="1:13" x14ac:dyDescent="0.3">
      <c r="A23" t="s">
        <v>16</v>
      </c>
      <c r="B23" t="s">
        <v>17</v>
      </c>
      <c r="C23" t="s">
        <v>18</v>
      </c>
      <c r="D23" t="s">
        <v>4064</v>
      </c>
      <c r="E23" t="s">
        <v>4065</v>
      </c>
      <c r="F23">
        <v>4</v>
      </c>
      <c r="G23" t="s">
        <v>4023</v>
      </c>
      <c r="H23" t="s">
        <v>4040</v>
      </c>
      <c r="I23" s="1">
        <v>45749</v>
      </c>
      <c r="J23" t="s">
        <v>4030</v>
      </c>
      <c r="K23" t="str">
        <f t="shared" si="0"/>
        <v>April</v>
      </c>
      <c r="L23" t="str">
        <f t="shared" si="1"/>
        <v>Q2</v>
      </c>
      <c r="M23">
        <f t="shared" si="2"/>
        <v>2025</v>
      </c>
    </row>
    <row r="24" spans="1:13" x14ac:dyDescent="0.3">
      <c r="A24" t="s">
        <v>374</v>
      </c>
      <c r="B24" t="s">
        <v>17</v>
      </c>
      <c r="C24" t="s">
        <v>18</v>
      </c>
      <c r="D24" t="s">
        <v>4066</v>
      </c>
      <c r="E24" t="s">
        <v>4065</v>
      </c>
      <c r="F24">
        <v>2</v>
      </c>
      <c r="G24" t="s">
        <v>4023</v>
      </c>
      <c r="H24" t="s">
        <v>4042</v>
      </c>
      <c r="I24" s="1">
        <v>45739</v>
      </c>
      <c r="J24" t="s">
        <v>4025</v>
      </c>
      <c r="K24" t="str">
        <f t="shared" si="0"/>
        <v>March</v>
      </c>
      <c r="L24" t="str">
        <f t="shared" si="1"/>
        <v>Q1</v>
      </c>
      <c r="M24">
        <f t="shared" si="2"/>
        <v>2025</v>
      </c>
    </row>
    <row r="25" spans="1:13" x14ac:dyDescent="0.3">
      <c r="A25" t="s">
        <v>85</v>
      </c>
      <c r="B25" t="s">
        <v>11</v>
      </c>
      <c r="C25" t="s">
        <v>52</v>
      </c>
      <c r="D25" t="s">
        <v>4067</v>
      </c>
      <c r="E25" t="s">
        <v>4027</v>
      </c>
      <c r="F25">
        <v>3</v>
      </c>
      <c r="G25" t="s">
        <v>4028</v>
      </c>
      <c r="H25" t="s">
        <v>4040</v>
      </c>
      <c r="I25" s="1">
        <v>45837</v>
      </c>
      <c r="J25" t="s">
        <v>4025</v>
      </c>
      <c r="K25" t="str">
        <f t="shared" si="0"/>
        <v>June</v>
      </c>
      <c r="L25" t="str">
        <f t="shared" si="1"/>
        <v>Q2</v>
      </c>
      <c r="M25">
        <f t="shared" si="2"/>
        <v>2025</v>
      </c>
    </row>
    <row r="26" spans="1:13" x14ac:dyDescent="0.3">
      <c r="A26" t="s">
        <v>92</v>
      </c>
      <c r="B26" t="s">
        <v>23</v>
      </c>
      <c r="C26" t="s">
        <v>93</v>
      </c>
      <c r="D26" t="s">
        <v>4068</v>
      </c>
      <c r="E26" t="s">
        <v>4022</v>
      </c>
      <c r="F26">
        <v>2</v>
      </c>
      <c r="G26" t="s">
        <v>4023</v>
      </c>
      <c r="H26" t="s">
        <v>4044</v>
      </c>
      <c r="I26" s="1">
        <v>45757</v>
      </c>
      <c r="J26" t="s">
        <v>4030</v>
      </c>
      <c r="K26" t="str">
        <f t="shared" si="0"/>
        <v>April</v>
      </c>
      <c r="L26" t="str">
        <f t="shared" si="1"/>
        <v>Q2</v>
      </c>
      <c r="M26">
        <f t="shared" si="2"/>
        <v>2025</v>
      </c>
    </row>
    <row r="27" spans="1:13" x14ac:dyDescent="0.3">
      <c r="A27" t="s">
        <v>208</v>
      </c>
      <c r="B27" t="s">
        <v>46</v>
      </c>
      <c r="C27" t="s">
        <v>209</v>
      </c>
      <c r="D27" t="s">
        <v>4031</v>
      </c>
      <c r="E27" t="s">
        <v>4057</v>
      </c>
      <c r="F27">
        <v>2</v>
      </c>
      <c r="G27" t="s">
        <v>4023</v>
      </c>
      <c r="H27" t="s">
        <v>4029</v>
      </c>
      <c r="I27" s="1">
        <v>45790</v>
      </c>
      <c r="J27" t="s">
        <v>4030</v>
      </c>
      <c r="K27" t="str">
        <f t="shared" si="0"/>
        <v>May</v>
      </c>
      <c r="L27" t="str">
        <f t="shared" si="1"/>
        <v>Q2</v>
      </c>
      <c r="M27">
        <f t="shared" si="2"/>
        <v>2025</v>
      </c>
    </row>
    <row r="28" spans="1:13" x14ac:dyDescent="0.3">
      <c r="A28" t="s">
        <v>27</v>
      </c>
      <c r="B28" t="s">
        <v>28</v>
      </c>
      <c r="C28" t="s">
        <v>29</v>
      </c>
      <c r="D28" t="s">
        <v>4062</v>
      </c>
      <c r="E28" t="s">
        <v>4047</v>
      </c>
      <c r="F28">
        <v>3</v>
      </c>
      <c r="G28" t="s">
        <v>4023</v>
      </c>
      <c r="H28" t="s">
        <v>4069</v>
      </c>
      <c r="I28" s="1">
        <v>45873</v>
      </c>
      <c r="J28" t="s">
        <v>4030</v>
      </c>
      <c r="K28" t="str">
        <f t="shared" si="0"/>
        <v>August</v>
      </c>
      <c r="L28" t="str">
        <f t="shared" si="1"/>
        <v>Q3</v>
      </c>
      <c r="M28">
        <f t="shared" si="2"/>
        <v>2025</v>
      </c>
    </row>
    <row r="29" spans="1:13" x14ac:dyDescent="0.3">
      <c r="A29" t="s">
        <v>32</v>
      </c>
      <c r="B29" t="s">
        <v>33</v>
      </c>
      <c r="C29" t="s">
        <v>34</v>
      </c>
      <c r="D29" t="s">
        <v>4070</v>
      </c>
      <c r="E29" t="s">
        <v>4037</v>
      </c>
      <c r="F29">
        <v>2</v>
      </c>
      <c r="G29" t="s">
        <v>4034</v>
      </c>
      <c r="H29" t="s">
        <v>4040</v>
      </c>
      <c r="I29" s="1">
        <v>45751</v>
      </c>
      <c r="J29" t="s">
        <v>4030</v>
      </c>
      <c r="K29" t="str">
        <f t="shared" si="0"/>
        <v>April</v>
      </c>
      <c r="L29" t="str">
        <f t="shared" si="1"/>
        <v>Q2</v>
      </c>
      <c r="M29">
        <f t="shared" si="2"/>
        <v>2025</v>
      </c>
    </row>
    <row r="30" spans="1:13" x14ac:dyDescent="0.3">
      <c r="A30" t="s">
        <v>133</v>
      </c>
      <c r="B30" t="s">
        <v>28</v>
      </c>
      <c r="C30" t="s">
        <v>128</v>
      </c>
      <c r="D30" t="s">
        <v>4026</v>
      </c>
      <c r="E30" t="s">
        <v>4047</v>
      </c>
      <c r="F30">
        <v>2</v>
      </c>
      <c r="G30" t="s">
        <v>4028</v>
      </c>
      <c r="H30" t="s">
        <v>4069</v>
      </c>
      <c r="I30" s="1">
        <v>45689</v>
      </c>
      <c r="J30" t="s">
        <v>4030</v>
      </c>
      <c r="K30" t="str">
        <f t="shared" si="0"/>
        <v>February</v>
      </c>
      <c r="L30" t="str">
        <f t="shared" si="1"/>
        <v>Q1</v>
      </c>
      <c r="M30">
        <f t="shared" si="2"/>
        <v>2025</v>
      </c>
    </row>
    <row r="31" spans="1:13" x14ac:dyDescent="0.3">
      <c r="A31" t="s">
        <v>58</v>
      </c>
      <c r="B31" t="s">
        <v>23</v>
      </c>
      <c r="C31" t="s">
        <v>59</v>
      </c>
      <c r="D31" t="s">
        <v>4051</v>
      </c>
      <c r="E31" t="s">
        <v>4022</v>
      </c>
      <c r="F31">
        <v>5</v>
      </c>
      <c r="G31" t="s">
        <v>4034</v>
      </c>
      <c r="H31" t="s">
        <v>4053</v>
      </c>
      <c r="I31" s="1">
        <v>45799</v>
      </c>
      <c r="J31" t="s">
        <v>4025</v>
      </c>
      <c r="K31" t="str">
        <f t="shared" si="0"/>
        <v>May</v>
      </c>
      <c r="L31" t="str">
        <f t="shared" si="1"/>
        <v>Q2</v>
      </c>
      <c r="M31">
        <f t="shared" si="2"/>
        <v>2025</v>
      </c>
    </row>
    <row r="32" spans="1:13" x14ac:dyDescent="0.3">
      <c r="A32" t="s">
        <v>65</v>
      </c>
      <c r="B32" t="s">
        <v>11</v>
      </c>
      <c r="C32" t="s">
        <v>12</v>
      </c>
      <c r="D32" t="s">
        <v>4071</v>
      </c>
      <c r="E32" t="s">
        <v>4027</v>
      </c>
      <c r="F32">
        <v>2</v>
      </c>
      <c r="G32" t="s">
        <v>4028</v>
      </c>
      <c r="H32" t="s">
        <v>4069</v>
      </c>
      <c r="I32" s="1">
        <v>45920</v>
      </c>
      <c r="J32" t="s">
        <v>4025</v>
      </c>
      <c r="K32" t="str">
        <f t="shared" si="0"/>
        <v>September</v>
      </c>
      <c r="L32" t="str">
        <f t="shared" si="1"/>
        <v>Q3</v>
      </c>
      <c r="M32">
        <f t="shared" si="2"/>
        <v>2025</v>
      </c>
    </row>
    <row r="33" spans="1:13" x14ac:dyDescent="0.3">
      <c r="A33" t="s">
        <v>73</v>
      </c>
      <c r="B33" t="s">
        <v>74</v>
      </c>
      <c r="C33" t="s">
        <v>75</v>
      </c>
      <c r="D33" t="s">
        <v>4070</v>
      </c>
      <c r="E33" t="s">
        <v>4072</v>
      </c>
      <c r="F33">
        <v>2</v>
      </c>
      <c r="G33" t="s">
        <v>4034</v>
      </c>
      <c r="H33" t="s">
        <v>4069</v>
      </c>
      <c r="I33" s="1">
        <v>45790</v>
      </c>
      <c r="J33" t="s">
        <v>4045</v>
      </c>
      <c r="K33" t="str">
        <f t="shared" si="0"/>
        <v>May</v>
      </c>
      <c r="L33" t="str">
        <f t="shared" si="1"/>
        <v>Q2</v>
      </c>
      <c r="M33">
        <f t="shared" si="2"/>
        <v>2025</v>
      </c>
    </row>
    <row r="34" spans="1:13" x14ac:dyDescent="0.3">
      <c r="A34" t="s">
        <v>176</v>
      </c>
      <c r="B34" t="s">
        <v>33</v>
      </c>
      <c r="C34" t="s">
        <v>34</v>
      </c>
      <c r="D34" t="s">
        <v>4073</v>
      </c>
      <c r="E34" t="s">
        <v>4037</v>
      </c>
      <c r="F34">
        <v>2</v>
      </c>
      <c r="G34" t="s">
        <v>4028</v>
      </c>
      <c r="H34" t="s">
        <v>4029</v>
      </c>
      <c r="I34" s="1">
        <v>45695</v>
      </c>
      <c r="J34" t="s">
        <v>4030</v>
      </c>
      <c r="K34" t="str">
        <f t="shared" si="0"/>
        <v>February</v>
      </c>
      <c r="L34" t="str">
        <f t="shared" si="1"/>
        <v>Q1</v>
      </c>
      <c r="M34">
        <f t="shared" si="2"/>
        <v>2025</v>
      </c>
    </row>
    <row r="35" spans="1:13" x14ac:dyDescent="0.3">
      <c r="A35" t="s">
        <v>99</v>
      </c>
      <c r="B35" t="s">
        <v>100</v>
      </c>
      <c r="C35" t="s">
        <v>101</v>
      </c>
      <c r="D35" t="s">
        <v>4059</v>
      </c>
      <c r="E35" t="s">
        <v>4074</v>
      </c>
      <c r="F35">
        <v>5</v>
      </c>
      <c r="G35" t="s">
        <v>4034</v>
      </c>
      <c r="H35" t="s">
        <v>4042</v>
      </c>
      <c r="I35" s="1">
        <v>45845</v>
      </c>
      <c r="J35" t="s">
        <v>4025</v>
      </c>
      <c r="K35" t="str">
        <f t="shared" si="0"/>
        <v>July</v>
      </c>
      <c r="L35" t="str">
        <f t="shared" si="1"/>
        <v>Q3</v>
      </c>
      <c r="M35">
        <f t="shared" si="2"/>
        <v>2025</v>
      </c>
    </row>
    <row r="36" spans="1:13" x14ac:dyDescent="0.3">
      <c r="A36" t="s">
        <v>166</v>
      </c>
      <c r="B36" t="s">
        <v>33</v>
      </c>
      <c r="C36" t="s">
        <v>167</v>
      </c>
      <c r="D36" t="s">
        <v>4046</v>
      </c>
      <c r="E36" t="s">
        <v>4037</v>
      </c>
      <c r="F36">
        <v>2</v>
      </c>
      <c r="G36" t="s">
        <v>4028</v>
      </c>
      <c r="H36" t="s">
        <v>4048</v>
      </c>
      <c r="I36" s="1">
        <v>45772</v>
      </c>
      <c r="J36" t="s">
        <v>4025</v>
      </c>
      <c r="K36" t="str">
        <f t="shared" si="0"/>
        <v>April</v>
      </c>
      <c r="L36" t="str">
        <f t="shared" si="1"/>
        <v>Q2</v>
      </c>
      <c r="M36">
        <f t="shared" si="2"/>
        <v>2025</v>
      </c>
    </row>
    <row r="37" spans="1:13" x14ac:dyDescent="0.3">
      <c r="A37" t="s">
        <v>183</v>
      </c>
      <c r="B37" t="s">
        <v>100</v>
      </c>
      <c r="C37" t="s">
        <v>184</v>
      </c>
      <c r="D37" t="s">
        <v>4066</v>
      </c>
      <c r="E37" t="s">
        <v>4052</v>
      </c>
      <c r="F37">
        <v>2</v>
      </c>
      <c r="G37" t="s">
        <v>4028</v>
      </c>
      <c r="H37" t="s">
        <v>4075</v>
      </c>
      <c r="I37" s="1">
        <v>45845</v>
      </c>
      <c r="J37" t="s">
        <v>4025</v>
      </c>
      <c r="K37" t="str">
        <f t="shared" si="0"/>
        <v>July</v>
      </c>
      <c r="L37" t="str">
        <f t="shared" si="1"/>
        <v>Q3</v>
      </c>
      <c r="M37">
        <f t="shared" si="2"/>
        <v>2025</v>
      </c>
    </row>
    <row r="38" spans="1:13" x14ac:dyDescent="0.3">
      <c r="A38" t="s">
        <v>62</v>
      </c>
      <c r="B38" t="s">
        <v>23</v>
      </c>
      <c r="C38" t="s">
        <v>24</v>
      </c>
      <c r="D38" t="s">
        <v>4071</v>
      </c>
      <c r="E38" t="s">
        <v>4022</v>
      </c>
      <c r="F38">
        <v>2</v>
      </c>
      <c r="G38" t="s">
        <v>4028</v>
      </c>
      <c r="H38" t="s">
        <v>4069</v>
      </c>
      <c r="I38" s="1">
        <v>45690</v>
      </c>
      <c r="J38" t="s">
        <v>4025</v>
      </c>
      <c r="K38" t="str">
        <f t="shared" si="0"/>
        <v>February</v>
      </c>
      <c r="L38" t="str">
        <f t="shared" si="1"/>
        <v>Q1</v>
      </c>
      <c r="M38">
        <f t="shared" si="2"/>
        <v>2025</v>
      </c>
    </row>
    <row r="39" spans="1:13" x14ac:dyDescent="0.3">
      <c r="A39" t="s">
        <v>326</v>
      </c>
      <c r="B39" t="s">
        <v>33</v>
      </c>
      <c r="C39" t="s">
        <v>34</v>
      </c>
      <c r="D39" t="s">
        <v>4054</v>
      </c>
      <c r="E39" t="s">
        <v>4037</v>
      </c>
      <c r="F39">
        <v>1</v>
      </c>
      <c r="G39" t="s">
        <v>4034</v>
      </c>
      <c r="H39" t="s">
        <v>4038</v>
      </c>
      <c r="I39" s="1">
        <v>45750</v>
      </c>
      <c r="J39" t="s">
        <v>4025</v>
      </c>
      <c r="K39" t="str">
        <f t="shared" si="0"/>
        <v>April</v>
      </c>
      <c r="L39" t="str">
        <f t="shared" si="1"/>
        <v>Q2</v>
      </c>
      <c r="M39">
        <f t="shared" si="2"/>
        <v>2025</v>
      </c>
    </row>
    <row r="40" spans="1:13" x14ac:dyDescent="0.3">
      <c r="A40" t="s">
        <v>10</v>
      </c>
      <c r="B40" t="s">
        <v>11</v>
      </c>
      <c r="C40" t="s">
        <v>12</v>
      </c>
      <c r="D40" t="s">
        <v>4049</v>
      </c>
      <c r="E40" t="s">
        <v>4032</v>
      </c>
      <c r="F40">
        <v>1</v>
      </c>
      <c r="G40" t="s">
        <v>4023</v>
      </c>
      <c r="H40" t="s">
        <v>4035</v>
      </c>
      <c r="I40" s="1">
        <v>45911</v>
      </c>
      <c r="J40" t="s">
        <v>4030</v>
      </c>
      <c r="K40" t="str">
        <f t="shared" si="0"/>
        <v>September</v>
      </c>
      <c r="L40" t="str">
        <f t="shared" si="1"/>
        <v>Q3</v>
      </c>
      <c r="M40">
        <f t="shared" si="2"/>
        <v>2025</v>
      </c>
    </row>
    <row r="41" spans="1:13" x14ac:dyDescent="0.3">
      <c r="A41" t="s">
        <v>37</v>
      </c>
      <c r="B41" t="s">
        <v>11</v>
      </c>
      <c r="C41" t="s">
        <v>38</v>
      </c>
      <c r="D41" t="s">
        <v>4026</v>
      </c>
      <c r="E41" t="s">
        <v>4032</v>
      </c>
      <c r="F41">
        <v>5</v>
      </c>
      <c r="G41" t="s">
        <v>4034</v>
      </c>
      <c r="H41" t="s">
        <v>4076</v>
      </c>
      <c r="I41" s="1">
        <v>45703</v>
      </c>
      <c r="J41" t="s">
        <v>4030</v>
      </c>
      <c r="K41" t="str">
        <f t="shared" si="0"/>
        <v>February</v>
      </c>
      <c r="L41" t="str">
        <f t="shared" si="1"/>
        <v>Q1</v>
      </c>
      <c r="M41">
        <f t="shared" si="2"/>
        <v>2025</v>
      </c>
    </row>
    <row r="42" spans="1:13" x14ac:dyDescent="0.3">
      <c r="A42" t="s">
        <v>51</v>
      </c>
      <c r="B42" t="s">
        <v>11</v>
      </c>
      <c r="C42" t="s">
        <v>52</v>
      </c>
      <c r="D42" t="s">
        <v>4039</v>
      </c>
      <c r="E42" t="s">
        <v>4032</v>
      </c>
      <c r="F42">
        <v>4</v>
      </c>
      <c r="G42" t="s">
        <v>4028</v>
      </c>
      <c r="H42" t="s">
        <v>4029</v>
      </c>
      <c r="I42" s="1">
        <v>45941</v>
      </c>
      <c r="J42" t="s">
        <v>4030</v>
      </c>
      <c r="K42" t="str">
        <f t="shared" si="0"/>
        <v>October</v>
      </c>
      <c r="L42" t="str">
        <f t="shared" si="1"/>
        <v>Q4</v>
      </c>
      <c r="M42">
        <f t="shared" si="2"/>
        <v>2025</v>
      </c>
    </row>
    <row r="43" spans="1:13" x14ac:dyDescent="0.3">
      <c r="A43" t="s">
        <v>88</v>
      </c>
      <c r="B43" t="s">
        <v>33</v>
      </c>
      <c r="C43" t="s">
        <v>89</v>
      </c>
      <c r="D43" t="s">
        <v>4077</v>
      </c>
      <c r="E43" t="s">
        <v>4037</v>
      </c>
      <c r="F43">
        <v>2</v>
      </c>
      <c r="G43" t="s">
        <v>4034</v>
      </c>
      <c r="H43" t="s">
        <v>4075</v>
      </c>
      <c r="I43" s="1">
        <v>45740</v>
      </c>
      <c r="J43" t="s">
        <v>4025</v>
      </c>
      <c r="K43" t="str">
        <f t="shared" si="0"/>
        <v>March</v>
      </c>
      <c r="L43" t="str">
        <f t="shared" si="1"/>
        <v>Q1</v>
      </c>
      <c r="M43">
        <f t="shared" si="2"/>
        <v>2025</v>
      </c>
    </row>
    <row r="44" spans="1:13" x14ac:dyDescent="0.3">
      <c r="A44" t="s">
        <v>542</v>
      </c>
      <c r="B44" t="s">
        <v>46</v>
      </c>
      <c r="C44" t="s">
        <v>209</v>
      </c>
      <c r="D44" t="s">
        <v>4059</v>
      </c>
      <c r="E44" t="s">
        <v>4078</v>
      </c>
      <c r="F44">
        <v>1</v>
      </c>
      <c r="G44" t="s">
        <v>4028</v>
      </c>
      <c r="H44" t="s">
        <v>4048</v>
      </c>
      <c r="I44" s="1">
        <v>45796</v>
      </c>
      <c r="J44" t="s">
        <v>4030</v>
      </c>
      <c r="K44" t="str">
        <f t="shared" si="0"/>
        <v>May</v>
      </c>
      <c r="L44" t="str">
        <f t="shared" si="1"/>
        <v>Q2</v>
      </c>
      <c r="M44">
        <f t="shared" si="2"/>
        <v>2025</v>
      </c>
    </row>
    <row r="45" spans="1:13" x14ac:dyDescent="0.3">
      <c r="A45" t="s">
        <v>140</v>
      </c>
      <c r="B45" t="s">
        <v>141</v>
      </c>
      <c r="C45" t="s">
        <v>142</v>
      </c>
      <c r="D45" t="s">
        <v>4079</v>
      </c>
      <c r="E45" t="s">
        <v>4080</v>
      </c>
      <c r="F45">
        <v>1</v>
      </c>
      <c r="G45" t="s">
        <v>4028</v>
      </c>
      <c r="H45" t="s">
        <v>4053</v>
      </c>
      <c r="I45" s="1">
        <v>45921</v>
      </c>
      <c r="J45" t="s">
        <v>4030</v>
      </c>
      <c r="K45" t="str">
        <f t="shared" si="0"/>
        <v>September</v>
      </c>
      <c r="L45" t="str">
        <f t="shared" si="1"/>
        <v>Q3</v>
      </c>
      <c r="M45">
        <f t="shared" si="2"/>
        <v>2025</v>
      </c>
    </row>
    <row r="46" spans="1:13" x14ac:dyDescent="0.3">
      <c r="A46" t="s">
        <v>187</v>
      </c>
      <c r="B46" t="s">
        <v>33</v>
      </c>
      <c r="C46" t="s">
        <v>188</v>
      </c>
      <c r="D46" t="s">
        <v>4081</v>
      </c>
      <c r="E46" t="s">
        <v>4037</v>
      </c>
      <c r="F46">
        <v>2</v>
      </c>
      <c r="G46" t="s">
        <v>4023</v>
      </c>
      <c r="H46" t="s">
        <v>4069</v>
      </c>
      <c r="I46" s="1">
        <v>45815</v>
      </c>
      <c r="J46" t="s">
        <v>4030</v>
      </c>
      <c r="K46" t="str">
        <f t="shared" si="0"/>
        <v>June</v>
      </c>
      <c r="L46" t="str">
        <f t="shared" si="1"/>
        <v>Q2</v>
      </c>
      <c r="M46">
        <f t="shared" si="2"/>
        <v>2025</v>
      </c>
    </row>
    <row r="47" spans="1:13" x14ac:dyDescent="0.3">
      <c r="A47" t="s">
        <v>68</v>
      </c>
      <c r="B47" t="s">
        <v>69</v>
      </c>
      <c r="C47" t="s">
        <v>70</v>
      </c>
      <c r="D47" t="s">
        <v>4061</v>
      </c>
      <c r="E47" t="s">
        <v>4043</v>
      </c>
      <c r="F47">
        <v>2</v>
      </c>
      <c r="G47" t="s">
        <v>4028</v>
      </c>
      <c r="H47" t="s">
        <v>4076</v>
      </c>
      <c r="I47" s="1">
        <v>45724</v>
      </c>
      <c r="J47" t="s">
        <v>4025</v>
      </c>
      <c r="K47" t="str">
        <f t="shared" si="0"/>
        <v>March</v>
      </c>
      <c r="L47" t="str">
        <f t="shared" si="1"/>
        <v>Q1</v>
      </c>
      <c r="M47">
        <f t="shared" si="2"/>
        <v>2025</v>
      </c>
    </row>
    <row r="48" spans="1:13" x14ac:dyDescent="0.3">
      <c r="A48" t="s">
        <v>973</v>
      </c>
      <c r="B48" t="s">
        <v>17</v>
      </c>
      <c r="C48" t="s">
        <v>4082</v>
      </c>
      <c r="D48" t="s">
        <v>4081</v>
      </c>
      <c r="E48" t="s">
        <v>4065</v>
      </c>
      <c r="F48">
        <v>1</v>
      </c>
      <c r="G48" t="s">
        <v>4028</v>
      </c>
      <c r="H48" t="s">
        <v>4044</v>
      </c>
      <c r="I48" s="1">
        <v>45917</v>
      </c>
      <c r="J48" t="s">
        <v>4030</v>
      </c>
      <c r="K48" t="str">
        <f t="shared" si="0"/>
        <v>September</v>
      </c>
      <c r="L48" t="str">
        <f t="shared" si="1"/>
        <v>Q3</v>
      </c>
      <c r="M48">
        <f t="shared" si="2"/>
        <v>2025</v>
      </c>
    </row>
    <row r="49" spans="1:13" x14ac:dyDescent="0.3">
      <c r="A49" t="s">
        <v>191</v>
      </c>
      <c r="B49" t="s">
        <v>74</v>
      </c>
      <c r="C49" t="s">
        <v>192</v>
      </c>
      <c r="D49" t="s">
        <v>4036</v>
      </c>
      <c r="E49" t="s">
        <v>4055</v>
      </c>
      <c r="F49">
        <v>2</v>
      </c>
      <c r="G49" t="s">
        <v>4034</v>
      </c>
      <c r="H49" t="s">
        <v>4040</v>
      </c>
      <c r="I49" s="1">
        <v>45659</v>
      </c>
      <c r="J49" t="s">
        <v>4025</v>
      </c>
      <c r="K49" t="str">
        <f t="shared" si="0"/>
        <v>January</v>
      </c>
      <c r="L49" t="str">
        <f t="shared" si="1"/>
        <v>Q1</v>
      </c>
      <c r="M49">
        <f t="shared" si="2"/>
        <v>2025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DCD4-FE26-43DC-8C61-C1F2D3FBF5C3}">
  <dimension ref="A1:K232"/>
  <sheetViews>
    <sheetView topLeftCell="A2" workbookViewId="0">
      <selection activeCell="F16" sqref="F16"/>
    </sheetView>
  </sheetViews>
  <sheetFormatPr defaultRowHeight="14.4" x14ac:dyDescent="0.3"/>
  <cols>
    <col min="1" max="1" width="9.5546875" customWidth="1"/>
    <col min="2" max="2" width="14.109375" customWidth="1"/>
    <col min="4" max="4" width="11.6640625" customWidth="1"/>
    <col min="5" max="5" width="13.21875" customWidth="1"/>
    <col min="6" max="6" width="20.33203125" customWidth="1"/>
    <col min="7" max="7" width="13.21875" customWidth="1"/>
    <col min="8" max="8" width="13.109375" customWidth="1"/>
  </cols>
  <sheetData>
    <row r="1" spans="1:11" x14ac:dyDescent="0.3">
      <c r="A1" t="s">
        <v>4083</v>
      </c>
      <c r="B1" t="s">
        <v>1</v>
      </c>
      <c r="C1" t="s">
        <v>2</v>
      </c>
      <c r="D1" t="s">
        <v>4084</v>
      </c>
      <c r="E1" t="s">
        <v>4085</v>
      </c>
      <c r="F1" t="s">
        <v>4086</v>
      </c>
      <c r="G1" t="s">
        <v>4087</v>
      </c>
      <c r="H1" t="s">
        <v>4088</v>
      </c>
      <c r="I1" t="s">
        <v>6625</v>
      </c>
      <c r="J1" t="s">
        <v>6626</v>
      </c>
      <c r="K1" t="s">
        <v>6627</v>
      </c>
    </row>
    <row r="2" spans="1:11" x14ac:dyDescent="0.3">
      <c r="A2" t="s">
        <v>4089</v>
      </c>
      <c r="B2" t="s">
        <v>305</v>
      </c>
      <c r="C2" t="s">
        <v>99</v>
      </c>
      <c r="D2" s="1">
        <v>45868</v>
      </c>
      <c r="E2">
        <v>9.3000000000000007</v>
      </c>
      <c r="F2" t="s">
        <v>4090</v>
      </c>
      <c r="G2" s="1">
        <v>45910</v>
      </c>
      <c r="H2" t="s">
        <v>4091</v>
      </c>
      <c r="I2" t="str">
        <f t="shared" ref="I2:I65" si="0">TEXT(D2,"mmmm")</f>
        <v>July</v>
      </c>
      <c r="J2" t="str">
        <f t="shared" ref="J2:J65" si="1">"Q"&amp;ROUNDUP(MONTH(D2)/3,0)</f>
        <v>Q3</v>
      </c>
      <c r="K2">
        <f t="shared" ref="K2:K65" si="2">YEAR(D2)</f>
        <v>2025</v>
      </c>
    </row>
    <row r="3" spans="1:11" x14ac:dyDescent="0.3">
      <c r="A3" t="s">
        <v>4092</v>
      </c>
      <c r="B3" t="s">
        <v>505</v>
      </c>
      <c r="C3" t="s">
        <v>16</v>
      </c>
      <c r="D3" s="1">
        <v>45776</v>
      </c>
      <c r="E3">
        <v>6.9</v>
      </c>
      <c r="F3" t="s">
        <v>4090</v>
      </c>
      <c r="G3" s="1">
        <v>45812</v>
      </c>
      <c r="H3" t="s">
        <v>4091</v>
      </c>
      <c r="I3" t="str">
        <f t="shared" si="0"/>
        <v>April</v>
      </c>
      <c r="J3" t="str">
        <f t="shared" si="1"/>
        <v>Q2</v>
      </c>
      <c r="K3">
        <f t="shared" si="2"/>
        <v>2025</v>
      </c>
    </row>
    <row r="4" spans="1:11" x14ac:dyDescent="0.3">
      <c r="A4" t="s">
        <v>4093</v>
      </c>
      <c r="B4" t="s">
        <v>26</v>
      </c>
      <c r="C4" t="s">
        <v>27</v>
      </c>
      <c r="D4" s="1">
        <v>45898</v>
      </c>
      <c r="E4">
        <v>5.9</v>
      </c>
      <c r="F4" t="s">
        <v>4090</v>
      </c>
      <c r="G4" s="1">
        <v>45936</v>
      </c>
      <c r="H4" t="s">
        <v>4091</v>
      </c>
      <c r="I4" t="str">
        <f t="shared" si="0"/>
        <v>August</v>
      </c>
      <c r="J4" t="str">
        <f t="shared" si="1"/>
        <v>Q3</v>
      </c>
      <c r="K4">
        <f t="shared" si="2"/>
        <v>2025</v>
      </c>
    </row>
    <row r="5" spans="1:11" x14ac:dyDescent="0.3">
      <c r="A5" t="s">
        <v>4094</v>
      </c>
      <c r="B5" t="s">
        <v>80</v>
      </c>
      <c r="C5" t="s">
        <v>78</v>
      </c>
      <c r="D5" s="1">
        <v>45922</v>
      </c>
      <c r="E5">
        <v>7.2</v>
      </c>
      <c r="F5" t="s">
        <v>4090</v>
      </c>
      <c r="G5" s="1">
        <v>45967</v>
      </c>
      <c r="H5" t="s">
        <v>4091</v>
      </c>
      <c r="I5" t="str">
        <f t="shared" si="0"/>
        <v>September</v>
      </c>
      <c r="J5" t="str">
        <f t="shared" si="1"/>
        <v>Q3</v>
      </c>
      <c r="K5">
        <f t="shared" si="2"/>
        <v>2025</v>
      </c>
    </row>
    <row r="6" spans="1:11" x14ac:dyDescent="0.3">
      <c r="A6" t="s">
        <v>4095</v>
      </c>
      <c r="B6" t="s">
        <v>328</v>
      </c>
      <c r="C6" t="s">
        <v>108</v>
      </c>
      <c r="D6" s="1">
        <v>45783</v>
      </c>
      <c r="E6">
        <v>15.9</v>
      </c>
      <c r="F6" t="s">
        <v>4090</v>
      </c>
      <c r="G6" s="1">
        <v>45819</v>
      </c>
      <c r="H6" t="s">
        <v>4091</v>
      </c>
      <c r="I6" t="str">
        <f t="shared" si="0"/>
        <v>May</v>
      </c>
      <c r="J6" t="str">
        <f t="shared" si="1"/>
        <v>Q2</v>
      </c>
      <c r="K6">
        <f t="shared" si="2"/>
        <v>2025</v>
      </c>
    </row>
    <row r="7" spans="1:11" x14ac:dyDescent="0.3">
      <c r="A7" t="s">
        <v>4096</v>
      </c>
      <c r="B7" t="s">
        <v>485</v>
      </c>
      <c r="C7" t="s">
        <v>156</v>
      </c>
      <c r="D7" s="1">
        <v>45748</v>
      </c>
      <c r="E7">
        <v>5.8</v>
      </c>
      <c r="F7" t="s">
        <v>4090</v>
      </c>
      <c r="G7" s="1">
        <v>45768</v>
      </c>
      <c r="H7" t="s">
        <v>4091</v>
      </c>
      <c r="I7" t="str">
        <f t="shared" si="0"/>
        <v>April</v>
      </c>
      <c r="J7" t="str">
        <f t="shared" si="1"/>
        <v>Q2</v>
      </c>
      <c r="K7">
        <f t="shared" si="2"/>
        <v>2025</v>
      </c>
    </row>
    <row r="8" spans="1:11" x14ac:dyDescent="0.3">
      <c r="A8" t="s">
        <v>4097</v>
      </c>
      <c r="B8" t="s">
        <v>40</v>
      </c>
      <c r="C8" t="s">
        <v>41</v>
      </c>
      <c r="D8" s="1">
        <v>45851</v>
      </c>
      <c r="E8">
        <v>15.7</v>
      </c>
      <c r="F8" t="s">
        <v>4090</v>
      </c>
      <c r="G8" s="1">
        <v>45875</v>
      </c>
      <c r="H8" t="s">
        <v>4091</v>
      </c>
      <c r="I8" t="str">
        <f t="shared" si="0"/>
        <v>July</v>
      </c>
      <c r="J8" t="str">
        <f t="shared" si="1"/>
        <v>Q3</v>
      </c>
      <c r="K8">
        <f t="shared" si="2"/>
        <v>2025</v>
      </c>
    </row>
    <row r="9" spans="1:11" x14ac:dyDescent="0.3">
      <c r="A9" t="s">
        <v>4098</v>
      </c>
      <c r="B9" t="s">
        <v>72</v>
      </c>
      <c r="C9" t="s">
        <v>73</v>
      </c>
      <c r="D9" s="1">
        <v>45840</v>
      </c>
      <c r="E9">
        <v>16.3</v>
      </c>
      <c r="F9" t="s">
        <v>4090</v>
      </c>
      <c r="G9" s="1">
        <v>45880</v>
      </c>
      <c r="H9" t="s">
        <v>4091</v>
      </c>
      <c r="I9" t="str">
        <f t="shared" si="0"/>
        <v>July</v>
      </c>
      <c r="J9" t="str">
        <f t="shared" si="1"/>
        <v>Q3</v>
      </c>
      <c r="K9">
        <f t="shared" si="2"/>
        <v>2025</v>
      </c>
    </row>
    <row r="10" spans="1:11" x14ac:dyDescent="0.3">
      <c r="A10" t="s">
        <v>4099</v>
      </c>
      <c r="B10" t="s">
        <v>132</v>
      </c>
      <c r="C10" t="s">
        <v>133</v>
      </c>
      <c r="D10" s="1">
        <v>45722</v>
      </c>
      <c r="E10">
        <v>16.2</v>
      </c>
      <c r="F10" t="s">
        <v>4090</v>
      </c>
      <c r="G10" s="1">
        <v>45754</v>
      </c>
      <c r="H10" t="s">
        <v>4091</v>
      </c>
      <c r="I10" t="str">
        <f t="shared" si="0"/>
        <v>March</v>
      </c>
      <c r="J10" t="str">
        <f t="shared" si="1"/>
        <v>Q1</v>
      </c>
      <c r="K10">
        <f t="shared" si="2"/>
        <v>2025</v>
      </c>
    </row>
    <row r="11" spans="1:11" x14ac:dyDescent="0.3">
      <c r="A11" t="s">
        <v>4100</v>
      </c>
      <c r="B11" t="s">
        <v>215</v>
      </c>
      <c r="C11" t="s">
        <v>10</v>
      </c>
      <c r="D11" s="1">
        <v>45950</v>
      </c>
      <c r="E11">
        <v>4.9000000000000004</v>
      </c>
      <c r="F11" t="s">
        <v>4090</v>
      </c>
      <c r="G11" s="1">
        <v>45991</v>
      </c>
      <c r="H11" t="s">
        <v>4091</v>
      </c>
      <c r="I11" t="str">
        <f t="shared" si="0"/>
        <v>October</v>
      </c>
      <c r="J11" t="str">
        <f t="shared" si="1"/>
        <v>Q4</v>
      </c>
      <c r="K11">
        <f t="shared" si="2"/>
        <v>2025</v>
      </c>
    </row>
    <row r="12" spans="1:11" x14ac:dyDescent="0.3">
      <c r="A12" t="s">
        <v>4101</v>
      </c>
      <c r="B12" t="s">
        <v>527</v>
      </c>
      <c r="C12" t="s">
        <v>195</v>
      </c>
      <c r="D12" s="1">
        <v>45871</v>
      </c>
      <c r="E12">
        <v>16.100000000000001</v>
      </c>
      <c r="F12" t="s">
        <v>4090</v>
      </c>
      <c r="G12" s="1">
        <v>45902</v>
      </c>
      <c r="H12" t="s">
        <v>4091</v>
      </c>
      <c r="I12" t="str">
        <f t="shared" si="0"/>
        <v>August</v>
      </c>
      <c r="J12" t="str">
        <f t="shared" si="1"/>
        <v>Q3</v>
      </c>
      <c r="K12">
        <f t="shared" si="2"/>
        <v>2025</v>
      </c>
    </row>
    <row r="13" spans="1:11" x14ac:dyDescent="0.3">
      <c r="A13" t="s">
        <v>4102</v>
      </c>
      <c r="B13" t="s">
        <v>443</v>
      </c>
      <c r="C13" t="s">
        <v>16</v>
      </c>
      <c r="D13" s="1">
        <v>45783</v>
      </c>
      <c r="E13">
        <v>16</v>
      </c>
      <c r="F13" t="s">
        <v>4090</v>
      </c>
      <c r="G13" s="1">
        <v>45808</v>
      </c>
      <c r="H13" t="s">
        <v>4091</v>
      </c>
      <c r="I13" t="str">
        <f t="shared" si="0"/>
        <v>May</v>
      </c>
      <c r="J13" t="str">
        <f t="shared" si="1"/>
        <v>Q2</v>
      </c>
      <c r="K13">
        <f t="shared" si="2"/>
        <v>2025</v>
      </c>
    </row>
    <row r="14" spans="1:11" x14ac:dyDescent="0.3">
      <c r="A14" t="s">
        <v>4103</v>
      </c>
      <c r="B14" t="s">
        <v>307</v>
      </c>
      <c r="C14" t="s">
        <v>156</v>
      </c>
      <c r="D14" s="1">
        <v>45745</v>
      </c>
      <c r="E14">
        <v>24.2</v>
      </c>
      <c r="F14" t="s">
        <v>4090</v>
      </c>
      <c r="G14" s="1">
        <v>45789</v>
      </c>
      <c r="H14" t="s">
        <v>4091</v>
      </c>
      <c r="I14" t="str">
        <f t="shared" si="0"/>
        <v>March</v>
      </c>
      <c r="J14" t="str">
        <f t="shared" si="1"/>
        <v>Q1</v>
      </c>
      <c r="K14">
        <f t="shared" si="2"/>
        <v>2025</v>
      </c>
    </row>
    <row r="15" spans="1:11" x14ac:dyDescent="0.3">
      <c r="A15" t="s">
        <v>4104</v>
      </c>
      <c r="B15" t="s">
        <v>114</v>
      </c>
      <c r="C15" t="s">
        <v>22</v>
      </c>
      <c r="D15" s="1">
        <v>45856</v>
      </c>
      <c r="E15">
        <v>7.9</v>
      </c>
      <c r="F15" t="s">
        <v>4090</v>
      </c>
      <c r="G15" s="1">
        <v>45876</v>
      </c>
      <c r="H15" t="s">
        <v>4091</v>
      </c>
      <c r="I15" t="str">
        <f t="shared" si="0"/>
        <v>July</v>
      </c>
      <c r="J15" t="str">
        <f t="shared" si="1"/>
        <v>Q3</v>
      </c>
      <c r="K15">
        <f t="shared" si="2"/>
        <v>2025</v>
      </c>
    </row>
    <row r="16" spans="1:11" x14ac:dyDescent="0.3">
      <c r="A16" t="s">
        <v>4105</v>
      </c>
      <c r="B16" t="s">
        <v>173</v>
      </c>
      <c r="C16" t="s">
        <v>37</v>
      </c>
      <c r="D16" s="1">
        <v>45724</v>
      </c>
      <c r="E16">
        <v>11.1</v>
      </c>
      <c r="F16" t="s">
        <v>4090</v>
      </c>
      <c r="G16" s="1">
        <v>45766</v>
      </c>
      <c r="H16" t="s">
        <v>4091</v>
      </c>
      <c r="I16" t="str">
        <f t="shared" si="0"/>
        <v>March</v>
      </c>
      <c r="J16" t="str">
        <f t="shared" si="1"/>
        <v>Q1</v>
      </c>
      <c r="K16">
        <f t="shared" si="2"/>
        <v>2025</v>
      </c>
    </row>
    <row r="17" spans="1:11" x14ac:dyDescent="0.3">
      <c r="A17" t="s">
        <v>4106</v>
      </c>
      <c r="B17" t="s">
        <v>369</v>
      </c>
      <c r="C17" t="s">
        <v>156</v>
      </c>
      <c r="D17" s="1">
        <v>45743</v>
      </c>
      <c r="E17">
        <v>10.8</v>
      </c>
      <c r="F17" t="s">
        <v>4090</v>
      </c>
      <c r="G17" s="1">
        <v>45768</v>
      </c>
      <c r="H17" t="s">
        <v>4091</v>
      </c>
      <c r="I17" t="str">
        <f t="shared" si="0"/>
        <v>March</v>
      </c>
      <c r="J17" t="str">
        <f t="shared" si="1"/>
        <v>Q1</v>
      </c>
      <c r="K17">
        <f t="shared" si="2"/>
        <v>2025</v>
      </c>
    </row>
    <row r="18" spans="1:11" x14ac:dyDescent="0.3">
      <c r="A18" t="s">
        <v>4107</v>
      </c>
      <c r="B18" t="s">
        <v>239</v>
      </c>
      <c r="C18" t="s">
        <v>240</v>
      </c>
      <c r="D18" s="1">
        <v>45979</v>
      </c>
      <c r="E18">
        <v>13.8</v>
      </c>
      <c r="F18" t="s">
        <v>4090</v>
      </c>
      <c r="G18" s="1">
        <v>46022</v>
      </c>
      <c r="H18" t="s">
        <v>4091</v>
      </c>
      <c r="I18" t="str">
        <f t="shared" si="0"/>
        <v>November</v>
      </c>
      <c r="J18" t="str">
        <f t="shared" si="1"/>
        <v>Q4</v>
      </c>
      <c r="K18">
        <f t="shared" si="2"/>
        <v>2025</v>
      </c>
    </row>
    <row r="19" spans="1:11" x14ac:dyDescent="0.3">
      <c r="A19" t="s">
        <v>4108</v>
      </c>
      <c r="B19" t="s">
        <v>98</v>
      </c>
      <c r="C19" t="s">
        <v>99</v>
      </c>
      <c r="D19" s="1">
        <v>45859</v>
      </c>
      <c r="E19">
        <v>7.2</v>
      </c>
      <c r="F19" t="s">
        <v>4090</v>
      </c>
      <c r="G19" s="1">
        <v>45883</v>
      </c>
      <c r="H19" t="s">
        <v>4091</v>
      </c>
      <c r="I19" t="str">
        <f t="shared" si="0"/>
        <v>July</v>
      </c>
      <c r="J19" t="str">
        <f t="shared" si="1"/>
        <v>Q3</v>
      </c>
      <c r="K19">
        <f t="shared" si="2"/>
        <v>2025</v>
      </c>
    </row>
    <row r="20" spans="1:11" x14ac:dyDescent="0.3">
      <c r="A20" t="s">
        <v>4109</v>
      </c>
      <c r="B20" t="s">
        <v>394</v>
      </c>
      <c r="C20" t="s">
        <v>108</v>
      </c>
      <c r="D20" s="1">
        <v>45783</v>
      </c>
      <c r="E20">
        <v>9.8000000000000007</v>
      </c>
      <c r="F20" t="s">
        <v>4090</v>
      </c>
      <c r="G20" s="1">
        <v>45805</v>
      </c>
      <c r="H20" t="s">
        <v>4091</v>
      </c>
      <c r="I20" t="str">
        <f t="shared" si="0"/>
        <v>May</v>
      </c>
      <c r="J20" t="str">
        <f t="shared" si="1"/>
        <v>Q2</v>
      </c>
      <c r="K20">
        <f t="shared" si="2"/>
        <v>2025</v>
      </c>
    </row>
    <row r="21" spans="1:11" x14ac:dyDescent="0.3">
      <c r="A21" t="s">
        <v>4110</v>
      </c>
      <c r="B21" t="s">
        <v>91</v>
      </c>
      <c r="C21" t="s">
        <v>92</v>
      </c>
      <c r="D21" s="1">
        <v>45781</v>
      </c>
      <c r="E21">
        <v>20.3</v>
      </c>
      <c r="F21" t="s">
        <v>4090</v>
      </c>
      <c r="G21" s="1">
        <v>45823</v>
      </c>
      <c r="H21" t="s">
        <v>4091</v>
      </c>
      <c r="I21" t="str">
        <f t="shared" si="0"/>
        <v>May</v>
      </c>
      <c r="J21" t="str">
        <f t="shared" si="1"/>
        <v>Q2</v>
      </c>
      <c r="K21">
        <f t="shared" si="2"/>
        <v>2025</v>
      </c>
    </row>
    <row r="22" spans="1:11" x14ac:dyDescent="0.3">
      <c r="A22" t="s">
        <v>4111</v>
      </c>
      <c r="B22" t="s">
        <v>317</v>
      </c>
      <c r="C22" t="s">
        <v>240</v>
      </c>
      <c r="D22" s="1">
        <v>45987</v>
      </c>
      <c r="E22">
        <v>13.8</v>
      </c>
      <c r="F22" t="s">
        <v>4090</v>
      </c>
      <c r="G22" s="1">
        <v>46005</v>
      </c>
      <c r="H22" t="s">
        <v>4091</v>
      </c>
      <c r="I22" t="str">
        <f t="shared" si="0"/>
        <v>November</v>
      </c>
      <c r="J22" t="str">
        <f t="shared" si="1"/>
        <v>Q4</v>
      </c>
      <c r="K22">
        <f t="shared" si="2"/>
        <v>2025</v>
      </c>
    </row>
    <row r="23" spans="1:11" x14ac:dyDescent="0.3">
      <c r="A23" t="s">
        <v>4112</v>
      </c>
      <c r="B23" t="s">
        <v>475</v>
      </c>
      <c r="C23" t="s">
        <v>156</v>
      </c>
      <c r="D23" s="1">
        <v>45749</v>
      </c>
      <c r="E23">
        <v>11.4</v>
      </c>
      <c r="F23" t="s">
        <v>4090</v>
      </c>
      <c r="G23" s="1">
        <v>45792</v>
      </c>
      <c r="H23" t="s">
        <v>4091</v>
      </c>
      <c r="I23" t="str">
        <f t="shared" si="0"/>
        <v>April</v>
      </c>
      <c r="J23" t="str">
        <f t="shared" si="1"/>
        <v>Q2</v>
      </c>
      <c r="K23">
        <f t="shared" si="2"/>
        <v>2025</v>
      </c>
    </row>
    <row r="24" spans="1:11" x14ac:dyDescent="0.3">
      <c r="A24" t="s">
        <v>4113</v>
      </c>
      <c r="B24" t="s">
        <v>112</v>
      </c>
      <c r="C24" t="s">
        <v>10</v>
      </c>
      <c r="D24" s="1">
        <v>45939</v>
      </c>
      <c r="E24">
        <v>23</v>
      </c>
      <c r="F24" t="s">
        <v>4090</v>
      </c>
      <c r="G24" s="1">
        <v>45954</v>
      </c>
      <c r="H24" t="s">
        <v>4091</v>
      </c>
      <c r="I24" t="str">
        <f t="shared" si="0"/>
        <v>October</v>
      </c>
      <c r="J24" t="str">
        <f t="shared" si="1"/>
        <v>Q4</v>
      </c>
      <c r="K24">
        <f t="shared" si="2"/>
        <v>2025</v>
      </c>
    </row>
    <row r="25" spans="1:11" x14ac:dyDescent="0.3">
      <c r="A25" t="s">
        <v>4114</v>
      </c>
      <c r="B25" t="s">
        <v>437</v>
      </c>
      <c r="C25" t="s">
        <v>208</v>
      </c>
      <c r="D25" s="1">
        <v>45812</v>
      </c>
      <c r="E25">
        <v>11.4</v>
      </c>
      <c r="F25" t="s">
        <v>4090</v>
      </c>
      <c r="G25" s="1">
        <v>45846</v>
      </c>
      <c r="H25" t="s">
        <v>4091</v>
      </c>
      <c r="I25" t="str">
        <f t="shared" si="0"/>
        <v>June</v>
      </c>
      <c r="J25" t="str">
        <f t="shared" si="1"/>
        <v>Q2</v>
      </c>
      <c r="K25">
        <f t="shared" si="2"/>
        <v>2025</v>
      </c>
    </row>
    <row r="26" spans="1:11" x14ac:dyDescent="0.3">
      <c r="A26" t="s">
        <v>4115</v>
      </c>
      <c r="B26" t="s">
        <v>31</v>
      </c>
      <c r="C26" t="s">
        <v>32</v>
      </c>
      <c r="D26" s="1">
        <v>45770</v>
      </c>
      <c r="E26">
        <v>11.5</v>
      </c>
      <c r="F26" t="s">
        <v>4090</v>
      </c>
      <c r="G26" s="1">
        <v>45806</v>
      </c>
      <c r="H26" t="s">
        <v>4091</v>
      </c>
      <c r="I26" t="str">
        <f t="shared" si="0"/>
        <v>April</v>
      </c>
      <c r="J26" t="str">
        <f t="shared" si="1"/>
        <v>Q2</v>
      </c>
      <c r="K26">
        <f t="shared" si="2"/>
        <v>2025</v>
      </c>
    </row>
    <row r="27" spans="1:11" x14ac:dyDescent="0.3">
      <c r="A27" t="s">
        <v>4116</v>
      </c>
      <c r="B27" t="s">
        <v>558</v>
      </c>
      <c r="C27" t="s">
        <v>65</v>
      </c>
      <c r="D27" s="1">
        <v>45962</v>
      </c>
      <c r="E27">
        <v>16.3</v>
      </c>
      <c r="F27" t="s">
        <v>4090</v>
      </c>
      <c r="G27" s="1">
        <v>46002</v>
      </c>
      <c r="H27" t="s">
        <v>4091</v>
      </c>
      <c r="I27" t="str">
        <f t="shared" si="0"/>
        <v>November</v>
      </c>
      <c r="J27" t="str">
        <f t="shared" si="1"/>
        <v>Q4</v>
      </c>
      <c r="K27">
        <f t="shared" si="2"/>
        <v>2025</v>
      </c>
    </row>
    <row r="28" spans="1:11" x14ac:dyDescent="0.3">
      <c r="A28" t="s">
        <v>4117</v>
      </c>
      <c r="B28" t="s">
        <v>467</v>
      </c>
      <c r="C28" t="s">
        <v>85</v>
      </c>
      <c r="D28" s="1">
        <v>45859</v>
      </c>
      <c r="E28">
        <v>11.1</v>
      </c>
      <c r="F28" t="s">
        <v>4090</v>
      </c>
      <c r="G28" s="1">
        <v>45883</v>
      </c>
      <c r="H28" t="s">
        <v>4091</v>
      </c>
      <c r="I28" t="str">
        <f t="shared" si="0"/>
        <v>July</v>
      </c>
      <c r="J28" t="str">
        <f t="shared" si="1"/>
        <v>Q3</v>
      </c>
      <c r="K28">
        <f t="shared" si="2"/>
        <v>2025</v>
      </c>
    </row>
    <row r="29" spans="1:11" x14ac:dyDescent="0.3">
      <c r="A29" t="s">
        <v>4118</v>
      </c>
      <c r="B29" t="s">
        <v>263</v>
      </c>
      <c r="C29" t="s">
        <v>108</v>
      </c>
      <c r="D29" s="1">
        <v>45767</v>
      </c>
      <c r="E29">
        <v>10.8</v>
      </c>
      <c r="F29" t="s">
        <v>4090</v>
      </c>
      <c r="G29" s="1">
        <v>45809</v>
      </c>
      <c r="H29" t="s">
        <v>4091</v>
      </c>
      <c r="I29" t="str">
        <f t="shared" si="0"/>
        <v>April</v>
      </c>
      <c r="J29" t="str">
        <f t="shared" si="1"/>
        <v>Q2</v>
      </c>
      <c r="K29">
        <f t="shared" si="2"/>
        <v>2025</v>
      </c>
    </row>
    <row r="30" spans="1:11" x14ac:dyDescent="0.3">
      <c r="A30" t="s">
        <v>4119</v>
      </c>
      <c r="B30" t="s">
        <v>363</v>
      </c>
      <c r="C30" t="s">
        <v>187</v>
      </c>
      <c r="D30" s="1">
        <v>45851</v>
      </c>
      <c r="E30">
        <v>6.4</v>
      </c>
      <c r="F30" t="s">
        <v>4090</v>
      </c>
      <c r="G30" s="1">
        <v>45879</v>
      </c>
      <c r="H30" t="s">
        <v>4091</v>
      </c>
      <c r="I30" t="str">
        <f t="shared" si="0"/>
        <v>July</v>
      </c>
      <c r="J30" t="str">
        <f t="shared" si="1"/>
        <v>Q3</v>
      </c>
      <c r="K30">
        <f t="shared" si="2"/>
        <v>2025</v>
      </c>
    </row>
    <row r="31" spans="1:11" x14ac:dyDescent="0.3">
      <c r="A31" t="s">
        <v>4120</v>
      </c>
      <c r="B31" t="s">
        <v>473</v>
      </c>
      <c r="C31" t="s">
        <v>166</v>
      </c>
      <c r="D31" s="1">
        <v>45812</v>
      </c>
      <c r="E31">
        <v>4.5999999999999996</v>
      </c>
      <c r="F31" t="s">
        <v>4090</v>
      </c>
      <c r="G31" s="1">
        <v>45842</v>
      </c>
      <c r="H31" t="s">
        <v>4091</v>
      </c>
      <c r="I31" t="str">
        <f t="shared" si="0"/>
        <v>June</v>
      </c>
      <c r="J31" t="str">
        <f t="shared" si="1"/>
        <v>Q2</v>
      </c>
      <c r="K31">
        <f t="shared" si="2"/>
        <v>2025</v>
      </c>
    </row>
    <row r="32" spans="1:11" x14ac:dyDescent="0.3">
      <c r="A32" t="s">
        <v>4121</v>
      </c>
      <c r="B32" t="s">
        <v>225</v>
      </c>
      <c r="C32" t="s">
        <v>37</v>
      </c>
      <c r="D32" s="1">
        <v>45757</v>
      </c>
      <c r="E32">
        <v>19.899999999999999</v>
      </c>
      <c r="F32" t="s">
        <v>4090</v>
      </c>
      <c r="G32" s="1">
        <v>45785</v>
      </c>
      <c r="H32" t="s">
        <v>4091</v>
      </c>
      <c r="I32" t="str">
        <f t="shared" si="0"/>
        <v>April</v>
      </c>
      <c r="J32" t="str">
        <f t="shared" si="1"/>
        <v>Q2</v>
      </c>
      <c r="K32">
        <f t="shared" si="2"/>
        <v>2025</v>
      </c>
    </row>
    <row r="33" spans="1:11" x14ac:dyDescent="0.3">
      <c r="A33" t="s">
        <v>4122</v>
      </c>
      <c r="B33" t="s">
        <v>309</v>
      </c>
      <c r="C33" t="s">
        <v>78</v>
      </c>
      <c r="D33" s="1">
        <v>45919</v>
      </c>
      <c r="E33">
        <v>19.399999999999999</v>
      </c>
      <c r="F33" t="s">
        <v>4090</v>
      </c>
      <c r="G33" s="1">
        <v>45958</v>
      </c>
      <c r="H33" t="s">
        <v>4091</v>
      </c>
      <c r="I33" t="str">
        <f t="shared" si="0"/>
        <v>September</v>
      </c>
      <c r="J33" t="str">
        <f t="shared" si="1"/>
        <v>Q3</v>
      </c>
      <c r="K33">
        <f t="shared" si="2"/>
        <v>2025</v>
      </c>
    </row>
    <row r="34" spans="1:11" x14ac:dyDescent="0.3">
      <c r="A34" t="s">
        <v>4123</v>
      </c>
      <c r="B34" t="s">
        <v>287</v>
      </c>
      <c r="C34" t="s">
        <v>176</v>
      </c>
      <c r="D34" s="1">
        <v>45716</v>
      </c>
      <c r="E34">
        <v>8.8000000000000007</v>
      </c>
      <c r="F34" t="s">
        <v>4090</v>
      </c>
      <c r="G34" s="1">
        <v>45761</v>
      </c>
      <c r="H34" t="s">
        <v>4091</v>
      </c>
      <c r="I34" t="str">
        <f t="shared" si="0"/>
        <v>February</v>
      </c>
      <c r="J34" t="str">
        <f t="shared" si="1"/>
        <v>Q1</v>
      </c>
      <c r="K34">
        <f t="shared" si="2"/>
        <v>2025</v>
      </c>
    </row>
    <row r="35" spans="1:11" x14ac:dyDescent="0.3">
      <c r="A35" t="s">
        <v>4124</v>
      </c>
      <c r="B35" t="s">
        <v>213</v>
      </c>
      <c r="C35" t="s">
        <v>78</v>
      </c>
      <c r="D35" s="1">
        <v>45925</v>
      </c>
      <c r="E35">
        <v>15</v>
      </c>
      <c r="F35" t="s">
        <v>4090</v>
      </c>
      <c r="G35" s="1">
        <v>45962</v>
      </c>
      <c r="H35" t="s">
        <v>4091</v>
      </c>
      <c r="I35" t="str">
        <f t="shared" si="0"/>
        <v>September</v>
      </c>
      <c r="J35" t="str">
        <f t="shared" si="1"/>
        <v>Q3</v>
      </c>
      <c r="K35">
        <f t="shared" si="2"/>
        <v>2025</v>
      </c>
    </row>
    <row r="36" spans="1:11" x14ac:dyDescent="0.3">
      <c r="A36" t="s">
        <v>4125</v>
      </c>
      <c r="B36" t="s">
        <v>198</v>
      </c>
      <c r="C36" t="s">
        <v>85</v>
      </c>
      <c r="D36" s="1">
        <v>45866</v>
      </c>
      <c r="E36">
        <v>20.100000000000001</v>
      </c>
      <c r="F36" t="s">
        <v>4090</v>
      </c>
      <c r="G36" s="1">
        <v>45884</v>
      </c>
      <c r="H36" t="s">
        <v>4091</v>
      </c>
      <c r="I36" t="str">
        <f t="shared" si="0"/>
        <v>July</v>
      </c>
      <c r="J36" t="str">
        <f t="shared" si="1"/>
        <v>Q3</v>
      </c>
      <c r="K36">
        <f t="shared" si="2"/>
        <v>2025</v>
      </c>
    </row>
    <row r="37" spans="1:11" x14ac:dyDescent="0.3">
      <c r="A37" t="s">
        <v>4126</v>
      </c>
      <c r="B37" t="s">
        <v>3542</v>
      </c>
      <c r="C37" t="s">
        <v>58</v>
      </c>
      <c r="D37" s="1">
        <v>45822</v>
      </c>
      <c r="E37">
        <v>8</v>
      </c>
      <c r="F37" t="s">
        <v>4090</v>
      </c>
      <c r="G37" s="1">
        <v>45861</v>
      </c>
      <c r="H37" t="s">
        <v>4091</v>
      </c>
      <c r="I37" t="str">
        <f t="shared" si="0"/>
        <v>June</v>
      </c>
      <c r="J37" t="str">
        <f t="shared" si="1"/>
        <v>Q2</v>
      </c>
      <c r="K37">
        <f t="shared" si="2"/>
        <v>2025</v>
      </c>
    </row>
    <row r="38" spans="1:11" x14ac:dyDescent="0.3">
      <c r="A38" t="s">
        <v>4127</v>
      </c>
      <c r="B38" t="s">
        <v>445</v>
      </c>
      <c r="C38" t="s">
        <v>37</v>
      </c>
      <c r="D38" s="1">
        <v>45755</v>
      </c>
      <c r="E38">
        <v>8.9</v>
      </c>
      <c r="F38" t="s">
        <v>4090</v>
      </c>
      <c r="G38" s="1">
        <v>45771</v>
      </c>
      <c r="H38" t="s">
        <v>4091</v>
      </c>
      <c r="I38" t="str">
        <f t="shared" si="0"/>
        <v>April</v>
      </c>
      <c r="J38" t="str">
        <f t="shared" si="1"/>
        <v>Q2</v>
      </c>
      <c r="K38">
        <f t="shared" si="2"/>
        <v>2025</v>
      </c>
    </row>
    <row r="39" spans="1:11" x14ac:dyDescent="0.3">
      <c r="A39" t="s">
        <v>4128</v>
      </c>
      <c r="B39" t="s">
        <v>359</v>
      </c>
      <c r="C39" t="s">
        <v>240</v>
      </c>
      <c r="D39" s="1">
        <v>45993</v>
      </c>
      <c r="E39">
        <v>10.5</v>
      </c>
      <c r="F39" t="s">
        <v>4090</v>
      </c>
      <c r="G39" s="1">
        <v>46022</v>
      </c>
      <c r="H39" t="s">
        <v>4091</v>
      </c>
      <c r="I39" t="str">
        <f t="shared" si="0"/>
        <v>December</v>
      </c>
      <c r="J39" t="str">
        <f t="shared" si="1"/>
        <v>Q4</v>
      </c>
      <c r="K39">
        <f t="shared" si="2"/>
        <v>2025</v>
      </c>
    </row>
    <row r="40" spans="1:11" x14ac:dyDescent="0.3">
      <c r="A40" t="s">
        <v>4129</v>
      </c>
      <c r="B40" t="s">
        <v>321</v>
      </c>
      <c r="C40" t="s">
        <v>147</v>
      </c>
      <c r="D40" s="1">
        <v>45846</v>
      </c>
      <c r="E40">
        <v>12.3</v>
      </c>
      <c r="F40" t="s">
        <v>4090</v>
      </c>
      <c r="G40" s="1">
        <v>45876</v>
      </c>
      <c r="H40" t="s">
        <v>4091</v>
      </c>
      <c r="I40" t="str">
        <f t="shared" si="0"/>
        <v>July</v>
      </c>
      <c r="J40" t="str">
        <f t="shared" si="1"/>
        <v>Q3</v>
      </c>
      <c r="K40">
        <f t="shared" si="2"/>
        <v>2025</v>
      </c>
    </row>
    <row r="41" spans="1:11" x14ac:dyDescent="0.3">
      <c r="A41" t="s">
        <v>4130</v>
      </c>
      <c r="B41" t="s">
        <v>539</v>
      </c>
      <c r="C41" t="s">
        <v>68</v>
      </c>
      <c r="D41" s="1">
        <v>45768</v>
      </c>
      <c r="E41">
        <v>9.1999999999999993</v>
      </c>
      <c r="F41" t="s">
        <v>4090</v>
      </c>
      <c r="G41" s="1">
        <v>45795</v>
      </c>
      <c r="H41" t="s">
        <v>4091</v>
      </c>
      <c r="I41" t="str">
        <f t="shared" si="0"/>
        <v>April</v>
      </c>
      <c r="J41" t="str">
        <f t="shared" si="1"/>
        <v>Q2</v>
      </c>
      <c r="K41">
        <f t="shared" si="2"/>
        <v>2025</v>
      </c>
    </row>
    <row r="42" spans="1:11" x14ac:dyDescent="0.3">
      <c r="A42" t="s">
        <v>4131</v>
      </c>
      <c r="B42" t="s">
        <v>233</v>
      </c>
      <c r="C42" t="s">
        <v>51</v>
      </c>
      <c r="D42" s="1">
        <v>45984</v>
      </c>
      <c r="E42">
        <v>5.7</v>
      </c>
      <c r="F42" t="s">
        <v>4090</v>
      </c>
      <c r="G42" s="1">
        <v>46000</v>
      </c>
      <c r="H42" t="s">
        <v>4091</v>
      </c>
      <c r="I42" t="str">
        <f t="shared" si="0"/>
        <v>November</v>
      </c>
      <c r="J42" t="str">
        <f t="shared" si="1"/>
        <v>Q4</v>
      </c>
      <c r="K42">
        <f t="shared" si="2"/>
        <v>2025</v>
      </c>
    </row>
    <row r="43" spans="1:11" x14ac:dyDescent="0.3">
      <c r="A43" t="s">
        <v>4132</v>
      </c>
      <c r="B43" t="s">
        <v>365</v>
      </c>
      <c r="C43" t="s">
        <v>108</v>
      </c>
      <c r="D43" s="1">
        <v>45768</v>
      </c>
      <c r="E43">
        <v>8.6</v>
      </c>
      <c r="F43" t="s">
        <v>4090</v>
      </c>
      <c r="G43" s="1">
        <v>45800</v>
      </c>
      <c r="H43" t="s">
        <v>4091</v>
      </c>
      <c r="I43" t="str">
        <f t="shared" si="0"/>
        <v>April</v>
      </c>
      <c r="J43" t="str">
        <f t="shared" si="1"/>
        <v>Q2</v>
      </c>
      <c r="K43">
        <f t="shared" si="2"/>
        <v>2025</v>
      </c>
    </row>
    <row r="44" spans="1:11" x14ac:dyDescent="0.3">
      <c r="A44" t="s">
        <v>4133</v>
      </c>
      <c r="B44" t="s">
        <v>146</v>
      </c>
      <c r="C44" t="s">
        <v>147</v>
      </c>
      <c r="D44" s="1">
        <v>45837</v>
      </c>
      <c r="E44">
        <v>6.2</v>
      </c>
      <c r="F44" t="s">
        <v>4090</v>
      </c>
      <c r="G44" s="1">
        <v>45868</v>
      </c>
      <c r="H44" t="s">
        <v>4091</v>
      </c>
      <c r="I44" t="str">
        <f t="shared" si="0"/>
        <v>June</v>
      </c>
      <c r="J44" t="str">
        <f t="shared" si="1"/>
        <v>Q2</v>
      </c>
      <c r="K44">
        <f t="shared" si="2"/>
        <v>2025</v>
      </c>
    </row>
    <row r="45" spans="1:11" x14ac:dyDescent="0.3">
      <c r="A45" t="s">
        <v>4134</v>
      </c>
      <c r="B45" t="s">
        <v>357</v>
      </c>
      <c r="C45" t="s">
        <v>187</v>
      </c>
      <c r="D45" s="1">
        <v>45834</v>
      </c>
      <c r="E45">
        <v>10.3</v>
      </c>
      <c r="F45" t="s">
        <v>4090</v>
      </c>
      <c r="G45" s="1">
        <v>45873</v>
      </c>
      <c r="H45" t="s">
        <v>4091</v>
      </c>
      <c r="I45" t="str">
        <f t="shared" si="0"/>
        <v>June</v>
      </c>
      <c r="J45" t="str">
        <f t="shared" si="1"/>
        <v>Q2</v>
      </c>
      <c r="K45">
        <f t="shared" si="2"/>
        <v>2025</v>
      </c>
    </row>
    <row r="46" spans="1:11" x14ac:dyDescent="0.3">
      <c r="A46" t="s">
        <v>4135</v>
      </c>
      <c r="B46" t="s">
        <v>491</v>
      </c>
      <c r="C46" t="s">
        <v>51</v>
      </c>
      <c r="D46" s="1">
        <v>45978</v>
      </c>
      <c r="E46">
        <v>10.5</v>
      </c>
      <c r="F46" t="s">
        <v>4090</v>
      </c>
      <c r="G46" s="1">
        <v>45994</v>
      </c>
      <c r="H46" t="s">
        <v>4091</v>
      </c>
      <c r="I46" t="str">
        <f t="shared" si="0"/>
        <v>November</v>
      </c>
      <c r="J46" t="str">
        <f t="shared" si="1"/>
        <v>Q4</v>
      </c>
      <c r="K46">
        <f t="shared" si="2"/>
        <v>2025</v>
      </c>
    </row>
    <row r="47" spans="1:11" x14ac:dyDescent="0.3">
      <c r="A47" t="s">
        <v>4136</v>
      </c>
      <c r="B47" t="s">
        <v>67</v>
      </c>
      <c r="C47" t="s">
        <v>68</v>
      </c>
      <c r="D47" s="1">
        <v>45750</v>
      </c>
      <c r="E47">
        <v>11.3</v>
      </c>
      <c r="F47" t="s">
        <v>4090</v>
      </c>
      <c r="G47" s="1">
        <v>45784</v>
      </c>
      <c r="H47" t="s">
        <v>4091</v>
      </c>
      <c r="I47" t="str">
        <f t="shared" si="0"/>
        <v>April</v>
      </c>
      <c r="J47" t="str">
        <f t="shared" si="1"/>
        <v>Q2</v>
      </c>
      <c r="K47">
        <f t="shared" si="2"/>
        <v>2025</v>
      </c>
    </row>
    <row r="48" spans="1:11" x14ac:dyDescent="0.3">
      <c r="A48" t="s">
        <v>4137</v>
      </c>
      <c r="B48" t="s">
        <v>517</v>
      </c>
      <c r="C48" t="s">
        <v>326</v>
      </c>
      <c r="D48" s="1">
        <v>45778</v>
      </c>
      <c r="E48">
        <v>14.5</v>
      </c>
      <c r="F48" t="s">
        <v>4090</v>
      </c>
      <c r="G48" s="1">
        <v>45798</v>
      </c>
      <c r="H48" t="s">
        <v>4091</v>
      </c>
      <c r="I48" t="str">
        <f t="shared" si="0"/>
        <v>May</v>
      </c>
      <c r="J48" t="str">
        <f t="shared" si="1"/>
        <v>Q2</v>
      </c>
      <c r="K48">
        <f t="shared" si="2"/>
        <v>2025</v>
      </c>
    </row>
    <row r="49" spans="1:11" x14ac:dyDescent="0.3">
      <c r="A49" t="s">
        <v>4138</v>
      </c>
      <c r="B49" t="s">
        <v>537</v>
      </c>
      <c r="C49" t="s">
        <v>22</v>
      </c>
      <c r="D49" s="1">
        <v>45880</v>
      </c>
      <c r="E49">
        <v>10</v>
      </c>
      <c r="F49" t="s">
        <v>4090</v>
      </c>
      <c r="G49" s="1">
        <v>45898</v>
      </c>
      <c r="H49" t="s">
        <v>4091</v>
      </c>
      <c r="I49" t="str">
        <f t="shared" si="0"/>
        <v>August</v>
      </c>
      <c r="J49" t="str">
        <f t="shared" si="1"/>
        <v>Q3</v>
      </c>
      <c r="K49">
        <f t="shared" si="2"/>
        <v>2025</v>
      </c>
    </row>
    <row r="50" spans="1:11" x14ac:dyDescent="0.3">
      <c r="A50" t="s">
        <v>4139</v>
      </c>
      <c r="B50" t="s">
        <v>355</v>
      </c>
      <c r="C50" t="s">
        <v>187</v>
      </c>
      <c r="D50" s="1">
        <v>45836</v>
      </c>
      <c r="E50">
        <v>15.9</v>
      </c>
      <c r="F50" t="s">
        <v>4090</v>
      </c>
      <c r="G50" s="1">
        <v>45862</v>
      </c>
      <c r="H50" t="s">
        <v>4091</v>
      </c>
      <c r="I50" t="str">
        <f t="shared" si="0"/>
        <v>June</v>
      </c>
      <c r="J50" t="str">
        <f t="shared" si="1"/>
        <v>Q2</v>
      </c>
      <c r="K50">
        <f t="shared" si="2"/>
        <v>2025</v>
      </c>
    </row>
    <row r="51" spans="1:11" x14ac:dyDescent="0.3">
      <c r="A51" t="s">
        <v>4140</v>
      </c>
      <c r="B51" t="s">
        <v>243</v>
      </c>
      <c r="C51" t="s">
        <v>244</v>
      </c>
      <c r="D51" s="1">
        <v>45671</v>
      </c>
      <c r="E51">
        <v>4.5999999999999996</v>
      </c>
      <c r="F51" t="s">
        <v>4090</v>
      </c>
      <c r="G51" s="1">
        <v>45688</v>
      </c>
      <c r="H51" t="s">
        <v>4091</v>
      </c>
      <c r="I51" t="str">
        <f t="shared" si="0"/>
        <v>January</v>
      </c>
      <c r="J51" t="str">
        <f t="shared" si="1"/>
        <v>Q1</v>
      </c>
      <c r="K51">
        <f t="shared" si="2"/>
        <v>2025</v>
      </c>
    </row>
    <row r="52" spans="1:11" x14ac:dyDescent="0.3">
      <c r="A52" t="s">
        <v>4141</v>
      </c>
      <c r="B52" t="s">
        <v>550</v>
      </c>
      <c r="C52" t="s">
        <v>429</v>
      </c>
      <c r="D52" s="1">
        <v>45785</v>
      </c>
      <c r="E52">
        <v>8.9</v>
      </c>
      <c r="F52" t="s">
        <v>4090</v>
      </c>
      <c r="G52" s="1">
        <v>45801</v>
      </c>
      <c r="H52" t="s">
        <v>4091</v>
      </c>
      <c r="I52" t="str">
        <f t="shared" si="0"/>
        <v>May</v>
      </c>
      <c r="J52" t="str">
        <f t="shared" si="1"/>
        <v>Q2</v>
      </c>
      <c r="K52">
        <f t="shared" si="2"/>
        <v>2025</v>
      </c>
    </row>
    <row r="53" spans="1:11" x14ac:dyDescent="0.3">
      <c r="A53" t="s">
        <v>4142</v>
      </c>
      <c r="B53" t="s">
        <v>118</v>
      </c>
      <c r="C53" t="s">
        <v>99</v>
      </c>
      <c r="D53" s="1">
        <v>45896</v>
      </c>
      <c r="E53">
        <v>9.1</v>
      </c>
      <c r="F53" t="s">
        <v>4090</v>
      </c>
      <c r="G53" s="1">
        <v>45929</v>
      </c>
      <c r="H53" t="s">
        <v>4091</v>
      </c>
      <c r="I53" t="str">
        <f t="shared" si="0"/>
        <v>August</v>
      </c>
      <c r="J53" t="str">
        <f t="shared" si="1"/>
        <v>Q3</v>
      </c>
      <c r="K53">
        <f t="shared" si="2"/>
        <v>2025</v>
      </c>
    </row>
    <row r="54" spans="1:11" x14ac:dyDescent="0.3">
      <c r="A54" t="s">
        <v>4143</v>
      </c>
      <c r="B54" t="s">
        <v>380</v>
      </c>
      <c r="C54" t="s">
        <v>78</v>
      </c>
      <c r="D54" s="1">
        <v>45910</v>
      </c>
      <c r="E54">
        <v>9.8000000000000007</v>
      </c>
      <c r="F54" t="s">
        <v>4090</v>
      </c>
      <c r="G54" s="1">
        <v>45939</v>
      </c>
      <c r="H54" t="s">
        <v>4091</v>
      </c>
      <c r="I54" t="str">
        <f t="shared" si="0"/>
        <v>September</v>
      </c>
      <c r="J54" t="str">
        <f t="shared" si="1"/>
        <v>Q3</v>
      </c>
      <c r="K54">
        <f t="shared" si="2"/>
        <v>2025</v>
      </c>
    </row>
    <row r="55" spans="1:11" x14ac:dyDescent="0.3">
      <c r="A55" t="s">
        <v>4144</v>
      </c>
      <c r="B55" t="s">
        <v>455</v>
      </c>
      <c r="C55" t="s">
        <v>32</v>
      </c>
      <c r="D55" s="1">
        <v>45780</v>
      </c>
      <c r="E55">
        <v>10.3</v>
      </c>
      <c r="F55" t="s">
        <v>4090</v>
      </c>
      <c r="G55" s="1">
        <v>45806</v>
      </c>
      <c r="H55" t="s">
        <v>4091</v>
      </c>
      <c r="I55" t="str">
        <f t="shared" si="0"/>
        <v>May</v>
      </c>
      <c r="J55" t="str">
        <f t="shared" si="1"/>
        <v>Q2</v>
      </c>
      <c r="K55">
        <f t="shared" si="2"/>
        <v>2025</v>
      </c>
    </row>
    <row r="56" spans="1:11" x14ac:dyDescent="0.3">
      <c r="A56" t="s">
        <v>4145</v>
      </c>
      <c r="B56" t="s">
        <v>281</v>
      </c>
      <c r="C56" t="s">
        <v>244</v>
      </c>
      <c r="D56" s="1">
        <v>45668</v>
      </c>
      <c r="E56">
        <v>4.5999999999999996</v>
      </c>
      <c r="F56" t="s">
        <v>4090</v>
      </c>
      <c r="G56" s="1">
        <v>45692</v>
      </c>
      <c r="H56" t="s">
        <v>4091</v>
      </c>
      <c r="I56" t="str">
        <f t="shared" si="0"/>
        <v>January</v>
      </c>
      <c r="J56" t="str">
        <f t="shared" si="1"/>
        <v>Q1</v>
      </c>
      <c r="K56">
        <f t="shared" si="2"/>
        <v>2025</v>
      </c>
    </row>
    <row r="57" spans="1:11" x14ac:dyDescent="0.3">
      <c r="A57" t="s">
        <v>4146</v>
      </c>
      <c r="B57" t="s">
        <v>250</v>
      </c>
      <c r="C57" t="s">
        <v>251</v>
      </c>
      <c r="D57" s="1">
        <v>45830</v>
      </c>
      <c r="E57">
        <v>20.8</v>
      </c>
      <c r="F57" t="s">
        <v>4090</v>
      </c>
      <c r="G57" s="1">
        <v>45855</v>
      </c>
      <c r="H57" t="s">
        <v>4091</v>
      </c>
      <c r="I57" t="str">
        <f t="shared" si="0"/>
        <v>June</v>
      </c>
      <c r="J57" t="str">
        <f t="shared" si="1"/>
        <v>Q2</v>
      </c>
      <c r="K57">
        <f t="shared" si="2"/>
        <v>2025</v>
      </c>
    </row>
    <row r="58" spans="1:11" x14ac:dyDescent="0.3">
      <c r="A58" t="s">
        <v>4147</v>
      </c>
      <c r="B58" t="s">
        <v>116</v>
      </c>
      <c r="C58" t="s">
        <v>108</v>
      </c>
      <c r="D58" s="1">
        <v>45765</v>
      </c>
      <c r="E58">
        <v>14.6</v>
      </c>
      <c r="F58" t="s">
        <v>4090</v>
      </c>
      <c r="G58" s="1">
        <v>45791</v>
      </c>
      <c r="H58" t="s">
        <v>4091</v>
      </c>
      <c r="I58" t="str">
        <f t="shared" si="0"/>
        <v>April</v>
      </c>
      <c r="J58" t="str">
        <f t="shared" si="1"/>
        <v>Q2</v>
      </c>
      <c r="K58">
        <f t="shared" si="2"/>
        <v>2025</v>
      </c>
    </row>
    <row r="59" spans="1:11" x14ac:dyDescent="0.3">
      <c r="A59" t="s">
        <v>4148</v>
      </c>
      <c r="B59" t="s">
        <v>428</v>
      </c>
      <c r="C59" t="s">
        <v>429</v>
      </c>
      <c r="D59" s="1">
        <v>45787</v>
      </c>
      <c r="E59">
        <v>15.1</v>
      </c>
      <c r="F59" t="s">
        <v>4090</v>
      </c>
      <c r="G59" s="1">
        <v>45829</v>
      </c>
      <c r="H59" t="s">
        <v>4091</v>
      </c>
      <c r="I59" t="str">
        <f t="shared" si="0"/>
        <v>May</v>
      </c>
      <c r="J59" t="str">
        <f t="shared" si="1"/>
        <v>Q2</v>
      </c>
      <c r="K59">
        <f t="shared" si="2"/>
        <v>2025</v>
      </c>
    </row>
    <row r="60" spans="1:11" x14ac:dyDescent="0.3">
      <c r="A60" t="s">
        <v>4149</v>
      </c>
      <c r="B60" t="s">
        <v>315</v>
      </c>
      <c r="C60" t="s">
        <v>96</v>
      </c>
      <c r="D60" s="1">
        <v>45889</v>
      </c>
      <c r="E60">
        <v>26</v>
      </c>
      <c r="F60" t="s">
        <v>4090</v>
      </c>
      <c r="G60" s="1">
        <v>45905</v>
      </c>
      <c r="H60" t="s">
        <v>4091</v>
      </c>
      <c r="I60" t="str">
        <f t="shared" si="0"/>
        <v>August</v>
      </c>
      <c r="J60" t="str">
        <f t="shared" si="1"/>
        <v>Q3</v>
      </c>
      <c r="K60">
        <f t="shared" si="2"/>
        <v>2025</v>
      </c>
    </row>
    <row r="61" spans="1:11" x14ac:dyDescent="0.3">
      <c r="A61" t="s">
        <v>4150</v>
      </c>
      <c r="B61" t="s">
        <v>235</v>
      </c>
      <c r="C61" t="s">
        <v>65</v>
      </c>
      <c r="D61" s="1">
        <v>45939</v>
      </c>
      <c r="E61">
        <v>14.3</v>
      </c>
      <c r="F61" t="s">
        <v>4090</v>
      </c>
      <c r="G61" s="1">
        <v>45965</v>
      </c>
      <c r="H61" t="s">
        <v>4091</v>
      </c>
      <c r="I61" t="str">
        <f t="shared" si="0"/>
        <v>October</v>
      </c>
      <c r="J61" t="str">
        <f t="shared" si="1"/>
        <v>Q4</v>
      </c>
      <c r="K61">
        <f t="shared" si="2"/>
        <v>2025</v>
      </c>
    </row>
    <row r="62" spans="1:11" x14ac:dyDescent="0.3">
      <c r="A62" t="s">
        <v>4151</v>
      </c>
      <c r="B62" t="s">
        <v>194</v>
      </c>
      <c r="C62" t="s">
        <v>195</v>
      </c>
      <c r="D62" s="1">
        <v>45875</v>
      </c>
      <c r="E62">
        <v>8.8000000000000007</v>
      </c>
      <c r="F62" t="s">
        <v>4090</v>
      </c>
      <c r="G62" s="1">
        <v>45919</v>
      </c>
      <c r="H62" t="s">
        <v>4091</v>
      </c>
      <c r="I62" t="str">
        <f t="shared" si="0"/>
        <v>August</v>
      </c>
      <c r="J62" t="str">
        <f t="shared" si="1"/>
        <v>Q3</v>
      </c>
      <c r="K62">
        <f t="shared" si="2"/>
        <v>2025</v>
      </c>
    </row>
    <row r="63" spans="1:11" x14ac:dyDescent="0.3">
      <c r="A63" t="s">
        <v>4152</v>
      </c>
      <c r="B63" t="s">
        <v>433</v>
      </c>
      <c r="C63" t="s">
        <v>99</v>
      </c>
      <c r="D63" s="1">
        <v>45870</v>
      </c>
      <c r="E63">
        <v>3</v>
      </c>
      <c r="F63" t="s">
        <v>4090</v>
      </c>
      <c r="G63" s="1">
        <v>45909</v>
      </c>
      <c r="H63" t="s">
        <v>4091</v>
      </c>
      <c r="I63" t="str">
        <f t="shared" si="0"/>
        <v>August</v>
      </c>
      <c r="J63" t="str">
        <f t="shared" si="1"/>
        <v>Q3</v>
      </c>
      <c r="K63">
        <f t="shared" si="2"/>
        <v>2025</v>
      </c>
    </row>
    <row r="64" spans="1:11" x14ac:dyDescent="0.3">
      <c r="A64" t="s">
        <v>4153</v>
      </c>
      <c r="B64" t="s">
        <v>2452</v>
      </c>
      <c r="C64" t="s">
        <v>195</v>
      </c>
      <c r="D64" s="1">
        <v>45862</v>
      </c>
      <c r="E64">
        <v>5.0999999999999996</v>
      </c>
      <c r="F64" t="s">
        <v>4090</v>
      </c>
      <c r="G64" s="1">
        <v>45886</v>
      </c>
      <c r="H64" t="s">
        <v>4091</v>
      </c>
      <c r="I64" t="str">
        <f t="shared" si="0"/>
        <v>July</v>
      </c>
      <c r="J64" t="str">
        <f t="shared" si="1"/>
        <v>Q3</v>
      </c>
      <c r="K64">
        <f t="shared" si="2"/>
        <v>2025</v>
      </c>
    </row>
    <row r="65" spans="1:11" x14ac:dyDescent="0.3">
      <c r="A65" t="s">
        <v>4154</v>
      </c>
      <c r="B65" t="s">
        <v>291</v>
      </c>
      <c r="C65" t="s">
        <v>292</v>
      </c>
      <c r="D65" s="1">
        <v>45746</v>
      </c>
      <c r="E65">
        <v>15</v>
      </c>
      <c r="F65" t="s">
        <v>4090</v>
      </c>
      <c r="G65" s="1">
        <v>45785</v>
      </c>
      <c r="H65" t="s">
        <v>4091</v>
      </c>
      <c r="I65" t="str">
        <f t="shared" si="0"/>
        <v>March</v>
      </c>
      <c r="J65" t="str">
        <f t="shared" si="1"/>
        <v>Q1</v>
      </c>
      <c r="K65">
        <f t="shared" si="2"/>
        <v>2025</v>
      </c>
    </row>
    <row r="66" spans="1:11" x14ac:dyDescent="0.3">
      <c r="A66" t="s">
        <v>4155</v>
      </c>
      <c r="B66" t="s">
        <v>237</v>
      </c>
      <c r="C66" t="s">
        <v>37</v>
      </c>
      <c r="D66" s="1">
        <v>45733</v>
      </c>
      <c r="E66">
        <v>14.4</v>
      </c>
      <c r="F66" t="s">
        <v>4090</v>
      </c>
      <c r="G66" s="1">
        <v>45749</v>
      </c>
      <c r="H66" t="s">
        <v>4091</v>
      </c>
      <c r="I66" t="str">
        <f t="shared" ref="I66:I129" si="3">TEXT(D66,"mmmm")</f>
        <v>March</v>
      </c>
      <c r="J66" t="str">
        <f t="shared" ref="J66:J129" si="4">"Q"&amp;ROUNDUP(MONTH(D66)/3,0)</f>
        <v>Q1</v>
      </c>
      <c r="K66">
        <f t="shared" ref="K66:K129" si="5">YEAR(D66)</f>
        <v>2025</v>
      </c>
    </row>
    <row r="67" spans="1:11" x14ac:dyDescent="0.3">
      <c r="A67" t="s">
        <v>4156</v>
      </c>
      <c r="B67" t="s">
        <v>221</v>
      </c>
      <c r="C67" t="s">
        <v>96</v>
      </c>
      <c r="D67" s="1">
        <v>45892</v>
      </c>
      <c r="E67">
        <v>8.9</v>
      </c>
      <c r="F67" t="s">
        <v>4090</v>
      </c>
      <c r="G67" s="1">
        <v>45916</v>
      </c>
      <c r="H67" t="s">
        <v>4091</v>
      </c>
      <c r="I67" t="str">
        <f t="shared" si="3"/>
        <v>August</v>
      </c>
      <c r="J67" t="str">
        <f t="shared" si="4"/>
        <v>Q3</v>
      </c>
      <c r="K67">
        <f t="shared" si="5"/>
        <v>2025</v>
      </c>
    </row>
    <row r="68" spans="1:11" x14ac:dyDescent="0.3">
      <c r="A68" t="s">
        <v>4157</v>
      </c>
      <c r="B68" t="s">
        <v>311</v>
      </c>
      <c r="C68" t="s">
        <v>127</v>
      </c>
      <c r="D68" s="1">
        <v>45984</v>
      </c>
      <c r="E68">
        <v>6.7</v>
      </c>
      <c r="F68" t="s">
        <v>4090</v>
      </c>
      <c r="G68" s="1">
        <v>46007</v>
      </c>
      <c r="H68" t="s">
        <v>4091</v>
      </c>
      <c r="I68" t="str">
        <f t="shared" si="3"/>
        <v>November</v>
      </c>
      <c r="J68" t="str">
        <f t="shared" si="4"/>
        <v>Q4</v>
      </c>
      <c r="K68">
        <f t="shared" si="5"/>
        <v>2025</v>
      </c>
    </row>
    <row r="69" spans="1:11" x14ac:dyDescent="0.3">
      <c r="A69" t="s">
        <v>4158</v>
      </c>
      <c r="B69" t="s">
        <v>367</v>
      </c>
      <c r="C69" t="s">
        <v>176</v>
      </c>
      <c r="D69" s="1">
        <v>45736</v>
      </c>
      <c r="E69">
        <v>10.3</v>
      </c>
      <c r="F69" t="s">
        <v>4090</v>
      </c>
      <c r="G69" s="1">
        <v>45778</v>
      </c>
      <c r="H69" t="s">
        <v>4091</v>
      </c>
      <c r="I69" t="str">
        <f t="shared" si="3"/>
        <v>March</v>
      </c>
      <c r="J69" t="str">
        <f t="shared" si="4"/>
        <v>Q1</v>
      </c>
      <c r="K69">
        <f t="shared" si="5"/>
        <v>2025</v>
      </c>
    </row>
    <row r="70" spans="1:11" x14ac:dyDescent="0.3">
      <c r="A70" t="s">
        <v>4159</v>
      </c>
      <c r="B70" t="s">
        <v>493</v>
      </c>
      <c r="C70" t="s">
        <v>65</v>
      </c>
      <c r="D70" s="1">
        <v>45941</v>
      </c>
      <c r="E70">
        <v>18.5</v>
      </c>
      <c r="F70" t="s">
        <v>4090</v>
      </c>
      <c r="G70" s="1">
        <v>45958</v>
      </c>
      <c r="H70" t="s">
        <v>4091</v>
      </c>
      <c r="I70" t="str">
        <f t="shared" si="3"/>
        <v>October</v>
      </c>
      <c r="J70" t="str">
        <f t="shared" si="4"/>
        <v>Q4</v>
      </c>
      <c r="K70">
        <f t="shared" si="5"/>
        <v>2025</v>
      </c>
    </row>
    <row r="71" spans="1:11" x14ac:dyDescent="0.3">
      <c r="A71" t="s">
        <v>4160</v>
      </c>
      <c r="B71" t="s">
        <v>275</v>
      </c>
      <c r="C71" t="s">
        <v>16</v>
      </c>
      <c r="D71" s="1">
        <v>45765</v>
      </c>
      <c r="E71">
        <v>3.2</v>
      </c>
      <c r="F71" t="s">
        <v>4090</v>
      </c>
      <c r="G71" s="1">
        <v>45790</v>
      </c>
      <c r="H71" t="s">
        <v>4091</v>
      </c>
      <c r="I71" t="str">
        <f t="shared" si="3"/>
        <v>April</v>
      </c>
      <c r="J71" t="str">
        <f t="shared" si="4"/>
        <v>Q2</v>
      </c>
      <c r="K71">
        <f t="shared" si="5"/>
        <v>2025</v>
      </c>
    </row>
    <row r="72" spans="1:11" x14ac:dyDescent="0.3">
      <c r="A72" t="s">
        <v>4161</v>
      </c>
      <c r="B72" t="s">
        <v>175</v>
      </c>
      <c r="C72" t="s">
        <v>176</v>
      </c>
      <c r="D72" s="1">
        <v>45739</v>
      </c>
      <c r="E72">
        <v>23.7</v>
      </c>
      <c r="F72" t="s">
        <v>4090</v>
      </c>
      <c r="G72" s="1">
        <v>45768</v>
      </c>
      <c r="H72" t="s">
        <v>4091</v>
      </c>
      <c r="I72" t="str">
        <f t="shared" si="3"/>
        <v>March</v>
      </c>
      <c r="J72" t="str">
        <f t="shared" si="4"/>
        <v>Q1</v>
      </c>
      <c r="K72">
        <f t="shared" si="5"/>
        <v>2025</v>
      </c>
    </row>
    <row r="73" spans="1:11" x14ac:dyDescent="0.3">
      <c r="A73" t="s">
        <v>4162</v>
      </c>
      <c r="B73" t="s">
        <v>418</v>
      </c>
      <c r="C73" t="s">
        <v>166</v>
      </c>
      <c r="D73" s="1">
        <v>45799</v>
      </c>
      <c r="E73">
        <v>15.1</v>
      </c>
      <c r="F73" t="s">
        <v>4090</v>
      </c>
      <c r="G73" s="1">
        <v>45833</v>
      </c>
      <c r="H73" t="s">
        <v>4091</v>
      </c>
      <c r="I73" t="str">
        <f t="shared" si="3"/>
        <v>May</v>
      </c>
      <c r="J73" t="str">
        <f t="shared" si="4"/>
        <v>Q2</v>
      </c>
      <c r="K73">
        <f t="shared" si="5"/>
        <v>2025</v>
      </c>
    </row>
    <row r="74" spans="1:11" x14ac:dyDescent="0.3">
      <c r="A74" t="s">
        <v>4163</v>
      </c>
      <c r="B74" t="s">
        <v>481</v>
      </c>
      <c r="C74" t="s">
        <v>22</v>
      </c>
      <c r="D74" s="1">
        <v>45859</v>
      </c>
      <c r="E74">
        <v>3.3</v>
      </c>
      <c r="F74" t="s">
        <v>4090</v>
      </c>
      <c r="G74" s="1">
        <v>45881</v>
      </c>
      <c r="H74" t="s">
        <v>4091</v>
      </c>
      <c r="I74" t="str">
        <f t="shared" si="3"/>
        <v>July</v>
      </c>
      <c r="J74" t="str">
        <f t="shared" si="4"/>
        <v>Q3</v>
      </c>
      <c r="K74">
        <f t="shared" si="5"/>
        <v>2025</v>
      </c>
    </row>
    <row r="75" spans="1:11" x14ac:dyDescent="0.3">
      <c r="A75" t="s">
        <v>4164</v>
      </c>
      <c r="B75" t="s">
        <v>122</v>
      </c>
      <c r="C75" t="s">
        <v>123</v>
      </c>
      <c r="D75" s="1">
        <v>45816</v>
      </c>
      <c r="E75">
        <v>11</v>
      </c>
      <c r="F75" t="s">
        <v>4090</v>
      </c>
      <c r="G75" s="1">
        <v>45860</v>
      </c>
      <c r="H75" t="s">
        <v>4091</v>
      </c>
      <c r="I75" t="str">
        <f t="shared" si="3"/>
        <v>June</v>
      </c>
      <c r="J75" t="str">
        <f t="shared" si="4"/>
        <v>Q2</v>
      </c>
      <c r="K75">
        <f t="shared" si="5"/>
        <v>2025</v>
      </c>
    </row>
    <row r="76" spans="1:11" x14ac:dyDescent="0.3">
      <c r="A76" t="s">
        <v>4165</v>
      </c>
      <c r="B76" t="s">
        <v>325</v>
      </c>
      <c r="C76" t="s">
        <v>326</v>
      </c>
      <c r="D76" s="1">
        <v>45776</v>
      </c>
      <c r="E76">
        <v>13.5</v>
      </c>
      <c r="F76" t="s">
        <v>4090</v>
      </c>
      <c r="G76" s="1">
        <v>45810</v>
      </c>
      <c r="H76" t="s">
        <v>4091</v>
      </c>
      <c r="I76" t="str">
        <f t="shared" si="3"/>
        <v>April</v>
      </c>
      <c r="J76" t="str">
        <f t="shared" si="4"/>
        <v>Q2</v>
      </c>
      <c r="K76">
        <f t="shared" si="5"/>
        <v>2025</v>
      </c>
    </row>
    <row r="77" spans="1:11" x14ac:dyDescent="0.3">
      <c r="A77" t="s">
        <v>4166</v>
      </c>
      <c r="B77" t="s">
        <v>477</v>
      </c>
      <c r="C77" t="s">
        <v>156</v>
      </c>
      <c r="D77" s="1">
        <v>45764</v>
      </c>
      <c r="E77">
        <v>11.6</v>
      </c>
      <c r="F77" t="s">
        <v>4090</v>
      </c>
      <c r="G77" s="1">
        <v>45800</v>
      </c>
      <c r="H77" t="s">
        <v>4091</v>
      </c>
      <c r="I77" t="str">
        <f t="shared" si="3"/>
        <v>April</v>
      </c>
      <c r="J77" t="str">
        <f t="shared" si="4"/>
        <v>Q2</v>
      </c>
      <c r="K77">
        <f t="shared" si="5"/>
        <v>2025</v>
      </c>
    </row>
    <row r="78" spans="1:11" x14ac:dyDescent="0.3">
      <c r="A78" t="s">
        <v>4167</v>
      </c>
      <c r="B78" t="s">
        <v>84</v>
      </c>
      <c r="C78" t="s">
        <v>85</v>
      </c>
      <c r="D78" s="1">
        <v>45855</v>
      </c>
      <c r="E78">
        <v>4.2</v>
      </c>
      <c r="F78" t="s">
        <v>4090</v>
      </c>
      <c r="G78" s="1">
        <v>45871</v>
      </c>
      <c r="H78" t="s">
        <v>4091</v>
      </c>
      <c r="I78" t="str">
        <f t="shared" si="3"/>
        <v>July</v>
      </c>
      <c r="J78" t="str">
        <f t="shared" si="4"/>
        <v>Q3</v>
      </c>
      <c r="K78">
        <f t="shared" si="5"/>
        <v>2025</v>
      </c>
    </row>
    <row r="79" spans="1:11" x14ac:dyDescent="0.3">
      <c r="A79" t="s">
        <v>4168</v>
      </c>
      <c r="B79" t="s">
        <v>431</v>
      </c>
      <c r="C79" t="s">
        <v>73</v>
      </c>
      <c r="D79" s="1">
        <v>45829</v>
      </c>
      <c r="E79">
        <v>20.9</v>
      </c>
      <c r="F79" t="s">
        <v>4090</v>
      </c>
      <c r="G79" s="1">
        <v>45851</v>
      </c>
      <c r="H79" t="s">
        <v>4091</v>
      </c>
      <c r="I79" t="str">
        <f t="shared" si="3"/>
        <v>June</v>
      </c>
      <c r="J79" t="str">
        <f t="shared" si="4"/>
        <v>Q2</v>
      </c>
      <c r="K79">
        <f t="shared" si="5"/>
        <v>2025</v>
      </c>
    </row>
    <row r="80" spans="1:11" x14ac:dyDescent="0.3">
      <c r="A80" t="s">
        <v>4169</v>
      </c>
      <c r="B80" t="s">
        <v>64</v>
      </c>
      <c r="C80" t="s">
        <v>65</v>
      </c>
      <c r="D80" s="1">
        <v>45959</v>
      </c>
      <c r="E80">
        <v>15.1</v>
      </c>
      <c r="F80" t="s">
        <v>4090</v>
      </c>
      <c r="G80" s="1">
        <v>45997</v>
      </c>
      <c r="H80" t="s">
        <v>4091</v>
      </c>
      <c r="I80" t="str">
        <f t="shared" si="3"/>
        <v>October</v>
      </c>
      <c r="J80" t="str">
        <f t="shared" si="4"/>
        <v>Q4</v>
      </c>
      <c r="K80">
        <f t="shared" si="5"/>
        <v>2025</v>
      </c>
    </row>
    <row r="81" spans="1:11" x14ac:dyDescent="0.3">
      <c r="A81" t="s">
        <v>4170</v>
      </c>
      <c r="B81" t="s">
        <v>412</v>
      </c>
      <c r="C81" t="s">
        <v>58</v>
      </c>
      <c r="D81" s="1">
        <v>45820</v>
      </c>
      <c r="E81">
        <v>11.3</v>
      </c>
      <c r="F81" t="s">
        <v>4090</v>
      </c>
      <c r="G81" s="1">
        <v>45861</v>
      </c>
      <c r="H81" t="s">
        <v>4091</v>
      </c>
      <c r="I81" t="str">
        <f t="shared" si="3"/>
        <v>June</v>
      </c>
      <c r="J81" t="str">
        <f t="shared" si="4"/>
        <v>Q2</v>
      </c>
      <c r="K81">
        <f t="shared" si="5"/>
        <v>2025</v>
      </c>
    </row>
    <row r="82" spans="1:11" x14ac:dyDescent="0.3">
      <c r="A82" t="s">
        <v>4171</v>
      </c>
      <c r="B82" t="s">
        <v>2500</v>
      </c>
      <c r="C82" t="s">
        <v>156</v>
      </c>
      <c r="D82" s="1">
        <v>45736</v>
      </c>
      <c r="E82">
        <v>25.7</v>
      </c>
      <c r="F82" t="s">
        <v>4090</v>
      </c>
      <c r="G82" s="1">
        <v>45763</v>
      </c>
      <c r="H82" t="s">
        <v>4091</v>
      </c>
      <c r="I82" t="str">
        <f t="shared" si="3"/>
        <v>March</v>
      </c>
      <c r="J82" t="str">
        <f t="shared" si="4"/>
        <v>Q1</v>
      </c>
      <c r="K82">
        <f t="shared" si="5"/>
        <v>2025</v>
      </c>
    </row>
    <row r="83" spans="1:11" x14ac:dyDescent="0.3">
      <c r="A83" t="s">
        <v>4172</v>
      </c>
      <c r="B83" t="s">
        <v>61</v>
      </c>
      <c r="C83" t="s">
        <v>62</v>
      </c>
      <c r="D83" s="1">
        <v>45708</v>
      </c>
      <c r="E83">
        <v>13.4</v>
      </c>
      <c r="F83" t="s">
        <v>4090</v>
      </c>
      <c r="G83" s="1">
        <v>45730</v>
      </c>
      <c r="H83" t="s">
        <v>4091</v>
      </c>
      <c r="I83" t="str">
        <f t="shared" si="3"/>
        <v>February</v>
      </c>
      <c r="J83" t="str">
        <f t="shared" si="4"/>
        <v>Q1</v>
      </c>
      <c r="K83">
        <f t="shared" si="5"/>
        <v>2025</v>
      </c>
    </row>
    <row r="84" spans="1:11" x14ac:dyDescent="0.3">
      <c r="A84" t="s">
        <v>4173</v>
      </c>
      <c r="B84" t="s">
        <v>501</v>
      </c>
      <c r="C84" t="s">
        <v>108</v>
      </c>
      <c r="D84" s="1">
        <v>45787</v>
      </c>
      <c r="E84">
        <v>13.4</v>
      </c>
      <c r="F84" t="s">
        <v>4090</v>
      </c>
      <c r="G84" s="1">
        <v>45810</v>
      </c>
      <c r="H84" t="s">
        <v>4091</v>
      </c>
      <c r="I84" t="str">
        <f t="shared" si="3"/>
        <v>May</v>
      </c>
      <c r="J84" t="str">
        <f t="shared" si="4"/>
        <v>Q2</v>
      </c>
      <c r="K84">
        <f t="shared" si="5"/>
        <v>2025</v>
      </c>
    </row>
    <row r="85" spans="1:11" x14ac:dyDescent="0.3">
      <c r="A85" t="s">
        <v>4174</v>
      </c>
      <c r="B85" t="s">
        <v>137</v>
      </c>
      <c r="C85" t="s">
        <v>58</v>
      </c>
      <c r="D85" s="1">
        <v>45824</v>
      </c>
      <c r="E85">
        <v>20.7</v>
      </c>
      <c r="F85" t="s">
        <v>4090</v>
      </c>
      <c r="G85" s="1">
        <v>45846</v>
      </c>
      <c r="H85" t="s">
        <v>4091</v>
      </c>
      <c r="I85" t="str">
        <f t="shared" si="3"/>
        <v>June</v>
      </c>
      <c r="J85" t="str">
        <f t="shared" si="4"/>
        <v>Q2</v>
      </c>
      <c r="K85">
        <f t="shared" si="5"/>
        <v>2025</v>
      </c>
    </row>
    <row r="86" spans="1:11" x14ac:dyDescent="0.3">
      <c r="A86" t="s">
        <v>4175</v>
      </c>
      <c r="B86" t="s">
        <v>253</v>
      </c>
      <c r="C86" t="s">
        <v>166</v>
      </c>
      <c r="D86" s="1">
        <v>45788</v>
      </c>
      <c r="E86">
        <v>7.8</v>
      </c>
      <c r="F86" t="s">
        <v>4090</v>
      </c>
      <c r="G86" s="1">
        <v>45823</v>
      </c>
      <c r="H86" t="s">
        <v>4091</v>
      </c>
      <c r="I86" t="str">
        <f t="shared" si="3"/>
        <v>May</v>
      </c>
      <c r="J86" t="str">
        <f t="shared" si="4"/>
        <v>Q2</v>
      </c>
      <c r="K86">
        <f t="shared" si="5"/>
        <v>2025</v>
      </c>
    </row>
    <row r="87" spans="1:11" x14ac:dyDescent="0.3">
      <c r="A87" t="s">
        <v>4176</v>
      </c>
      <c r="B87" t="s">
        <v>361</v>
      </c>
      <c r="C87" t="s">
        <v>183</v>
      </c>
      <c r="D87" s="1">
        <v>45874</v>
      </c>
      <c r="E87">
        <v>9</v>
      </c>
      <c r="F87" t="s">
        <v>4090</v>
      </c>
      <c r="G87" s="1">
        <v>45908</v>
      </c>
      <c r="H87" t="s">
        <v>4091</v>
      </c>
      <c r="I87" t="str">
        <f t="shared" si="3"/>
        <v>August</v>
      </c>
      <c r="J87" t="str">
        <f t="shared" si="4"/>
        <v>Q3</v>
      </c>
      <c r="K87">
        <f t="shared" si="5"/>
        <v>2025</v>
      </c>
    </row>
    <row r="88" spans="1:11" x14ac:dyDescent="0.3">
      <c r="A88" t="s">
        <v>4177</v>
      </c>
      <c r="B88" t="s">
        <v>554</v>
      </c>
      <c r="C88" t="s">
        <v>147</v>
      </c>
      <c r="D88" s="1">
        <v>45837</v>
      </c>
      <c r="E88">
        <v>11.4</v>
      </c>
      <c r="F88" t="s">
        <v>4090</v>
      </c>
      <c r="G88" s="1">
        <v>45862</v>
      </c>
      <c r="H88" t="s">
        <v>4091</v>
      </c>
      <c r="I88" t="str">
        <f t="shared" si="3"/>
        <v>June</v>
      </c>
      <c r="J88" t="str">
        <f t="shared" si="4"/>
        <v>Q2</v>
      </c>
      <c r="K88">
        <f t="shared" si="5"/>
        <v>2025</v>
      </c>
    </row>
    <row r="89" spans="1:11" x14ac:dyDescent="0.3">
      <c r="A89" t="s">
        <v>4178</v>
      </c>
      <c r="B89" t="s">
        <v>227</v>
      </c>
      <c r="C89" t="s">
        <v>16</v>
      </c>
      <c r="D89" s="1">
        <v>45781</v>
      </c>
      <c r="E89">
        <v>13.9</v>
      </c>
      <c r="F89" t="s">
        <v>4090</v>
      </c>
      <c r="G89" s="1">
        <v>45818</v>
      </c>
      <c r="H89" t="s">
        <v>4091</v>
      </c>
      <c r="I89" t="str">
        <f t="shared" si="3"/>
        <v>May</v>
      </c>
      <c r="J89" t="str">
        <f t="shared" si="4"/>
        <v>Q2</v>
      </c>
      <c r="K89">
        <f t="shared" si="5"/>
        <v>2025</v>
      </c>
    </row>
    <row r="90" spans="1:11" x14ac:dyDescent="0.3">
      <c r="A90" t="s">
        <v>4179</v>
      </c>
      <c r="B90" t="s">
        <v>408</v>
      </c>
      <c r="C90" t="s">
        <v>16</v>
      </c>
      <c r="D90" s="1">
        <v>45775</v>
      </c>
      <c r="E90">
        <v>10.9</v>
      </c>
      <c r="F90" t="s">
        <v>4090</v>
      </c>
      <c r="G90" s="1">
        <v>45791</v>
      </c>
      <c r="H90" t="s">
        <v>4091</v>
      </c>
      <c r="I90" t="str">
        <f t="shared" si="3"/>
        <v>April</v>
      </c>
      <c r="J90" t="str">
        <f t="shared" si="4"/>
        <v>Q2</v>
      </c>
      <c r="K90">
        <f t="shared" si="5"/>
        <v>2025</v>
      </c>
    </row>
    <row r="91" spans="1:11" x14ac:dyDescent="0.3">
      <c r="A91" t="s">
        <v>4180</v>
      </c>
      <c r="B91" t="s">
        <v>336</v>
      </c>
      <c r="C91" t="s">
        <v>337</v>
      </c>
      <c r="D91" s="1">
        <v>45870</v>
      </c>
      <c r="E91">
        <v>20.2</v>
      </c>
      <c r="F91" t="s">
        <v>4090</v>
      </c>
      <c r="G91" s="1">
        <v>45885</v>
      </c>
      <c r="H91" t="s">
        <v>4091</v>
      </c>
      <c r="I91" t="str">
        <f t="shared" si="3"/>
        <v>August</v>
      </c>
      <c r="J91" t="str">
        <f t="shared" si="4"/>
        <v>Q3</v>
      </c>
      <c r="K91">
        <f t="shared" si="5"/>
        <v>2025</v>
      </c>
    </row>
    <row r="92" spans="1:11" x14ac:dyDescent="0.3">
      <c r="A92" t="s">
        <v>4181</v>
      </c>
      <c r="B92" t="s">
        <v>1455</v>
      </c>
      <c r="C92" t="s">
        <v>41</v>
      </c>
      <c r="D92" s="1">
        <v>45844</v>
      </c>
      <c r="E92">
        <v>10.4</v>
      </c>
      <c r="F92" t="s">
        <v>4090</v>
      </c>
      <c r="G92" s="1">
        <v>45880</v>
      </c>
      <c r="H92" t="s">
        <v>4091</v>
      </c>
      <c r="I92" t="str">
        <f t="shared" si="3"/>
        <v>July</v>
      </c>
      <c r="J92" t="str">
        <f t="shared" si="4"/>
        <v>Q3</v>
      </c>
      <c r="K92">
        <f t="shared" si="5"/>
        <v>2025</v>
      </c>
    </row>
    <row r="93" spans="1:11" x14ac:dyDescent="0.3">
      <c r="A93" t="s">
        <v>4182</v>
      </c>
      <c r="B93" t="s">
        <v>525</v>
      </c>
      <c r="C93" t="s">
        <v>260</v>
      </c>
      <c r="D93" s="1">
        <v>45769</v>
      </c>
      <c r="E93">
        <v>22.8</v>
      </c>
      <c r="F93" t="s">
        <v>4090</v>
      </c>
      <c r="G93" s="1">
        <v>45799</v>
      </c>
      <c r="H93" t="s">
        <v>4091</v>
      </c>
      <c r="I93" t="str">
        <f t="shared" si="3"/>
        <v>April</v>
      </c>
      <c r="J93" t="str">
        <f t="shared" si="4"/>
        <v>Q2</v>
      </c>
      <c r="K93">
        <f t="shared" si="5"/>
        <v>2025</v>
      </c>
    </row>
    <row r="94" spans="1:11" x14ac:dyDescent="0.3">
      <c r="A94" t="s">
        <v>4183</v>
      </c>
      <c r="B94" t="s">
        <v>178</v>
      </c>
      <c r="C94" t="s">
        <v>92</v>
      </c>
      <c r="D94" s="1">
        <v>45774</v>
      </c>
      <c r="E94">
        <v>12.8</v>
      </c>
      <c r="F94" t="s">
        <v>4090</v>
      </c>
      <c r="G94" s="1">
        <v>45802</v>
      </c>
      <c r="H94" t="s">
        <v>4091</v>
      </c>
      <c r="I94" t="str">
        <f t="shared" si="3"/>
        <v>April</v>
      </c>
      <c r="J94" t="str">
        <f t="shared" si="4"/>
        <v>Q2</v>
      </c>
      <c r="K94">
        <f t="shared" si="5"/>
        <v>2025</v>
      </c>
    </row>
    <row r="95" spans="1:11" x14ac:dyDescent="0.3">
      <c r="A95" t="s">
        <v>4184</v>
      </c>
      <c r="B95" t="s">
        <v>384</v>
      </c>
      <c r="C95" t="s">
        <v>183</v>
      </c>
      <c r="D95" s="1">
        <v>45885</v>
      </c>
      <c r="E95">
        <v>11.4</v>
      </c>
      <c r="F95" t="s">
        <v>4090</v>
      </c>
      <c r="G95" s="1">
        <v>45906</v>
      </c>
      <c r="H95" t="s">
        <v>4091</v>
      </c>
      <c r="I95" t="str">
        <f t="shared" si="3"/>
        <v>August</v>
      </c>
      <c r="J95" t="str">
        <f t="shared" si="4"/>
        <v>Q3</v>
      </c>
      <c r="K95">
        <f t="shared" si="5"/>
        <v>2025</v>
      </c>
    </row>
    <row r="96" spans="1:11" x14ac:dyDescent="0.3">
      <c r="A96" t="s">
        <v>4185</v>
      </c>
      <c r="B96" t="s">
        <v>57</v>
      </c>
      <c r="C96" t="s">
        <v>58</v>
      </c>
      <c r="D96" s="1">
        <v>45829</v>
      </c>
      <c r="E96">
        <v>18.5</v>
      </c>
      <c r="F96" t="s">
        <v>4090</v>
      </c>
      <c r="G96" s="1">
        <v>45849</v>
      </c>
      <c r="H96" t="s">
        <v>4091</v>
      </c>
      <c r="I96" t="str">
        <f t="shared" si="3"/>
        <v>June</v>
      </c>
      <c r="J96" t="str">
        <f t="shared" si="4"/>
        <v>Q2</v>
      </c>
      <c r="K96">
        <f t="shared" si="5"/>
        <v>2025</v>
      </c>
    </row>
    <row r="97" spans="1:11" x14ac:dyDescent="0.3">
      <c r="A97" t="s">
        <v>4186</v>
      </c>
      <c r="B97" t="s">
        <v>483</v>
      </c>
      <c r="C97" t="s">
        <v>37</v>
      </c>
      <c r="D97" s="1">
        <v>45744</v>
      </c>
      <c r="E97">
        <v>12.1</v>
      </c>
      <c r="F97" t="s">
        <v>4090</v>
      </c>
      <c r="G97" s="1">
        <v>45768</v>
      </c>
      <c r="H97" t="s">
        <v>4091</v>
      </c>
      <c r="I97" t="str">
        <f t="shared" si="3"/>
        <v>March</v>
      </c>
      <c r="J97" t="str">
        <f t="shared" si="4"/>
        <v>Q1</v>
      </c>
      <c r="K97">
        <f t="shared" si="5"/>
        <v>2025</v>
      </c>
    </row>
    <row r="98" spans="1:11" x14ac:dyDescent="0.3">
      <c r="A98" t="s">
        <v>4187</v>
      </c>
      <c r="B98" t="s">
        <v>186</v>
      </c>
      <c r="C98" t="s">
        <v>187</v>
      </c>
      <c r="D98" s="1">
        <v>45847</v>
      </c>
      <c r="E98">
        <v>16.8</v>
      </c>
      <c r="F98" t="s">
        <v>4090</v>
      </c>
      <c r="G98" s="1">
        <v>45873</v>
      </c>
      <c r="H98" t="s">
        <v>4091</v>
      </c>
      <c r="I98" t="str">
        <f t="shared" si="3"/>
        <v>July</v>
      </c>
      <c r="J98" t="str">
        <f t="shared" si="4"/>
        <v>Q3</v>
      </c>
      <c r="K98">
        <f t="shared" si="5"/>
        <v>2025</v>
      </c>
    </row>
    <row r="99" spans="1:11" x14ac:dyDescent="0.3">
      <c r="A99" t="s">
        <v>4188</v>
      </c>
      <c r="B99" t="s">
        <v>334</v>
      </c>
      <c r="C99" t="s">
        <v>240</v>
      </c>
      <c r="D99" s="1">
        <v>45979</v>
      </c>
      <c r="E99">
        <v>4.5999999999999996</v>
      </c>
      <c r="F99" t="s">
        <v>4090</v>
      </c>
      <c r="G99" s="1">
        <v>45997</v>
      </c>
      <c r="H99" t="s">
        <v>4091</v>
      </c>
      <c r="I99" t="str">
        <f t="shared" si="3"/>
        <v>November</v>
      </c>
      <c r="J99" t="str">
        <f t="shared" si="4"/>
        <v>Q4</v>
      </c>
      <c r="K99">
        <f t="shared" si="5"/>
        <v>2025</v>
      </c>
    </row>
    <row r="100" spans="1:11" x14ac:dyDescent="0.3">
      <c r="A100" t="s">
        <v>4189</v>
      </c>
      <c r="B100" t="s">
        <v>410</v>
      </c>
      <c r="C100" t="s">
        <v>251</v>
      </c>
      <c r="D100" s="1">
        <v>45833</v>
      </c>
      <c r="E100">
        <v>20.399999999999999</v>
      </c>
      <c r="F100" t="s">
        <v>4090</v>
      </c>
      <c r="G100" s="1">
        <v>45871</v>
      </c>
      <c r="H100" t="s">
        <v>4091</v>
      </c>
      <c r="I100" t="str">
        <f t="shared" si="3"/>
        <v>June</v>
      </c>
      <c r="J100" t="str">
        <f t="shared" si="4"/>
        <v>Q2</v>
      </c>
      <c r="K100">
        <f t="shared" si="5"/>
        <v>2025</v>
      </c>
    </row>
    <row r="101" spans="1:11" x14ac:dyDescent="0.3">
      <c r="A101" t="s">
        <v>4190</v>
      </c>
      <c r="B101" t="s">
        <v>353</v>
      </c>
      <c r="C101" t="s">
        <v>73</v>
      </c>
      <c r="D101" s="1">
        <v>45831</v>
      </c>
      <c r="E101">
        <v>28.7</v>
      </c>
      <c r="F101" t="s">
        <v>4090</v>
      </c>
      <c r="G101" s="1">
        <v>45873</v>
      </c>
      <c r="H101" t="s">
        <v>4091</v>
      </c>
      <c r="I101" t="str">
        <f t="shared" si="3"/>
        <v>June</v>
      </c>
      <c r="J101" t="str">
        <f t="shared" si="4"/>
        <v>Q2</v>
      </c>
      <c r="K101">
        <f t="shared" si="5"/>
        <v>2025</v>
      </c>
    </row>
    <row r="102" spans="1:11" x14ac:dyDescent="0.3">
      <c r="A102" t="s">
        <v>4191</v>
      </c>
      <c r="B102" t="s">
        <v>130</v>
      </c>
      <c r="C102" t="s">
        <v>37</v>
      </c>
      <c r="D102" s="1">
        <v>45721</v>
      </c>
      <c r="E102">
        <v>16.7</v>
      </c>
      <c r="F102" t="s">
        <v>4090</v>
      </c>
      <c r="G102" s="1">
        <v>45766</v>
      </c>
      <c r="H102" t="s">
        <v>4091</v>
      </c>
      <c r="I102" t="str">
        <f t="shared" si="3"/>
        <v>March</v>
      </c>
      <c r="J102" t="str">
        <f t="shared" si="4"/>
        <v>Q1</v>
      </c>
      <c r="K102">
        <f t="shared" si="5"/>
        <v>2025</v>
      </c>
    </row>
    <row r="103" spans="1:11" x14ac:dyDescent="0.3">
      <c r="A103" t="s">
        <v>4192</v>
      </c>
      <c r="B103" t="s">
        <v>509</v>
      </c>
      <c r="C103" t="s">
        <v>240</v>
      </c>
      <c r="D103" s="1">
        <v>45969</v>
      </c>
      <c r="E103">
        <v>5.8</v>
      </c>
      <c r="F103" t="s">
        <v>4090</v>
      </c>
      <c r="G103" s="1">
        <v>46003</v>
      </c>
      <c r="H103" t="s">
        <v>4091</v>
      </c>
      <c r="I103" t="str">
        <f t="shared" si="3"/>
        <v>November</v>
      </c>
      <c r="J103" t="str">
        <f t="shared" si="4"/>
        <v>Q4</v>
      </c>
      <c r="K103">
        <f t="shared" si="5"/>
        <v>2025</v>
      </c>
    </row>
    <row r="104" spans="1:11" x14ac:dyDescent="0.3">
      <c r="A104" t="s">
        <v>4193</v>
      </c>
      <c r="B104" t="s">
        <v>523</v>
      </c>
      <c r="C104" t="s">
        <v>37</v>
      </c>
      <c r="D104" s="1">
        <v>45740</v>
      </c>
      <c r="E104">
        <v>10.199999999999999</v>
      </c>
      <c r="F104" t="s">
        <v>4090</v>
      </c>
      <c r="G104" s="1">
        <v>45782</v>
      </c>
      <c r="H104" t="s">
        <v>4091</v>
      </c>
      <c r="I104" t="str">
        <f t="shared" si="3"/>
        <v>March</v>
      </c>
      <c r="J104" t="str">
        <f t="shared" si="4"/>
        <v>Q1</v>
      </c>
      <c r="K104">
        <f t="shared" si="5"/>
        <v>2025</v>
      </c>
    </row>
    <row r="105" spans="1:11" x14ac:dyDescent="0.3">
      <c r="A105" t="s">
        <v>4194</v>
      </c>
      <c r="B105" t="s">
        <v>386</v>
      </c>
      <c r="C105" t="s">
        <v>65</v>
      </c>
      <c r="D105" s="1">
        <v>45965</v>
      </c>
      <c r="E105">
        <v>20.8</v>
      </c>
      <c r="F105" t="s">
        <v>4090</v>
      </c>
      <c r="G105" s="1">
        <v>45988</v>
      </c>
      <c r="H105" t="s">
        <v>4091</v>
      </c>
      <c r="I105" t="str">
        <f t="shared" si="3"/>
        <v>November</v>
      </c>
      <c r="J105" t="str">
        <f t="shared" si="4"/>
        <v>Q4</v>
      </c>
      <c r="K105">
        <f t="shared" si="5"/>
        <v>2025</v>
      </c>
    </row>
    <row r="106" spans="1:11" x14ac:dyDescent="0.3">
      <c r="A106" t="s">
        <v>4195</v>
      </c>
      <c r="B106" t="s">
        <v>259</v>
      </c>
      <c r="C106" t="s">
        <v>260</v>
      </c>
      <c r="D106" s="1">
        <v>45756</v>
      </c>
      <c r="E106">
        <v>5.2</v>
      </c>
      <c r="F106" t="s">
        <v>4090</v>
      </c>
      <c r="G106" s="1">
        <v>45790</v>
      </c>
      <c r="H106" t="s">
        <v>4091</v>
      </c>
      <c r="I106" t="str">
        <f t="shared" si="3"/>
        <v>April</v>
      </c>
      <c r="J106" t="str">
        <f t="shared" si="4"/>
        <v>Q2</v>
      </c>
      <c r="K106">
        <f t="shared" si="5"/>
        <v>2025</v>
      </c>
    </row>
    <row r="107" spans="1:11" x14ac:dyDescent="0.3">
      <c r="A107" t="s">
        <v>4196</v>
      </c>
      <c r="B107" t="s">
        <v>556</v>
      </c>
      <c r="C107" t="s">
        <v>51</v>
      </c>
      <c r="D107" s="1">
        <v>45982</v>
      </c>
      <c r="E107">
        <v>17.3</v>
      </c>
      <c r="F107" t="s">
        <v>4090</v>
      </c>
      <c r="G107" s="1">
        <v>46021</v>
      </c>
      <c r="H107" t="s">
        <v>4091</v>
      </c>
      <c r="I107" t="str">
        <f t="shared" si="3"/>
        <v>November</v>
      </c>
      <c r="J107" t="str">
        <f t="shared" si="4"/>
        <v>Q4</v>
      </c>
      <c r="K107">
        <f t="shared" si="5"/>
        <v>2025</v>
      </c>
    </row>
    <row r="108" spans="1:11" x14ac:dyDescent="0.3">
      <c r="A108" t="s">
        <v>4197</v>
      </c>
      <c r="B108" t="s">
        <v>265</v>
      </c>
      <c r="C108" t="s">
        <v>195</v>
      </c>
      <c r="D108" s="1">
        <v>45866</v>
      </c>
      <c r="E108">
        <v>11.1</v>
      </c>
      <c r="F108" t="s">
        <v>4090</v>
      </c>
      <c r="G108" s="1">
        <v>45905</v>
      </c>
      <c r="H108" t="s">
        <v>4091</v>
      </c>
      <c r="I108" t="str">
        <f t="shared" si="3"/>
        <v>July</v>
      </c>
      <c r="J108" t="str">
        <f t="shared" si="4"/>
        <v>Q3</v>
      </c>
      <c r="K108">
        <f t="shared" si="5"/>
        <v>2025</v>
      </c>
    </row>
    <row r="109" spans="1:11" x14ac:dyDescent="0.3">
      <c r="A109" t="s">
        <v>4198</v>
      </c>
      <c r="B109" t="s">
        <v>190</v>
      </c>
      <c r="C109" t="s">
        <v>191</v>
      </c>
      <c r="D109" s="1">
        <v>45685</v>
      </c>
      <c r="E109">
        <v>13.4</v>
      </c>
      <c r="F109" t="s">
        <v>4090</v>
      </c>
      <c r="G109" s="1">
        <v>45710</v>
      </c>
      <c r="H109" t="s">
        <v>4091</v>
      </c>
      <c r="I109" t="str">
        <f t="shared" si="3"/>
        <v>January</v>
      </c>
      <c r="J109" t="str">
        <f t="shared" si="4"/>
        <v>Q1</v>
      </c>
      <c r="K109">
        <f t="shared" si="5"/>
        <v>2025</v>
      </c>
    </row>
    <row r="110" spans="1:11" x14ac:dyDescent="0.3">
      <c r="A110" t="s">
        <v>4199</v>
      </c>
      <c r="B110" t="s">
        <v>390</v>
      </c>
      <c r="C110" t="s">
        <v>337</v>
      </c>
      <c r="D110" s="1">
        <v>45878</v>
      </c>
      <c r="E110">
        <v>12.2</v>
      </c>
      <c r="F110" t="s">
        <v>4090</v>
      </c>
      <c r="G110" s="1">
        <v>45915</v>
      </c>
      <c r="H110" t="s">
        <v>4091</v>
      </c>
      <c r="I110" t="str">
        <f t="shared" si="3"/>
        <v>August</v>
      </c>
      <c r="J110" t="str">
        <f t="shared" si="4"/>
        <v>Q3</v>
      </c>
      <c r="K110">
        <f t="shared" si="5"/>
        <v>2025</v>
      </c>
    </row>
    <row r="111" spans="1:11" x14ac:dyDescent="0.3">
      <c r="A111" t="s">
        <v>4200</v>
      </c>
      <c r="B111" t="s">
        <v>151</v>
      </c>
      <c r="C111" t="s">
        <v>65</v>
      </c>
      <c r="D111" s="1">
        <v>45955</v>
      </c>
      <c r="E111">
        <v>12.3</v>
      </c>
      <c r="F111" t="s">
        <v>4090</v>
      </c>
      <c r="G111" s="1">
        <v>46000</v>
      </c>
      <c r="H111" t="s">
        <v>4091</v>
      </c>
      <c r="I111" t="str">
        <f t="shared" si="3"/>
        <v>October</v>
      </c>
      <c r="J111" t="str">
        <f t="shared" si="4"/>
        <v>Q4</v>
      </c>
      <c r="K111">
        <f t="shared" si="5"/>
        <v>2025</v>
      </c>
    </row>
    <row r="112" spans="1:11" x14ac:dyDescent="0.3">
      <c r="A112" t="s">
        <v>4201</v>
      </c>
      <c r="B112" t="s">
        <v>406</v>
      </c>
      <c r="C112" t="s">
        <v>45</v>
      </c>
      <c r="D112" s="1">
        <v>45888</v>
      </c>
      <c r="E112">
        <v>17.2</v>
      </c>
      <c r="F112" t="s">
        <v>4090</v>
      </c>
      <c r="G112" s="1">
        <v>45905</v>
      </c>
      <c r="H112" t="s">
        <v>4091</v>
      </c>
      <c r="I112" t="str">
        <f t="shared" si="3"/>
        <v>August</v>
      </c>
      <c r="J112" t="str">
        <f t="shared" si="4"/>
        <v>Q3</v>
      </c>
      <c r="K112">
        <f t="shared" si="5"/>
        <v>2025</v>
      </c>
    </row>
    <row r="113" spans="1:11" x14ac:dyDescent="0.3">
      <c r="A113" t="s">
        <v>4202</v>
      </c>
      <c r="B113" t="s">
        <v>271</v>
      </c>
      <c r="C113" t="s">
        <v>147</v>
      </c>
      <c r="D113" s="1">
        <v>45831</v>
      </c>
      <c r="E113">
        <v>14.4</v>
      </c>
      <c r="F113" t="s">
        <v>4090</v>
      </c>
      <c r="G113" s="1">
        <v>45858</v>
      </c>
      <c r="H113" t="s">
        <v>4091</v>
      </c>
      <c r="I113" t="str">
        <f t="shared" si="3"/>
        <v>June</v>
      </c>
      <c r="J113" t="str">
        <f t="shared" si="4"/>
        <v>Q2</v>
      </c>
      <c r="K113">
        <f t="shared" si="5"/>
        <v>2025</v>
      </c>
    </row>
    <row r="114" spans="1:11" x14ac:dyDescent="0.3">
      <c r="A114" t="s">
        <v>4203</v>
      </c>
      <c r="B114" t="s">
        <v>171</v>
      </c>
      <c r="C114" t="s">
        <v>51</v>
      </c>
      <c r="D114" s="1">
        <v>45972</v>
      </c>
      <c r="E114">
        <v>10</v>
      </c>
      <c r="F114" t="s">
        <v>4090</v>
      </c>
      <c r="G114" s="1">
        <v>46003</v>
      </c>
      <c r="H114" t="s">
        <v>4091</v>
      </c>
      <c r="I114" t="str">
        <f t="shared" si="3"/>
        <v>November</v>
      </c>
      <c r="J114" t="str">
        <f t="shared" si="4"/>
        <v>Q4</v>
      </c>
      <c r="K114">
        <f t="shared" si="5"/>
        <v>2025</v>
      </c>
    </row>
    <row r="115" spans="1:11" x14ac:dyDescent="0.3">
      <c r="A115" t="s">
        <v>4204</v>
      </c>
      <c r="B115" t="s">
        <v>135</v>
      </c>
      <c r="C115" t="s">
        <v>133</v>
      </c>
      <c r="D115" s="1">
        <v>45707</v>
      </c>
      <c r="E115">
        <v>11.5</v>
      </c>
      <c r="F115" t="s">
        <v>4090</v>
      </c>
      <c r="G115" s="1">
        <v>45751</v>
      </c>
      <c r="H115" t="s">
        <v>4091</v>
      </c>
      <c r="I115" t="str">
        <f t="shared" si="3"/>
        <v>February</v>
      </c>
      <c r="J115" t="str">
        <f t="shared" si="4"/>
        <v>Q1</v>
      </c>
      <c r="K115">
        <f t="shared" si="5"/>
        <v>2025</v>
      </c>
    </row>
    <row r="116" spans="1:11" x14ac:dyDescent="0.3">
      <c r="A116" t="s">
        <v>4205</v>
      </c>
      <c r="B116" t="s">
        <v>277</v>
      </c>
      <c r="C116" t="s">
        <v>156</v>
      </c>
      <c r="D116" s="1">
        <v>45733</v>
      </c>
      <c r="E116">
        <v>43.9</v>
      </c>
      <c r="F116" t="s">
        <v>4090</v>
      </c>
      <c r="G116" s="1">
        <v>45754</v>
      </c>
      <c r="H116" t="s">
        <v>4091</v>
      </c>
      <c r="I116" t="str">
        <f t="shared" si="3"/>
        <v>March</v>
      </c>
      <c r="J116" t="str">
        <f t="shared" si="4"/>
        <v>Q1</v>
      </c>
      <c r="K116">
        <f t="shared" si="5"/>
        <v>2025</v>
      </c>
    </row>
    <row r="117" spans="1:11" x14ac:dyDescent="0.3">
      <c r="A117" t="s">
        <v>4206</v>
      </c>
      <c r="B117" t="s">
        <v>388</v>
      </c>
      <c r="C117" t="s">
        <v>260</v>
      </c>
      <c r="D117" s="1">
        <v>45754</v>
      </c>
      <c r="E117">
        <v>9.3000000000000007</v>
      </c>
      <c r="F117" t="s">
        <v>4090</v>
      </c>
      <c r="G117" s="1">
        <v>45784</v>
      </c>
      <c r="H117" t="s">
        <v>4091</v>
      </c>
      <c r="I117" t="str">
        <f t="shared" si="3"/>
        <v>April</v>
      </c>
      <c r="J117" t="str">
        <f t="shared" si="4"/>
        <v>Q2</v>
      </c>
      <c r="K117">
        <f t="shared" si="5"/>
        <v>2025</v>
      </c>
    </row>
    <row r="118" spans="1:11" x14ac:dyDescent="0.3">
      <c r="A118" t="s">
        <v>4207</v>
      </c>
      <c r="B118" t="s">
        <v>487</v>
      </c>
      <c r="C118" t="s">
        <v>73</v>
      </c>
      <c r="D118" s="1">
        <v>45829</v>
      </c>
      <c r="E118">
        <v>34.299999999999997</v>
      </c>
      <c r="F118" t="s">
        <v>4090</v>
      </c>
      <c r="G118" s="1">
        <v>45872</v>
      </c>
      <c r="H118" t="s">
        <v>4091</v>
      </c>
      <c r="I118" t="str">
        <f t="shared" si="3"/>
        <v>June</v>
      </c>
      <c r="J118" t="str">
        <f t="shared" si="4"/>
        <v>Q2</v>
      </c>
      <c r="K118">
        <f t="shared" si="5"/>
        <v>2025</v>
      </c>
    </row>
    <row r="119" spans="1:11" x14ac:dyDescent="0.3">
      <c r="A119" t="s">
        <v>4208</v>
      </c>
      <c r="B119" t="s">
        <v>382</v>
      </c>
      <c r="C119" t="s">
        <v>147</v>
      </c>
      <c r="D119" s="1">
        <v>45843</v>
      </c>
      <c r="E119">
        <v>10.5</v>
      </c>
      <c r="F119" t="s">
        <v>4090</v>
      </c>
      <c r="G119" s="1">
        <v>45870</v>
      </c>
      <c r="H119" t="s">
        <v>4091</v>
      </c>
      <c r="I119" t="str">
        <f t="shared" si="3"/>
        <v>July</v>
      </c>
      <c r="J119" t="str">
        <f t="shared" si="4"/>
        <v>Q3</v>
      </c>
      <c r="K119">
        <f t="shared" si="5"/>
        <v>2025</v>
      </c>
    </row>
    <row r="120" spans="1:11" x14ac:dyDescent="0.3">
      <c r="A120" t="s">
        <v>4209</v>
      </c>
      <c r="B120" t="s">
        <v>203</v>
      </c>
      <c r="C120" t="s">
        <v>156</v>
      </c>
      <c r="D120" s="1">
        <v>45738</v>
      </c>
      <c r="E120">
        <v>3.9</v>
      </c>
      <c r="F120" t="s">
        <v>4090</v>
      </c>
      <c r="G120" s="1">
        <v>45757</v>
      </c>
      <c r="H120" t="s">
        <v>4091</v>
      </c>
      <c r="I120" t="str">
        <f t="shared" si="3"/>
        <v>March</v>
      </c>
      <c r="J120" t="str">
        <f t="shared" si="4"/>
        <v>Q1</v>
      </c>
      <c r="K120">
        <f t="shared" si="5"/>
        <v>2025</v>
      </c>
    </row>
    <row r="121" spans="1:11" x14ac:dyDescent="0.3">
      <c r="A121" t="s">
        <v>4210</v>
      </c>
      <c r="B121" t="s">
        <v>345</v>
      </c>
      <c r="C121" t="s">
        <v>240</v>
      </c>
      <c r="D121" s="1">
        <v>45986</v>
      </c>
      <c r="E121">
        <v>10.199999999999999</v>
      </c>
      <c r="F121" t="s">
        <v>4090</v>
      </c>
      <c r="G121" s="1">
        <v>46022</v>
      </c>
      <c r="H121" t="s">
        <v>4091</v>
      </c>
      <c r="I121" t="str">
        <f t="shared" si="3"/>
        <v>November</v>
      </c>
      <c r="J121" t="str">
        <f t="shared" si="4"/>
        <v>Q4</v>
      </c>
      <c r="K121">
        <f t="shared" si="5"/>
        <v>2025</v>
      </c>
    </row>
    <row r="122" spans="1:11" x14ac:dyDescent="0.3">
      <c r="A122" t="s">
        <v>4211</v>
      </c>
      <c r="B122" t="s">
        <v>87</v>
      </c>
      <c r="C122" t="s">
        <v>88</v>
      </c>
      <c r="D122" s="1">
        <v>45766</v>
      </c>
      <c r="E122">
        <v>11.3</v>
      </c>
      <c r="F122" t="s">
        <v>4090</v>
      </c>
      <c r="G122" s="1">
        <v>45786</v>
      </c>
      <c r="H122" t="s">
        <v>4091</v>
      </c>
      <c r="I122" t="str">
        <f t="shared" si="3"/>
        <v>April</v>
      </c>
      <c r="J122" t="str">
        <f t="shared" si="4"/>
        <v>Q2</v>
      </c>
      <c r="K122">
        <f t="shared" si="5"/>
        <v>2025</v>
      </c>
    </row>
    <row r="123" spans="1:11" x14ac:dyDescent="0.3">
      <c r="A123" t="s">
        <v>4212</v>
      </c>
      <c r="B123" t="s">
        <v>371</v>
      </c>
      <c r="C123" t="s">
        <v>85</v>
      </c>
      <c r="D123" s="1">
        <v>45895</v>
      </c>
      <c r="E123">
        <v>9.1</v>
      </c>
      <c r="F123" t="s">
        <v>4090</v>
      </c>
      <c r="G123" s="1">
        <v>45912</v>
      </c>
      <c r="H123" t="s">
        <v>4091</v>
      </c>
      <c r="I123" t="str">
        <f t="shared" si="3"/>
        <v>August</v>
      </c>
      <c r="J123" t="str">
        <f t="shared" si="4"/>
        <v>Q3</v>
      </c>
      <c r="K123">
        <f t="shared" si="5"/>
        <v>2025</v>
      </c>
    </row>
    <row r="124" spans="1:11" x14ac:dyDescent="0.3">
      <c r="A124" t="s">
        <v>4213</v>
      </c>
      <c r="B124" t="s">
        <v>541</v>
      </c>
      <c r="C124" t="s">
        <v>542</v>
      </c>
      <c r="D124" s="1">
        <v>45829</v>
      </c>
      <c r="E124">
        <v>13.4</v>
      </c>
      <c r="F124" t="s">
        <v>4090</v>
      </c>
      <c r="G124" s="1">
        <v>45874</v>
      </c>
      <c r="H124" t="s">
        <v>4091</v>
      </c>
      <c r="I124" t="str">
        <f t="shared" si="3"/>
        <v>June</v>
      </c>
      <c r="J124" t="str">
        <f t="shared" si="4"/>
        <v>Q2</v>
      </c>
      <c r="K124">
        <f t="shared" si="5"/>
        <v>2025</v>
      </c>
    </row>
    <row r="125" spans="1:11" x14ac:dyDescent="0.3">
      <c r="A125" t="s">
        <v>4214</v>
      </c>
      <c r="B125" t="s">
        <v>351</v>
      </c>
      <c r="C125" t="s">
        <v>88</v>
      </c>
      <c r="D125" s="1">
        <v>45758</v>
      </c>
      <c r="E125">
        <v>10.7</v>
      </c>
      <c r="F125" t="s">
        <v>4090</v>
      </c>
      <c r="G125" s="1">
        <v>45793</v>
      </c>
      <c r="H125" t="s">
        <v>4091</v>
      </c>
      <c r="I125" t="str">
        <f t="shared" si="3"/>
        <v>April</v>
      </c>
      <c r="J125" t="str">
        <f t="shared" si="4"/>
        <v>Q2</v>
      </c>
      <c r="K125">
        <f t="shared" si="5"/>
        <v>2025</v>
      </c>
    </row>
    <row r="126" spans="1:11" x14ac:dyDescent="0.3">
      <c r="A126" t="s">
        <v>4215</v>
      </c>
      <c r="B126" t="s">
        <v>269</v>
      </c>
      <c r="C126" t="s">
        <v>244</v>
      </c>
      <c r="D126" s="1">
        <v>45671</v>
      </c>
      <c r="E126">
        <v>16.600000000000001</v>
      </c>
      <c r="F126" t="s">
        <v>4090</v>
      </c>
      <c r="G126" s="1">
        <v>45712</v>
      </c>
      <c r="H126" t="s">
        <v>4091</v>
      </c>
      <c r="I126" t="str">
        <f t="shared" si="3"/>
        <v>January</v>
      </c>
      <c r="J126" t="str">
        <f t="shared" si="4"/>
        <v>Q1</v>
      </c>
      <c r="K126">
        <f t="shared" si="5"/>
        <v>2025</v>
      </c>
    </row>
    <row r="127" spans="1:11" x14ac:dyDescent="0.3">
      <c r="A127" t="s">
        <v>4216</v>
      </c>
      <c r="B127" t="s">
        <v>229</v>
      </c>
      <c r="C127" t="s">
        <v>133</v>
      </c>
      <c r="D127" s="1">
        <v>45724</v>
      </c>
      <c r="E127">
        <v>20.3</v>
      </c>
      <c r="F127" t="s">
        <v>4090</v>
      </c>
      <c r="G127" s="1">
        <v>45758</v>
      </c>
      <c r="H127" t="s">
        <v>4091</v>
      </c>
      <c r="I127" t="str">
        <f t="shared" si="3"/>
        <v>March</v>
      </c>
      <c r="J127" t="str">
        <f t="shared" si="4"/>
        <v>Q1</v>
      </c>
      <c r="K127">
        <f t="shared" si="5"/>
        <v>2025</v>
      </c>
    </row>
    <row r="128" spans="1:11" x14ac:dyDescent="0.3">
      <c r="A128" t="s">
        <v>4217</v>
      </c>
      <c r="B128" t="s">
        <v>519</v>
      </c>
      <c r="C128" t="s">
        <v>22</v>
      </c>
      <c r="D128" s="1">
        <v>45865</v>
      </c>
      <c r="E128">
        <v>14.3</v>
      </c>
      <c r="F128" t="s">
        <v>4090</v>
      </c>
      <c r="G128" s="1">
        <v>45900</v>
      </c>
      <c r="H128" t="s">
        <v>4091</v>
      </c>
      <c r="I128" t="str">
        <f t="shared" si="3"/>
        <v>July</v>
      </c>
      <c r="J128" t="str">
        <f t="shared" si="4"/>
        <v>Q3</v>
      </c>
      <c r="K128">
        <f t="shared" si="5"/>
        <v>2025</v>
      </c>
    </row>
    <row r="129" spans="1:11" x14ac:dyDescent="0.3">
      <c r="A129" t="s">
        <v>4218</v>
      </c>
      <c r="B129" t="s">
        <v>552</v>
      </c>
      <c r="C129" t="s">
        <v>58</v>
      </c>
      <c r="D129" s="1">
        <v>45839</v>
      </c>
      <c r="E129">
        <v>27.4</v>
      </c>
      <c r="F129" t="s">
        <v>4090</v>
      </c>
      <c r="G129" s="1">
        <v>45874</v>
      </c>
      <c r="H129" t="s">
        <v>4091</v>
      </c>
      <c r="I129" t="str">
        <f t="shared" si="3"/>
        <v>July</v>
      </c>
      <c r="J129" t="str">
        <f t="shared" si="4"/>
        <v>Q3</v>
      </c>
      <c r="K129">
        <f t="shared" si="5"/>
        <v>2025</v>
      </c>
    </row>
    <row r="130" spans="1:11" x14ac:dyDescent="0.3">
      <c r="A130" t="s">
        <v>4219</v>
      </c>
      <c r="B130" t="s">
        <v>463</v>
      </c>
      <c r="C130" t="s">
        <v>429</v>
      </c>
      <c r="D130" s="1">
        <v>45780</v>
      </c>
      <c r="E130">
        <v>11</v>
      </c>
      <c r="F130" t="s">
        <v>4090</v>
      </c>
      <c r="G130" s="1">
        <v>45815</v>
      </c>
      <c r="H130" t="s">
        <v>4091</v>
      </c>
      <c r="I130" t="str">
        <f t="shared" ref="I130:I193" si="6">TEXT(D130,"mmmm")</f>
        <v>May</v>
      </c>
      <c r="J130" t="str">
        <f t="shared" ref="J130:J193" si="7">"Q"&amp;ROUNDUP(MONTH(D130)/3,0)</f>
        <v>Q2</v>
      </c>
      <c r="K130">
        <f t="shared" ref="K130:K193" si="8">YEAR(D130)</f>
        <v>2025</v>
      </c>
    </row>
    <row r="131" spans="1:11" x14ac:dyDescent="0.3">
      <c r="A131" t="s">
        <v>4220</v>
      </c>
      <c r="B131" t="s">
        <v>489</v>
      </c>
      <c r="C131" t="s">
        <v>51</v>
      </c>
      <c r="D131" s="1">
        <v>45971</v>
      </c>
      <c r="E131">
        <v>15.3</v>
      </c>
      <c r="F131" t="s">
        <v>4090</v>
      </c>
      <c r="G131" s="1">
        <v>46008</v>
      </c>
      <c r="H131" t="s">
        <v>4091</v>
      </c>
      <c r="I131" t="str">
        <f t="shared" si="6"/>
        <v>November</v>
      </c>
      <c r="J131" t="str">
        <f t="shared" si="7"/>
        <v>Q4</v>
      </c>
      <c r="K131">
        <f t="shared" si="8"/>
        <v>2025</v>
      </c>
    </row>
    <row r="132" spans="1:11" x14ac:dyDescent="0.3">
      <c r="A132" t="s">
        <v>4221</v>
      </c>
      <c r="B132" t="s">
        <v>546</v>
      </c>
      <c r="C132" t="s">
        <v>156</v>
      </c>
      <c r="D132" s="1">
        <v>45732</v>
      </c>
      <c r="E132">
        <v>21.8</v>
      </c>
      <c r="F132" t="s">
        <v>4090</v>
      </c>
      <c r="G132" s="1">
        <v>45747</v>
      </c>
      <c r="H132" t="s">
        <v>4091</v>
      </c>
      <c r="I132" t="str">
        <f t="shared" si="6"/>
        <v>March</v>
      </c>
      <c r="J132" t="str">
        <f t="shared" si="7"/>
        <v>Q1</v>
      </c>
      <c r="K132">
        <f t="shared" si="8"/>
        <v>2025</v>
      </c>
    </row>
    <row r="133" spans="1:11" x14ac:dyDescent="0.3">
      <c r="A133" t="s">
        <v>4222</v>
      </c>
      <c r="B133" t="s">
        <v>301</v>
      </c>
      <c r="C133" t="s">
        <v>37</v>
      </c>
      <c r="D133" s="1">
        <v>45738</v>
      </c>
      <c r="E133">
        <v>10.9</v>
      </c>
      <c r="F133" t="s">
        <v>4090</v>
      </c>
      <c r="G133" s="1">
        <v>45767</v>
      </c>
      <c r="H133" t="s">
        <v>4091</v>
      </c>
      <c r="I133" t="str">
        <f t="shared" si="6"/>
        <v>March</v>
      </c>
      <c r="J133" t="str">
        <f t="shared" si="7"/>
        <v>Q1</v>
      </c>
      <c r="K133">
        <f t="shared" si="8"/>
        <v>2025</v>
      </c>
    </row>
    <row r="134" spans="1:11" x14ac:dyDescent="0.3">
      <c r="A134" t="s">
        <v>4223</v>
      </c>
      <c r="B134" t="s">
        <v>330</v>
      </c>
      <c r="C134" t="s">
        <v>41</v>
      </c>
      <c r="D134" s="1">
        <v>45826</v>
      </c>
      <c r="E134">
        <v>16.399999999999999</v>
      </c>
      <c r="F134" t="s">
        <v>4090</v>
      </c>
      <c r="G134" s="1">
        <v>45848</v>
      </c>
      <c r="H134" t="s">
        <v>4091</v>
      </c>
      <c r="I134" t="str">
        <f t="shared" si="6"/>
        <v>June</v>
      </c>
      <c r="J134" t="str">
        <f t="shared" si="7"/>
        <v>Q2</v>
      </c>
      <c r="K134">
        <f t="shared" si="8"/>
        <v>2025</v>
      </c>
    </row>
    <row r="135" spans="1:11" x14ac:dyDescent="0.3">
      <c r="A135" t="s">
        <v>4224</v>
      </c>
      <c r="B135" t="s">
        <v>303</v>
      </c>
      <c r="C135" t="s">
        <v>292</v>
      </c>
      <c r="D135" s="1">
        <v>45734</v>
      </c>
      <c r="E135">
        <v>11</v>
      </c>
      <c r="F135" t="s">
        <v>4090</v>
      </c>
      <c r="G135" s="1">
        <v>45762</v>
      </c>
      <c r="H135" t="s">
        <v>4091</v>
      </c>
      <c r="I135" t="str">
        <f t="shared" si="6"/>
        <v>March</v>
      </c>
      <c r="J135" t="str">
        <f t="shared" si="7"/>
        <v>Q1</v>
      </c>
      <c r="K135">
        <f t="shared" si="8"/>
        <v>2025</v>
      </c>
    </row>
    <row r="136" spans="1:11" x14ac:dyDescent="0.3">
      <c r="A136" t="s">
        <v>4225</v>
      </c>
      <c r="B136" t="s">
        <v>332</v>
      </c>
      <c r="C136" t="s">
        <v>183</v>
      </c>
      <c r="D136" s="1">
        <v>45890</v>
      </c>
      <c r="E136">
        <v>7.1</v>
      </c>
      <c r="F136" t="s">
        <v>4090</v>
      </c>
      <c r="G136" s="1">
        <v>45905</v>
      </c>
      <c r="H136" t="s">
        <v>4091</v>
      </c>
      <c r="I136" t="str">
        <f t="shared" si="6"/>
        <v>August</v>
      </c>
      <c r="J136" t="str">
        <f t="shared" si="7"/>
        <v>Q3</v>
      </c>
      <c r="K136">
        <f t="shared" si="8"/>
        <v>2025</v>
      </c>
    </row>
    <row r="137" spans="1:11" x14ac:dyDescent="0.3">
      <c r="A137" t="s">
        <v>4226</v>
      </c>
      <c r="B137" t="s">
        <v>103</v>
      </c>
      <c r="C137" t="s">
        <v>22</v>
      </c>
      <c r="D137" s="1">
        <v>45853</v>
      </c>
      <c r="E137">
        <v>31.2</v>
      </c>
      <c r="F137" t="s">
        <v>4090</v>
      </c>
      <c r="G137" s="1">
        <v>45869</v>
      </c>
      <c r="H137" t="s">
        <v>4091</v>
      </c>
      <c r="I137" t="str">
        <f t="shared" si="6"/>
        <v>July</v>
      </c>
      <c r="J137" t="str">
        <f t="shared" si="7"/>
        <v>Q3</v>
      </c>
      <c r="K137">
        <f t="shared" si="8"/>
        <v>2025</v>
      </c>
    </row>
    <row r="138" spans="1:11" x14ac:dyDescent="0.3">
      <c r="A138" t="s">
        <v>4227</v>
      </c>
      <c r="B138" t="s">
        <v>257</v>
      </c>
      <c r="C138" t="s">
        <v>156</v>
      </c>
      <c r="D138" s="1">
        <v>45747</v>
      </c>
      <c r="E138">
        <v>9.1</v>
      </c>
      <c r="F138" t="s">
        <v>4090</v>
      </c>
      <c r="G138" s="1">
        <v>45780</v>
      </c>
      <c r="H138" t="s">
        <v>4091</v>
      </c>
      <c r="I138" t="str">
        <f t="shared" si="6"/>
        <v>March</v>
      </c>
      <c r="J138" t="str">
        <f t="shared" si="7"/>
        <v>Q1</v>
      </c>
      <c r="K138">
        <f t="shared" si="8"/>
        <v>2025</v>
      </c>
    </row>
    <row r="139" spans="1:11" x14ac:dyDescent="0.3">
      <c r="A139" t="s">
        <v>4228</v>
      </c>
      <c r="B139" t="s">
        <v>349</v>
      </c>
      <c r="C139" t="s">
        <v>16</v>
      </c>
      <c r="D139" s="1">
        <v>45786</v>
      </c>
      <c r="E139">
        <v>8</v>
      </c>
      <c r="F139" t="s">
        <v>4090</v>
      </c>
      <c r="G139" s="1">
        <v>45801</v>
      </c>
      <c r="H139" t="s">
        <v>4091</v>
      </c>
      <c r="I139" t="str">
        <f t="shared" si="6"/>
        <v>May</v>
      </c>
      <c r="J139" t="str">
        <f t="shared" si="7"/>
        <v>Q2</v>
      </c>
      <c r="K139">
        <f t="shared" si="8"/>
        <v>2025</v>
      </c>
    </row>
    <row r="140" spans="1:11" x14ac:dyDescent="0.3">
      <c r="A140" t="s">
        <v>4229</v>
      </c>
      <c r="B140" t="s">
        <v>529</v>
      </c>
      <c r="C140" t="s">
        <v>88</v>
      </c>
      <c r="D140" s="1">
        <v>45778</v>
      </c>
      <c r="E140">
        <v>3.6</v>
      </c>
      <c r="F140" t="s">
        <v>4090</v>
      </c>
      <c r="G140" s="1">
        <v>45814</v>
      </c>
      <c r="H140" t="s">
        <v>4091</v>
      </c>
      <c r="I140" t="str">
        <f t="shared" si="6"/>
        <v>May</v>
      </c>
      <c r="J140" t="str">
        <f t="shared" si="7"/>
        <v>Q2</v>
      </c>
      <c r="K140">
        <f t="shared" si="8"/>
        <v>2025</v>
      </c>
    </row>
    <row r="141" spans="1:11" x14ac:dyDescent="0.3">
      <c r="A141" t="s">
        <v>4230</v>
      </c>
      <c r="B141" t="s">
        <v>267</v>
      </c>
      <c r="C141" t="s">
        <v>195</v>
      </c>
      <c r="D141" s="1">
        <v>45861</v>
      </c>
      <c r="E141">
        <v>27.3</v>
      </c>
      <c r="F141" t="s">
        <v>4090</v>
      </c>
      <c r="G141" s="1">
        <v>45878</v>
      </c>
      <c r="H141" t="s">
        <v>4091</v>
      </c>
      <c r="I141" t="str">
        <f t="shared" si="6"/>
        <v>July</v>
      </c>
      <c r="J141" t="str">
        <f t="shared" si="7"/>
        <v>Q3</v>
      </c>
      <c r="K141">
        <f t="shared" si="8"/>
        <v>2025</v>
      </c>
    </row>
    <row r="142" spans="1:11" x14ac:dyDescent="0.3">
      <c r="A142" t="s">
        <v>4231</v>
      </c>
      <c r="B142" t="s">
        <v>521</v>
      </c>
      <c r="C142" t="s">
        <v>240</v>
      </c>
      <c r="D142" s="1">
        <v>45969</v>
      </c>
      <c r="E142">
        <v>8.8000000000000007</v>
      </c>
      <c r="F142" t="s">
        <v>4090</v>
      </c>
      <c r="G142" s="1">
        <v>46008</v>
      </c>
      <c r="H142" t="s">
        <v>4091</v>
      </c>
      <c r="I142" t="str">
        <f t="shared" si="6"/>
        <v>November</v>
      </c>
      <c r="J142" t="str">
        <f t="shared" si="7"/>
        <v>Q4</v>
      </c>
      <c r="K142">
        <f t="shared" si="8"/>
        <v>2025</v>
      </c>
    </row>
    <row r="143" spans="1:11" x14ac:dyDescent="0.3">
      <c r="A143" t="s">
        <v>4232</v>
      </c>
      <c r="B143" t="s">
        <v>416</v>
      </c>
      <c r="C143" t="s">
        <v>41</v>
      </c>
      <c r="D143" s="1">
        <v>45850</v>
      </c>
      <c r="E143">
        <v>22.5</v>
      </c>
      <c r="F143" t="s">
        <v>4090</v>
      </c>
      <c r="G143" s="1">
        <v>45865</v>
      </c>
      <c r="H143" t="s">
        <v>4091</v>
      </c>
      <c r="I143" t="str">
        <f t="shared" si="6"/>
        <v>July</v>
      </c>
      <c r="J143" t="str">
        <f t="shared" si="7"/>
        <v>Q3</v>
      </c>
      <c r="K143">
        <f t="shared" si="8"/>
        <v>2025</v>
      </c>
    </row>
    <row r="144" spans="1:11" x14ac:dyDescent="0.3">
      <c r="A144" t="s">
        <v>4233</v>
      </c>
      <c r="B144" t="s">
        <v>161</v>
      </c>
      <c r="C144" t="s">
        <v>133</v>
      </c>
      <c r="D144" s="1">
        <v>45729</v>
      </c>
      <c r="E144">
        <v>24</v>
      </c>
      <c r="F144" t="s">
        <v>4090</v>
      </c>
      <c r="G144" s="1">
        <v>45755</v>
      </c>
      <c r="H144" t="s">
        <v>4091</v>
      </c>
      <c r="I144" t="str">
        <f t="shared" si="6"/>
        <v>March</v>
      </c>
      <c r="J144" t="str">
        <f t="shared" si="7"/>
        <v>Q1</v>
      </c>
      <c r="K144">
        <f t="shared" si="8"/>
        <v>2025</v>
      </c>
    </row>
    <row r="145" spans="1:11" x14ac:dyDescent="0.3">
      <c r="A145" t="s">
        <v>4234</v>
      </c>
      <c r="B145" t="s">
        <v>439</v>
      </c>
      <c r="C145" t="s">
        <v>73</v>
      </c>
      <c r="D145" s="1">
        <v>45815</v>
      </c>
      <c r="E145">
        <v>9</v>
      </c>
      <c r="F145" t="s">
        <v>4090</v>
      </c>
      <c r="G145" s="1">
        <v>45841</v>
      </c>
      <c r="H145" t="s">
        <v>4091</v>
      </c>
      <c r="I145" t="str">
        <f t="shared" si="6"/>
        <v>June</v>
      </c>
      <c r="J145" t="str">
        <f t="shared" si="7"/>
        <v>Q2</v>
      </c>
      <c r="K145">
        <f t="shared" si="8"/>
        <v>2025</v>
      </c>
    </row>
    <row r="146" spans="1:11" x14ac:dyDescent="0.3">
      <c r="A146" t="s">
        <v>4235</v>
      </c>
      <c r="B146" t="s">
        <v>319</v>
      </c>
      <c r="C146" t="s">
        <v>92</v>
      </c>
      <c r="D146" s="1">
        <v>45773</v>
      </c>
      <c r="E146">
        <v>16.5</v>
      </c>
      <c r="F146" t="s">
        <v>4090</v>
      </c>
      <c r="G146" s="1">
        <v>45812</v>
      </c>
      <c r="H146" t="s">
        <v>4091</v>
      </c>
      <c r="I146" t="str">
        <f t="shared" si="6"/>
        <v>April</v>
      </c>
      <c r="J146" t="str">
        <f t="shared" si="7"/>
        <v>Q2</v>
      </c>
      <c r="K146">
        <f t="shared" si="8"/>
        <v>2025</v>
      </c>
    </row>
    <row r="147" spans="1:11" x14ac:dyDescent="0.3">
      <c r="A147" t="s">
        <v>4236</v>
      </c>
      <c r="B147" t="s">
        <v>246</v>
      </c>
      <c r="C147" t="s">
        <v>191</v>
      </c>
      <c r="D147" s="1">
        <v>45696</v>
      </c>
      <c r="E147">
        <v>10.8</v>
      </c>
      <c r="F147" t="s">
        <v>4090</v>
      </c>
      <c r="G147" s="1">
        <v>45720</v>
      </c>
      <c r="H147" t="s">
        <v>4091</v>
      </c>
      <c r="I147" t="str">
        <f t="shared" si="6"/>
        <v>February</v>
      </c>
      <c r="J147" t="str">
        <f t="shared" si="7"/>
        <v>Q1</v>
      </c>
      <c r="K147">
        <f t="shared" si="8"/>
        <v>2025</v>
      </c>
    </row>
    <row r="148" spans="1:11" x14ac:dyDescent="0.3">
      <c r="A148" t="s">
        <v>4237</v>
      </c>
      <c r="B148" t="s">
        <v>163</v>
      </c>
      <c r="C148" t="s">
        <v>99</v>
      </c>
      <c r="D148" s="1">
        <v>45883</v>
      </c>
      <c r="E148">
        <v>6.3</v>
      </c>
      <c r="F148" t="s">
        <v>4090</v>
      </c>
      <c r="G148" s="1">
        <v>45902</v>
      </c>
      <c r="H148" t="s">
        <v>4091</v>
      </c>
      <c r="I148" t="str">
        <f t="shared" si="6"/>
        <v>August</v>
      </c>
      <c r="J148" t="str">
        <f t="shared" si="7"/>
        <v>Q3</v>
      </c>
      <c r="K148">
        <f t="shared" si="8"/>
        <v>2025</v>
      </c>
    </row>
    <row r="149" spans="1:11" x14ac:dyDescent="0.3">
      <c r="A149" t="s">
        <v>4238</v>
      </c>
      <c r="B149" t="s">
        <v>44</v>
      </c>
      <c r="C149" t="s">
        <v>45</v>
      </c>
      <c r="D149" s="1">
        <v>45877</v>
      </c>
      <c r="E149">
        <v>9.5</v>
      </c>
      <c r="F149" t="s">
        <v>4090</v>
      </c>
      <c r="G149" s="1">
        <v>45892</v>
      </c>
      <c r="H149" t="s">
        <v>4091</v>
      </c>
      <c r="I149" t="str">
        <f t="shared" si="6"/>
        <v>August</v>
      </c>
      <c r="J149" t="str">
        <f t="shared" si="7"/>
        <v>Q3</v>
      </c>
      <c r="K149">
        <f t="shared" si="8"/>
        <v>2025</v>
      </c>
    </row>
    <row r="150" spans="1:11" x14ac:dyDescent="0.3">
      <c r="A150" t="s">
        <v>4239</v>
      </c>
      <c r="B150" t="s">
        <v>469</v>
      </c>
      <c r="C150" t="s">
        <v>68</v>
      </c>
      <c r="D150" s="1">
        <v>45778</v>
      </c>
      <c r="E150">
        <v>7.1</v>
      </c>
      <c r="F150" t="s">
        <v>4090</v>
      </c>
      <c r="G150" s="1">
        <v>45795</v>
      </c>
      <c r="H150" t="s">
        <v>4091</v>
      </c>
      <c r="I150" t="str">
        <f t="shared" si="6"/>
        <v>May</v>
      </c>
      <c r="J150" t="str">
        <f t="shared" si="7"/>
        <v>Q2</v>
      </c>
      <c r="K150">
        <f t="shared" si="8"/>
        <v>2025</v>
      </c>
    </row>
    <row r="151" spans="1:11" x14ac:dyDescent="0.3">
      <c r="A151" t="s">
        <v>4240</v>
      </c>
      <c r="B151" t="s">
        <v>420</v>
      </c>
      <c r="C151" t="s">
        <v>201</v>
      </c>
      <c r="D151" s="1">
        <v>45996</v>
      </c>
      <c r="E151">
        <v>11.9</v>
      </c>
      <c r="F151" t="s">
        <v>4090</v>
      </c>
      <c r="G151" s="1">
        <v>46022</v>
      </c>
      <c r="H151" t="s">
        <v>4091</v>
      </c>
      <c r="I151" t="str">
        <f t="shared" si="6"/>
        <v>December</v>
      </c>
      <c r="J151" t="str">
        <f t="shared" si="7"/>
        <v>Q4</v>
      </c>
      <c r="K151">
        <f t="shared" si="8"/>
        <v>2025</v>
      </c>
    </row>
    <row r="152" spans="1:11" x14ac:dyDescent="0.3">
      <c r="A152" t="s">
        <v>4241</v>
      </c>
      <c r="B152" t="s">
        <v>435</v>
      </c>
      <c r="C152" t="s">
        <v>37</v>
      </c>
      <c r="D152" s="1">
        <v>45733</v>
      </c>
      <c r="E152">
        <v>15.1</v>
      </c>
      <c r="F152" t="s">
        <v>4090</v>
      </c>
      <c r="G152" s="1">
        <v>45778</v>
      </c>
      <c r="H152" t="s">
        <v>4091</v>
      </c>
      <c r="I152" t="str">
        <f t="shared" si="6"/>
        <v>March</v>
      </c>
      <c r="J152" t="str">
        <f t="shared" si="7"/>
        <v>Q1</v>
      </c>
      <c r="K152">
        <f t="shared" si="8"/>
        <v>2025</v>
      </c>
    </row>
    <row r="153" spans="1:11" x14ac:dyDescent="0.3">
      <c r="A153" t="s">
        <v>4242</v>
      </c>
      <c r="B153" t="s">
        <v>159</v>
      </c>
      <c r="C153" t="s">
        <v>37</v>
      </c>
      <c r="D153" s="1">
        <v>45724</v>
      </c>
      <c r="E153">
        <v>15.3</v>
      </c>
      <c r="F153" t="s">
        <v>4090</v>
      </c>
      <c r="G153" s="1">
        <v>45761</v>
      </c>
      <c r="H153" t="s">
        <v>4091</v>
      </c>
      <c r="I153" t="str">
        <f t="shared" si="6"/>
        <v>March</v>
      </c>
      <c r="J153" t="str">
        <f t="shared" si="7"/>
        <v>Q1</v>
      </c>
      <c r="K153">
        <f t="shared" si="8"/>
        <v>2025</v>
      </c>
    </row>
    <row r="154" spans="1:11" x14ac:dyDescent="0.3">
      <c r="A154" t="s">
        <v>4243</v>
      </c>
      <c r="B154" t="s">
        <v>424</v>
      </c>
      <c r="C154" t="s">
        <v>292</v>
      </c>
      <c r="D154" s="1">
        <v>45743</v>
      </c>
      <c r="E154">
        <v>9.5</v>
      </c>
      <c r="F154" t="s">
        <v>4090</v>
      </c>
      <c r="G154" s="1">
        <v>45760</v>
      </c>
      <c r="H154" t="s">
        <v>4091</v>
      </c>
      <c r="I154" t="str">
        <f t="shared" si="6"/>
        <v>March</v>
      </c>
      <c r="J154" t="str">
        <f t="shared" si="7"/>
        <v>Q1</v>
      </c>
      <c r="K154">
        <f t="shared" si="8"/>
        <v>2025</v>
      </c>
    </row>
    <row r="155" spans="1:11" x14ac:dyDescent="0.3">
      <c r="A155" t="s">
        <v>4244</v>
      </c>
      <c r="B155" t="s">
        <v>82</v>
      </c>
      <c r="C155" t="s">
        <v>45</v>
      </c>
      <c r="D155" s="1">
        <v>45860</v>
      </c>
      <c r="E155">
        <v>12.8</v>
      </c>
      <c r="F155" t="s">
        <v>4090</v>
      </c>
      <c r="G155" s="1">
        <v>45897</v>
      </c>
      <c r="H155" t="s">
        <v>4091</v>
      </c>
      <c r="I155" t="str">
        <f t="shared" si="6"/>
        <v>July</v>
      </c>
      <c r="J155" t="str">
        <f t="shared" si="7"/>
        <v>Q3</v>
      </c>
      <c r="K155">
        <f t="shared" si="8"/>
        <v>2025</v>
      </c>
    </row>
    <row r="156" spans="1:11" x14ac:dyDescent="0.3">
      <c r="A156" t="s">
        <v>4245</v>
      </c>
      <c r="B156" t="s">
        <v>515</v>
      </c>
      <c r="C156" t="s">
        <v>37</v>
      </c>
      <c r="D156" s="1">
        <v>45723</v>
      </c>
      <c r="E156">
        <v>8.6</v>
      </c>
      <c r="F156" t="s">
        <v>4090</v>
      </c>
      <c r="G156" s="1">
        <v>45741</v>
      </c>
      <c r="H156" t="s">
        <v>4091</v>
      </c>
      <c r="I156" t="str">
        <f t="shared" si="6"/>
        <v>March</v>
      </c>
      <c r="J156" t="str">
        <f t="shared" si="7"/>
        <v>Q1</v>
      </c>
      <c r="K156">
        <f t="shared" si="8"/>
        <v>2025</v>
      </c>
    </row>
    <row r="157" spans="1:11" x14ac:dyDescent="0.3">
      <c r="A157" t="s">
        <v>4246</v>
      </c>
      <c r="B157" t="s">
        <v>200</v>
      </c>
      <c r="C157" t="s">
        <v>201</v>
      </c>
      <c r="D157" s="1">
        <v>45975</v>
      </c>
      <c r="E157">
        <v>7.8</v>
      </c>
      <c r="F157" t="s">
        <v>4090</v>
      </c>
      <c r="G157" s="1">
        <v>46009</v>
      </c>
      <c r="H157" t="s">
        <v>4091</v>
      </c>
      <c r="I157" t="str">
        <f t="shared" si="6"/>
        <v>November</v>
      </c>
      <c r="J157" t="str">
        <f t="shared" si="7"/>
        <v>Q4</v>
      </c>
      <c r="K157">
        <f t="shared" si="8"/>
        <v>2025</v>
      </c>
    </row>
    <row r="158" spans="1:11" x14ac:dyDescent="0.3">
      <c r="A158" t="s">
        <v>4247</v>
      </c>
      <c r="B158" t="s">
        <v>313</v>
      </c>
      <c r="C158" t="s">
        <v>96</v>
      </c>
      <c r="D158" s="1">
        <v>45895</v>
      </c>
      <c r="E158">
        <v>16.8</v>
      </c>
      <c r="F158" t="s">
        <v>4090</v>
      </c>
      <c r="G158" s="1">
        <v>45924</v>
      </c>
      <c r="H158" t="s">
        <v>4091</v>
      </c>
      <c r="I158" t="str">
        <f t="shared" si="6"/>
        <v>August</v>
      </c>
      <c r="J158" t="str">
        <f t="shared" si="7"/>
        <v>Q3</v>
      </c>
      <c r="K158">
        <f t="shared" si="8"/>
        <v>2025</v>
      </c>
    </row>
    <row r="159" spans="1:11" x14ac:dyDescent="0.3">
      <c r="A159" t="s">
        <v>4248</v>
      </c>
      <c r="B159" t="s">
        <v>449</v>
      </c>
      <c r="C159" t="s">
        <v>58</v>
      </c>
      <c r="D159" s="1">
        <v>45835</v>
      </c>
      <c r="E159">
        <v>13</v>
      </c>
      <c r="F159" t="s">
        <v>4090</v>
      </c>
      <c r="G159" s="1">
        <v>45874</v>
      </c>
      <c r="H159" t="s">
        <v>4091</v>
      </c>
      <c r="I159" t="str">
        <f t="shared" si="6"/>
        <v>June</v>
      </c>
      <c r="J159" t="str">
        <f t="shared" si="7"/>
        <v>Q2</v>
      </c>
      <c r="K159">
        <f t="shared" si="8"/>
        <v>2025</v>
      </c>
    </row>
    <row r="160" spans="1:11" x14ac:dyDescent="0.3">
      <c r="A160" t="s">
        <v>4249</v>
      </c>
      <c r="B160" t="s">
        <v>373</v>
      </c>
      <c r="C160" t="s">
        <v>374</v>
      </c>
      <c r="D160" s="1">
        <v>45751</v>
      </c>
      <c r="E160">
        <v>13.9</v>
      </c>
      <c r="F160" t="s">
        <v>4090</v>
      </c>
      <c r="G160" s="1">
        <v>45793</v>
      </c>
      <c r="H160" t="s">
        <v>4091</v>
      </c>
      <c r="I160" t="str">
        <f t="shared" si="6"/>
        <v>April</v>
      </c>
      <c r="J160" t="str">
        <f t="shared" si="7"/>
        <v>Q2</v>
      </c>
      <c r="K160">
        <f t="shared" si="8"/>
        <v>2025</v>
      </c>
    </row>
    <row r="161" spans="1:11" x14ac:dyDescent="0.3">
      <c r="A161" t="s">
        <v>4250</v>
      </c>
      <c r="B161" t="s">
        <v>499</v>
      </c>
      <c r="C161" t="s">
        <v>195</v>
      </c>
      <c r="D161" s="1">
        <v>45891</v>
      </c>
      <c r="E161">
        <v>15.1</v>
      </c>
      <c r="F161" t="s">
        <v>4090</v>
      </c>
      <c r="G161" s="1">
        <v>45915</v>
      </c>
      <c r="H161" t="s">
        <v>4091</v>
      </c>
      <c r="I161" t="str">
        <f t="shared" si="6"/>
        <v>August</v>
      </c>
      <c r="J161" t="str">
        <f t="shared" si="7"/>
        <v>Q3</v>
      </c>
      <c r="K161">
        <f t="shared" si="8"/>
        <v>2025</v>
      </c>
    </row>
    <row r="162" spans="1:11" x14ac:dyDescent="0.3">
      <c r="A162" t="s">
        <v>4251</v>
      </c>
      <c r="B162" t="s">
        <v>396</v>
      </c>
      <c r="C162" t="s">
        <v>298</v>
      </c>
      <c r="D162" s="1">
        <v>45906</v>
      </c>
      <c r="E162">
        <v>10.7</v>
      </c>
      <c r="F162" t="s">
        <v>4090</v>
      </c>
      <c r="G162" s="1">
        <v>45925</v>
      </c>
      <c r="H162" t="s">
        <v>4091</v>
      </c>
      <c r="I162" t="str">
        <f t="shared" si="6"/>
        <v>September</v>
      </c>
      <c r="J162" t="str">
        <f t="shared" si="7"/>
        <v>Q3</v>
      </c>
      <c r="K162">
        <f t="shared" si="8"/>
        <v>2025</v>
      </c>
    </row>
    <row r="163" spans="1:11" x14ac:dyDescent="0.3">
      <c r="A163" t="s">
        <v>4252</v>
      </c>
      <c r="B163" t="s">
        <v>144</v>
      </c>
      <c r="C163" t="s">
        <v>45</v>
      </c>
      <c r="D163" s="1">
        <v>45879</v>
      </c>
      <c r="E163">
        <v>13.1</v>
      </c>
      <c r="F163" t="s">
        <v>4090</v>
      </c>
      <c r="G163" s="1">
        <v>45914</v>
      </c>
      <c r="H163" t="s">
        <v>4091</v>
      </c>
      <c r="I163" t="str">
        <f t="shared" si="6"/>
        <v>August</v>
      </c>
      <c r="J163" t="str">
        <f t="shared" si="7"/>
        <v>Q3</v>
      </c>
      <c r="K163">
        <f t="shared" si="8"/>
        <v>2025</v>
      </c>
    </row>
    <row r="164" spans="1:11" x14ac:dyDescent="0.3">
      <c r="A164" t="s">
        <v>4253</v>
      </c>
      <c r="B164" t="s">
        <v>471</v>
      </c>
      <c r="C164" t="s">
        <v>58</v>
      </c>
      <c r="D164" s="1">
        <v>45818</v>
      </c>
      <c r="E164">
        <v>21.7</v>
      </c>
      <c r="F164" t="s">
        <v>4090</v>
      </c>
      <c r="G164" s="1">
        <v>45848</v>
      </c>
      <c r="H164" t="s">
        <v>4091</v>
      </c>
      <c r="I164" t="str">
        <f t="shared" si="6"/>
        <v>June</v>
      </c>
      <c r="J164" t="str">
        <f t="shared" si="7"/>
        <v>Q2</v>
      </c>
      <c r="K164">
        <f t="shared" si="8"/>
        <v>2025</v>
      </c>
    </row>
    <row r="165" spans="1:11" x14ac:dyDescent="0.3">
      <c r="A165" t="s">
        <v>4254</v>
      </c>
      <c r="B165" t="s">
        <v>217</v>
      </c>
      <c r="C165" t="s">
        <v>176</v>
      </c>
      <c r="D165" s="1">
        <v>45730</v>
      </c>
      <c r="E165">
        <v>10.199999999999999</v>
      </c>
      <c r="F165" t="s">
        <v>4090</v>
      </c>
      <c r="G165" s="1">
        <v>45745</v>
      </c>
      <c r="H165" t="s">
        <v>4091</v>
      </c>
      <c r="I165" t="str">
        <f t="shared" si="6"/>
        <v>March</v>
      </c>
      <c r="J165" t="str">
        <f t="shared" si="7"/>
        <v>Q1</v>
      </c>
      <c r="K165">
        <f t="shared" si="8"/>
        <v>2025</v>
      </c>
    </row>
    <row r="166" spans="1:11" x14ac:dyDescent="0.3">
      <c r="A166" t="s">
        <v>4255</v>
      </c>
      <c r="B166" t="s">
        <v>548</v>
      </c>
      <c r="C166" t="s">
        <v>51</v>
      </c>
      <c r="D166" s="1">
        <v>45974</v>
      </c>
      <c r="E166">
        <v>9.6</v>
      </c>
      <c r="F166" t="s">
        <v>4090</v>
      </c>
      <c r="G166" s="1">
        <v>45990</v>
      </c>
      <c r="H166" t="s">
        <v>4091</v>
      </c>
      <c r="I166" t="str">
        <f t="shared" si="6"/>
        <v>November</v>
      </c>
      <c r="J166" t="str">
        <f t="shared" si="7"/>
        <v>Q4</v>
      </c>
      <c r="K166">
        <f t="shared" si="8"/>
        <v>2025</v>
      </c>
    </row>
    <row r="167" spans="1:11" x14ac:dyDescent="0.3">
      <c r="A167" t="s">
        <v>4256</v>
      </c>
      <c r="B167" t="s">
        <v>223</v>
      </c>
      <c r="C167" t="s">
        <v>45</v>
      </c>
      <c r="D167" s="1">
        <v>45860</v>
      </c>
      <c r="E167">
        <v>17.7</v>
      </c>
      <c r="F167" t="s">
        <v>4090</v>
      </c>
      <c r="G167" s="1">
        <v>45888</v>
      </c>
      <c r="H167" t="s">
        <v>4091</v>
      </c>
      <c r="I167" t="str">
        <f t="shared" si="6"/>
        <v>July</v>
      </c>
      <c r="J167" t="str">
        <f t="shared" si="7"/>
        <v>Q3</v>
      </c>
      <c r="K167">
        <f t="shared" si="8"/>
        <v>2025</v>
      </c>
    </row>
    <row r="168" spans="1:11" x14ac:dyDescent="0.3">
      <c r="A168" t="s">
        <v>4257</v>
      </c>
      <c r="B168" t="s">
        <v>248</v>
      </c>
      <c r="C168" t="s">
        <v>208</v>
      </c>
      <c r="D168" s="1">
        <v>45810</v>
      </c>
      <c r="E168">
        <v>5.2</v>
      </c>
      <c r="F168" t="s">
        <v>4090</v>
      </c>
      <c r="G168" s="1">
        <v>45831</v>
      </c>
      <c r="H168" t="s">
        <v>4091</v>
      </c>
      <c r="I168" t="str">
        <f t="shared" si="6"/>
        <v>June</v>
      </c>
      <c r="J168" t="str">
        <f t="shared" si="7"/>
        <v>Q2</v>
      </c>
      <c r="K168">
        <f t="shared" si="8"/>
        <v>2025</v>
      </c>
    </row>
    <row r="169" spans="1:11" x14ac:dyDescent="0.3">
      <c r="A169" t="s">
        <v>4258</v>
      </c>
      <c r="B169" t="s">
        <v>1588</v>
      </c>
      <c r="C169" t="s">
        <v>147</v>
      </c>
      <c r="D169" s="1">
        <v>45855</v>
      </c>
      <c r="E169">
        <v>20.5</v>
      </c>
      <c r="F169" t="s">
        <v>4090</v>
      </c>
      <c r="G169" s="1">
        <v>45876</v>
      </c>
      <c r="H169" t="s">
        <v>4091</v>
      </c>
      <c r="I169" t="str">
        <f t="shared" si="6"/>
        <v>July</v>
      </c>
      <c r="J169" t="str">
        <f t="shared" si="7"/>
        <v>Q3</v>
      </c>
      <c r="K169">
        <f t="shared" si="8"/>
        <v>2025</v>
      </c>
    </row>
    <row r="170" spans="1:11" x14ac:dyDescent="0.3">
      <c r="A170" t="s">
        <v>4259</v>
      </c>
      <c r="B170" t="s">
        <v>531</v>
      </c>
      <c r="C170" t="s">
        <v>65</v>
      </c>
      <c r="D170" s="1">
        <v>45939</v>
      </c>
      <c r="E170">
        <v>26</v>
      </c>
      <c r="F170" t="s">
        <v>4090</v>
      </c>
      <c r="G170" s="1">
        <v>45957</v>
      </c>
      <c r="H170" t="s">
        <v>4091</v>
      </c>
      <c r="I170" t="str">
        <f t="shared" si="6"/>
        <v>October</v>
      </c>
      <c r="J170" t="str">
        <f t="shared" si="7"/>
        <v>Q4</v>
      </c>
      <c r="K170">
        <f t="shared" si="8"/>
        <v>2025</v>
      </c>
    </row>
    <row r="171" spans="1:11" x14ac:dyDescent="0.3">
      <c r="A171" t="s">
        <v>4260</v>
      </c>
      <c r="B171" t="s">
        <v>479</v>
      </c>
      <c r="C171" t="s">
        <v>62</v>
      </c>
      <c r="D171" s="1">
        <v>45716</v>
      </c>
      <c r="E171">
        <v>6.2</v>
      </c>
      <c r="F171" t="s">
        <v>4090</v>
      </c>
      <c r="G171" s="1">
        <v>45731</v>
      </c>
      <c r="H171" t="s">
        <v>4091</v>
      </c>
      <c r="I171" t="str">
        <f t="shared" si="6"/>
        <v>February</v>
      </c>
      <c r="J171" t="str">
        <f t="shared" si="7"/>
        <v>Q1</v>
      </c>
      <c r="K171">
        <f t="shared" si="8"/>
        <v>2025</v>
      </c>
    </row>
    <row r="172" spans="1:11" x14ac:dyDescent="0.3">
      <c r="A172" t="s">
        <v>4261</v>
      </c>
      <c r="B172" t="s">
        <v>255</v>
      </c>
      <c r="C172" t="s">
        <v>27</v>
      </c>
      <c r="D172" s="1">
        <v>45910</v>
      </c>
      <c r="E172">
        <v>13.5</v>
      </c>
      <c r="F172" t="s">
        <v>4090</v>
      </c>
      <c r="G172" s="1">
        <v>45931</v>
      </c>
      <c r="H172" t="s">
        <v>4091</v>
      </c>
      <c r="I172" t="str">
        <f t="shared" si="6"/>
        <v>September</v>
      </c>
      <c r="J172" t="str">
        <f t="shared" si="7"/>
        <v>Q3</v>
      </c>
      <c r="K172">
        <f t="shared" si="8"/>
        <v>2025</v>
      </c>
    </row>
    <row r="173" spans="1:11" x14ac:dyDescent="0.3">
      <c r="A173" t="s">
        <v>4262</v>
      </c>
      <c r="B173" t="s">
        <v>54</v>
      </c>
      <c r="C173" t="s">
        <v>55</v>
      </c>
      <c r="D173" s="1">
        <v>45934</v>
      </c>
      <c r="E173">
        <v>42.2</v>
      </c>
      <c r="F173" t="s">
        <v>4090</v>
      </c>
      <c r="G173" s="1">
        <v>45953</v>
      </c>
      <c r="H173" t="s">
        <v>4091</v>
      </c>
      <c r="I173" t="str">
        <f t="shared" si="6"/>
        <v>October</v>
      </c>
      <c r="J173" t="str">
        <f t="shared" si="7"/>
        <v>Q4</v>
      </c>
      <c r="K173">
        <f t="shared" si="8"/>
        <v>2025</v>
      </c>
    </row>
    <row r="174" spans="1:11" x14ac:dyDescent="0.3">
      <c r="A174" t="s">
        <v>4263</v>
      </c>
      <c r="B174" t="s">
        <v>447</v>
      </c>
      <c r="C174" t="s">
        <v>240</v>
      </c>
      <c r="D174" s="1">
        <v>45969</v>
      </c>
      <c r="E174">
        <v>12.4</v>
      </c>
      <c r="F174" t="s">
        <v>4090</v>
      </c>
      <c r="G174" s="1">
        <v>45998</v>
      </c>
      <c r="H174" t="s">
        <v>4091</v>
      </c>
      <c r="I174" t="str">
        <f t="shared" si="6"/>
        <v>November</v>
      </c>
      <c r="J174" t="str">
        <f t="shared" si="7"/>
        <v>Q4</v>
      </c>
      <c r="K174">
        <f t="shared" si="8"/>
        <v>2025</v>
      </c>
    </row>
    <row r="175" spans="1:11" x14ac:dyDescent="0.3">
      <c r="A175" t="s">
        <v>4264</v>
      </c>
      <c r="B175" t="s">
        <v>392</v>
      </c>
      <c r="C175" t="s">
        <v>41</v>
      </c>
      <c r="D175" s="1">
        <v>45839</v>
      </c>
      <c r="E175">
        <v>18.5</v>
      </c>
      <c r="F175" t="s">
        <v>4090</v>
      </c>
      <c r="G175" s="1">
        <v>45863</v>
      </c>
      <c r="H175" t="s">
        <v>4091</v>
      </c>
      <c r="I175" t="str">
        <f t="shared" si="6"/>
        <v>July</v>
      </c>
      <c r="J175" t="str">
        <f t="shared" si="7"/>
        <v>Q3</v>
      </c>
      <c r="K175">
        <f t="shared" si="8"/>
        <v>2025</v>
      </c>
    </row>
    <row r="176" spans="1:11" x14ac:dyDescent="0.3">
      <c r="A176" t="s">
        <v>4265</v>
      </c>
      <c r="B176" t="s">
        <v>211</v>
      </c>
      <c r="C176" t="s">
        <v>96</v>
      </c>
      <c r="D176" s="1">
        <v>45915</v>
      </c>
      <c r="E176">
        <v>4.5</v>
      </c>
      <c r="F176" t="s">
        <v>4090</v>
      </c>
      <c r="G176" s="1">
        <v>45951</v>
      </c>
      <c r="H176" t="s">
        <v>4091</v>
      </c>
      <c r="I176" t="str">
        <f t="shared" si="6"/>
        <v>September</v>
      </c>
      <c r="J176" t="str">
        <f t="shared" si="7"/>
        <v>Q3</v>
      </c>
      <c r="K176">
        <f t="shared" si="8"/>
        <v>2025</v>
      </c>
    </row>
    <row r="177" spans="1:11" x14ac:dyDescent="0.3">
      <c r="A177" t="s">
        <v>4266</v>
      </c>
      <c r="B177" t="s">
        <v>295</v>
      </c>
      <c r="C177" t="s">
        <v>41</v>
      </c>
      <c r="D177" s="1">
        <v>45836</v>
      </c>
      <c r="E177">
        <v>21.6</v>
      </c>
      <c r="F177" t="s">
        <v>4090</v>
      </c>
      <c r="G177" s="1">
        <v>45858</v>
      </c>
      <c r="H177" t="s">
        <v>4091</v>
      </c>
      <c r="I177" t="str">
        <f t="shared" si="6"/>
        <v>June</v>
      </c>
      <c r="J177" t="str">
        <f t="shared" si="7"/>
        <v>Q2</v>
      </c>
      <c r="K177">
        <f t="shared" si="8"/>
        <v>2025</v>
      </c>
    </row>
    <row r="178" spans="1:11" x14ac:dyDescent="0.3">
      <c r="A178" t="s">
        <v>4267</v>
      </c>
      <c r="B178" t="s">
        <v>451</v>
      </c>
      <c r="C178" t="s">
        <v>88</v>
      </c>
      <c r="D178" s="1">
        <v>45768</v>
      </c>
      <c r="E178">
        <v>11.8</v>
      </c>
      <c r="F178" t="s">
        <v>4090</v>
      </c>
      <c r="G178" s="1">
        <v>45804</v>
      </c>
      <c r="H178" t="s">
        <v>4091</v>
      </c>
      <c r="I178" t="str">
        <f t="shared" si="6"/>
        <v>April</v>
      </c>
      <c r="J178" t="str">
        <f t="shared" si="7"/>
        <v>Q2</v>
      </c>
      <c r="K178">
        <f t="shared" si="8"/>
        <v>2025</v>
      </c>
    </row>
    <row r="179" spans="1:11" x14ac:dyDescent="0.3">
      <c r="A179" t="s">
        <v>4268</v>
      </c>
      <c r="B179" t="s">
        <v>404</v>
      </c>
      <c r="C179" t="s">
        <v>10</v>
      </c>
      <c r="D179" s="1">
        <v>45939</v>
      </c>
      <c r="E179">
        <v>9.1999999999999993</v>
      </c>
      <c r="F179" t="s">
        <v>4090</v>
      </c>
      <c r="G179" s="1">
        <v>45962</v>
      </c>
      <c r="H179" t="s">
        <v>4091</v>
      </c>
      <c r="I179" t="str">
        <f t="shared" si="6"/>
        <v>October</v>
      </c>
      <c r="J179" t="str">
        <f t="shared" si="7"/>
        <v>Q4</v>
      </c>
      <c r="K179">
        <f t="shared" si="8"/>
        <v>2025</v>
      </c>
    </row>
    <row r="180" spans="1:11" x14ac:dyDescent="0.3">
      <c r="A180" t="s">
        <v>4269</v>
      </c>
      <c r="B180" t="s">
        <v>231</v>
      </c>
      <c r="C180" t="s">
        <v>22</v>
      </c>
      <c r="D180" s="1">
        <v>45854</v>
      </c>
      <c r="E180">
        <v>4.9000000000000004</v>
      </c>
      <c r="F180" t="s">
        <v>4090</v>
      </c>
      <c r="G180" s="1">
        <v>45871</v>
      </c>
      <c r="H180" t="s">
        <v>4091</v>
      </c>
      <c r="I180" t="str">
        <f t="shared" si="6"/>
        <v>July</v>
      </c>
      <c r="J180" t="str">
        <f t="shared" si="7"/>
        <v>Q3</v>
      </c>
      <c r="K180">
        <f t="shared" si="8"/>
        <v>2025</v>
      </c>
    </row>
    <row r="181" spans="1:11" x14ac:dyDescent="0.3">
      <c r="A181" t="s">
        <v>4270</v>
      </c>
      <c r="B181" t="s">
        <v>15</v>
      </c>
      <c r="C181" t="s">
        <v>16</v>
      </c>
      <c r="D181" s="1">
        <v>45776</v>
      </c>
      <c r="E181">
        <v>11.8</v>
      </c>
      <c r="F181" t="s">
        <v>4090</v>
      </c>
      <c r="G181" s="1">
        <v>45805</v>
      </c>
      <c r="H181" t="s">
        <v>4091</v>
      </c>
      <c r="I181" t="str">
        <f t="shared" si="6"/>
        <v>April</v>
      </c>
      <c r="J181" t="str">
        <f t="shared" si="7"/>
        <v>Q2</v>
      </c>
      <c r="K181">
        <f t="shared" si="8"/>
        <v>2025</v>
      </c>
    </row>
    <row r="182" spans="1:11" x14ac:dyDescent="0.3">
      <c r="A182" t="s">
        <v>4271</v>
      </c>
      <c r="B182" t="s">
        <v>165</v>
      </c>
      <c r="C182" t="s">
        <v>166</v>
      </c>
      <c r="D182" s="1">
        <v>45800</v>
      </c>
      <c r="E182">
        <v>13.2</v>
      </c>
      <c r="F182" t="s">
        <v>4090</v>
      </c>
      <c r="G182" s="1">
        <v>45838</v>
      </c>
      <c r="H182" t="s">
        <v>4091</v>
      </c>
      <c r="I182" t="str">
        <f t="shared" si="6"/>
        <v>May</v>
      </c>
      <c r="J182" t="str">
        <f t="shared" si="7"/>
        <v>Q2</v>
      </c>
      <c r="K182">
        <f t="shared" si="8"/>
        <v>2025</v>
      </c>
    </row>
    <row r="183" spans="1:11" x14ac:dyDescent="0.3">
      <c r="A183" t="s">
        <v>4272</v>
      </c>
      <c r="B183" t="s">
        <v>3136</v>
      </c>
      <c r="C183" t="s">
        <v>99</v>
      </c>
      <c r="D183" s="1">
        <v>45858</v>
      </c>
      <c r="E183">
        <v>2.9</v>
      </c>
      <c r="F183" t="s">
        <v>4090</v>
      </c>
      <c r="G183" s="1">
        <v>45890</v>
      </c>
      <c r="H183" t="s">
        <v>4091</v>
      </c>
      <c r="I183" t="str">
        <f t="shared" si="6"/>
        <v>July</v>
      </c>
      <c r="J183" t="str">
        <f t="shared" si="7"/>
        <v>Q3</v>
      </c>
      <c r="K183">
        <f t="shared" si="8"/>
        <v>2025</v>
      </c>
    </row>
    <row r="184" spans="1:11" x14ac:dyDescent="0.3">
      <c r="A184" t="s">
        <v>4273</v>
      </c>
      <c r="B184" t="s">
        <v>107</v>
      </c>
      <c r="C184" t="s">
        <v>108</v>
      </c>
      <c r="D184" s="1">
        <v>45778</v>
      </c>
      <c r="E184">
        <v>10.1</v>
      </c>
      <c r="F184" t="s">
        <v>4090</v>
      </c>
      <c r="G184" s="1">
        <v>45800</v>
      </c>
      <c r="H184" t="s">
        <v>4091</v>
      </c>
      <c r="I184" t="str">
        <f t="shared" si="6"/>
        <v>May</v>
      </c>
      <c r="J184" t="str">
        <f t="shared" si="7"/>
        <v>Q2</v>
      </c>
      <c r="K184">
        <f t="shared" si="8"/>
        <v>2025</v>
      </c>
    </row>
    <row r="185" spans="1:11" x14ac:dyDescent="0.3">
      <c r="A185" t="s">
        <v>4274</v>
      </c>
      <c r="B185" t="s">
        <v>441</v>
      </c>
      <c r="C185" t="s">
        <v>96</v>
      </c>
      <c r="D185" s="1">
        <v>45905</v>
      </c>
      <c r="E185">
        <v>6.2</v>
      </c>
      <c r="F185" t="s">
        <v>4090</v>
      </c>
      <c r="G185" s="1">
        <v>45923</v>
      </c>
      <c r="H185" t="s">
        <v>4091</v>
      </c>
      <c r="I185" t="str">
        <f t="shared" si="6"/>
        <v>September</v>
      </c>
      <c r="J185" t="str">
        <f t="shared" si="7"/>
        <v>Q3</v>
      </c>
      <c r="K185">
        <f t="shared" si="8"/>
        <v>2025</v>
      </c>
    </row>
    <row r="186" spans="1:11" x14ac:dyDescent="0.3">
      <c r="A186" t="s">
        <v>4275</v>
      </c>
      <c r="B186" t="s">
        <v>339</v>
      </c>
      <c r="C186" t="s">
        <v>340</v>
      </c>
      <c r="D186" s="1">
        <v>45710</v>
      </c>
      <c r="E186">
        <v>20.6</v>
      </c>
      <c r="F186" t="s">
        <v>4090</v>
      </c>
      <c r="G186" s="1">
        <v>45737</v>
      </c>
      <c r="H186" t="s">
        <v>4091</v>
      </c>
      <c r="I186" t="str">
        <f t="shared" si="6"/>
        <v>February</v>
      </c>
      <c r="J186" t="str">
        <f t="shared" si="7"/>
        <v>Q1</v>
      </c>
      <c r="K186">
        <f t="shared" si="8"/>
        <v>2025</v>
      </c>
    </row>
    <row r="187" spans="1:11" x14ac:dyDescent="0.3">
      <c r="A187" t="s">
        <v>4276</v>
      </c>
      <c r="B187" t="s">
        <v>2164</v>
      </c>
      <c r="C187" t="s">
        <v>99</v>
      </c>
      <c r="D187" s="1">
        <v>45872</v>
      </c>
      <c r="E187">
        <v>13.9</v>
      </c>
      <c r="F187" t="s">
        <v>4090</v>
      </c>
      <c r="G187" s="1">
        <v>45889</v>
      </c>
      <c r="H187" t="s">
        <v>4091</v>
      </c>
      <c r="I187" t="str">
        <f t="shared" si="6"/>
        <v>August</v>
      </c>
      <c r="J187" t="str">
        <f t="shared" si="7"/>
        <v>Q3</v>
      </c>
      <c r="K187">
        <f t="shared" si="8"/>
        <v>2025</v>
      </c>
    </row>
    <row r="188" spans="1:11" x14ac:dyDescent="0.3">
      <c r="A188" t="s">
        <v>4277</v>
      </c>
      <c r="B188" t="s">
        <v>426</v>
      </c>
      <c r="C188" t="s">
        <v>374</v>
      </c>
      <c r="D188" s="1">
        <v>45769</v>
      </c>
      <c r="E188">
        <v>16.5</v>
      </c>
      <c r="F188" t="s">
        <v>4090</v>
      </c>
      <c r="G188" s="1">
        <v>45793</v>
      </c>
      <c r="H188" t="s">
        <v>4091</v>
      </c>
      <c r="I188" t="str">
        <f t="shared" si="6"/>
        <v>April</v>
      </c>
      <c r="J188" t="str">
        <f t="shared" si="7"/>
        <v>Q2</v>
      </c>
      <c r="K188">
        <f t="shared" si="8"/>
        <v>2025</v>
      </c>
    </row>
    <row r="189" spans="1:11" x14ac:dyDescent="0.3">
      <c r="A189" t="s">
        <v>4278</v>
      </c>
      <c r="B189" t="s">
        <v>535</v>
      </c>
      <c r="C189" t="s">
        <v>156</v>
      </c>
      <c r="D189" s="1">
        <v>45753</v>
      </c>
      <c r="E189">
        <v>14.3</v>
      </c>
      <c r="F189" t="s">
        <v>4090</v>
      </c>
      <c r="G189" s="1">
        <v>45797</v>
      </c>
      <c r="H189" t="s">
        <v>4091</v>
      </c>
      <c r="I189" t="str">
        <f t="shared" si="6"/>
        <v>April</v>
      </c>
      <c r="J189" t="str">
        <f t="shared" si="7"/>
        <v>Q2</v>
      </c>
      <c r="K189">
        <f t="shared" si="8"/>
        <v>2025</v>
      </c>
    </row>
    <row r="190" spans="1:11" x14ac:dyDescent="0.3">
      <c r="A190" t="s">
        <v>4279</v>
      </c>
      <c r="B190" t="s">
        <v>180</v>
      </c>
      <c r="C190" t="s">
        <v>51</v>
      </c>
      <c r="D190" s="1">
        <v>45964</v>
      </c>
      <c r="E190">
        <v>7.6</v>
      </c>
      <c r="F190" t="s">
        <v>4090</v>
      </c>
      <c r="G190" s="1">
        <v>46003</v>
      </c>
      <c r="H190" t="s">
        <v>4091</v>
      </c>
      <c r="I190" t="str">
        <f t="shared" si="6"/>
        <v>November</v>
      </c>
      <c r="J190" t="str">
        <f t="shared" si="7"/>
        <v>Q4</v>
      </c>
      <c r="K190">
        <f t="shared" si="8"/>
        <v>2025</v>
      </c>
    </row>
    <row r="191" spans="1:11" x14ac:dyDescent="0.3">
      <c r="A191" t="s">
        <v>4280</v>
      </c>
      <c r="B191" t="s">
        <v>503</v>
      </c>
      <c r="C191" t="s">
        <v>78</v>
      </c>
      <c r="D191" s="1">
        <v>45932</v>
      </c>
      <c r="E191">
        <v>13</v>
      </c>
      <c r="F191" t="s">
        <v>4090</v>
      </c>
      <c r="G191" s="1">
        <v>45974</v>
      </c>
      <c r="H191" t="s">
        <v>4091</v>
      </c>
      <c r="I191" t="str">
        <f t="shared" si="6"/>
        <v>October</v>
      </c>
      <c r="J191" t="str">
        <f t="shared" si="7"/>
        <v>Q4</v>
      </c>
      <c r="K191">
        <f t="shared" si="8"/>
        <v>2025</v>
      </c>
    </row>
    <row r="192" spans="1:11" x14ac:dyDescent="0.3">
      <c r="A192" t="s">
        <v>4281</v>
      </c>
      <c r="B192" t="s">
        <v>126</v>
      </c>
      <c r="C192" t="s">
        <v>127</v>
      </c>
      <c r="D192" s="1">
        <v>45966</v>
      </c>
      <c r="E192">
        <v>6.3</v>
      </c>
      <c r="F192" t="s">
        <v>4090</v>
      </c>
      <c r="G192" s="1">
        <v>45985</v>
      </c>
      <c r="H192" t="s">
        <v>4091</v>
      </c>
      <c r="I192" t="str">
        <f t="shared" si="6"/>
        <v>November</v>
      </c>
      <c r="J192" t="str">
        <f t="shared" si="7"/>
        <v>Q4</v>
      </c>
      <c r="K192">
        <f t="shared" si="8"/>
        <v>2025</v>
      </c>
    </row>
    <row r="193" spans="1:11" x14ac:dyDescent="0.3">
      <c r="A193" t="s">
        <v>4282</v>
      </c>
      <c r="B193" t="s">
        <v>402</v>
      </c>
      <c r="C193" t="s">
        <v>99</v>
      </c>
      <c r="D193" s="1">
        <v>45878</v>
      </c>
      <c r="E193">
        <v>14.5</v>
      </c>
      <c r="F193" t="s">
        <v>4090</v>
      </c>
      <c r="G193" s="1">
        <v>45907</v>
      </c>
      <c r="H193" t="s">
        <v>4091</v>
      </c>
      <c r="I193" t="str">
        <f t="shared" si="6"/>
        <v>August</v>
      </c>
      <c r="J193" t="str">
        <f t="shared" si="7"/>
        <v>Q3</v>
      </c>
      <c r="K193">
        <f t="shared" si="8"/>
        <v>2025</v>
      </c>
    </row>
    <row r="194" spans="1:11" x14ac:dyDescent="0.3">
      <c r="A194" t="s">
        <v>4283</v>
      </c>
      <c r="B194" t="s">
        <v>50</v>
      </c>
      <c r="C194" t="s">
        <v>51</v>
      </c>
      <c r="D194" s="1">
        <v>45964</v>
      </c>
      <c r="E194">
        <v>15.3</v>
      </c>
      <c r="F194" t="s">
        <v>4090</v>
      </c>
      <c r="G194" s="1">
        <v>45983</v>
      </c>
      <c r="H194" t="s">
        <v>4091</v>
      </c>
      <c r="I194" t="str">
        <f t="shared" ref="I194:I232" si="9">TEXT(D194,"mmmm")</f>
        <v>November</v>
      </c>
      <c r="J194" t="str">
        <f t="shared" ref="J194:J232" si="10">"Q"&amp;ROUNDUP(MONTH(D194)/3,0)</f>
        <v>Q4</v>
      </c>
      <c r="K194">
        <f t="shared" ref="K194:K232" si="11">YEAR(D194)</f>
        <v>2025</v>
      </c>
    </row>
    <row r="195" spans="1:11" x14ac:dyDescent="0.3">
      <c r="A195" t="s">
        <v>4284</v>
      </c>
      <c r="B195" t="s">
        <v>414</v>
      </c>
      <c r="C195" t="s">
        <v>156</v>
      </c>
      <c r="D195" s="1">
        <v>45745</v>
      </c>
      <c r="E195">
        <v>10.9</v>
      </c>
      <c r="F195" t="s">
        <v>4090</v>
      </c>
      <c r="G195" s="1">
        <v>45788</v>
      </c>
      <c r="H195" t="s">
        <v>4091</v>
      </c>
      <c r="I195" t="str">
        <f t="shared" si="9"/>
        <v>March</v>
      </c>
      <c r="J195" t="str">
        <f t="shared" si="10"/>
        <v>Q1</v>
      </c>
      <c r="K195">
        <f t="shared" si="11"/>
        <v>2025</v>
      </c>
    </row>
    <row r="196" spans="1:11" x14ac:dyDescent="0.3">
      <c r="A196" t="s">
        <v>4285</v>
      </c>
      <c r="B196" t="s">
        <v>155</v>
      </c>
      <c r="C196" t="s">
        <v>156</v>
      </c>
      <c r="D196" s="1">
        <v>45752</v>
      </c>
      <c r="E196">
        <v>16.8</v>
      </c>
      <c r="F196" t="s">
        <v>4090</v>
      </c>
      <c r="G196" s="1">
        <v>45778</v>
      </c>
      <c r="H196" t="s">
        <v>4091</v>
      </c>
      <c r="I196" t="str">
        <f t="shared" si="9"/>
        <v>April</v>
      </c>
      <c r="J196" t="str">
        <f t="shared" si="10"/>
        <v>Q2</v>
      </c>
      <c r="K196">
        <f t="shared" si="11"/>
        <v>2025</v>
      </c>
    </row>
    <row r="197" spans="1:11" x14ac:dyDescent="0.3">
      <c r="A197" t="s">
        <v>4286</v>
      </c>
      <c r="B197" t="s">
        <v>461</v>
      </c>
      <c r="C197" t="s">
        <v>27</v>
      </c>
      <c r="D197" s="1">
        <v>45901</v>
      </c>
      <c r="E197">
        <v>18.2</v>
      </c>
      <c r="F197" t="s">
        <v>4090</v>
      </c>
      <c r="G197" s="1">
        <v>45945</v>
      </c>
      <c r="H197" t="s">
        <v>4091</v>
      </c>
      <c r="I197" t="str">
        <f t="shared" si="9"/>
        <v>September</v>
      </c>
      <c r="J197" t="str">
        <f t="shared" si="10"/>
        <v>Q3</v>
      </c>
      <c r="K197">
        <f t="shared" si="11"/>
        <v>2025</v>
      </c>
    </row>
    <row r="198" spans="1:11" x14ac:dyDescent="0.3">
      <c r="A198" t="s">
        <v>4287</v>
      </c>
      <c r="B198" t="s">
        <v>139</v>
      </c>
      <c r="C198" t="s">
        <v>140</v>
      </c>
      <c r="D198" s="1">
        <v>45930</v>
      </c>
      <c r="E198">
        <v>17.7</v>
      </c>
      <c r="F198" t="s">
        <v>4090</v>
      </c>
      <c r="G198" s="1">
        <v>45961</v>
      </c>
      <c r="H198" t="s">
        <v>4091</v>
      </c>
      <c r="I198" t="str">
        <f t="shared" si="9"/>
        <v>September</v>
      </c>
      <c r="J198" t="str">
        <f t="shared" si="10"/>
        <v>Q3</v>
      </c>
      <c r="K198">
        <f t="shared" si="11"/>
        <v>2025</v>
      </c>
    </row>
    <row r="199" spans="1:11" x14ac:dyDescent="0.3">
      <c r="A199" t="s">
        <v>4288</v>
      </c>
      <c r="B199" t="s">
        <v>544</v>
      </c>
      <c r="C199" t="s">
        <v>156</v>
      </c>
      <c r="D199" s="1">
        <v>45746</v>
      </c>
      <c r="E199">
        <v>20.9</v>
      </c>
      <c r="F199" t="s">
        <v>4090</v>
      </c>
      <c r="G199" s="1">
        <v>45764</v>
      </c>
      <c r="H199" t="s">
        <v>4091</v>
      </c>
      <c r="I199" t="str">
        <f t="shared" si="9"/>
        <v>March</v>
      </c>
      <c r="J199" t="str">
        <f t="shared" si="10"/>
        <v>Q1</v>
      </c>
      <c r="K199">
        <f t="shared" si="11"/>
        <v>2025</v>
      </c>
    </row>
    <row r="200" spans="1:11" x14ac:dyDescent="0.3">
      <c r="A200" t="s">
        <v>4289</v>
      </c>
      <c r="B200" t="s">
        <v>279</v>
      </c>
      <c r="C200" t="s">
        <v>240</v>
      </c>
      <c r="D200" s="1">
        <v>45952</v>
      </c>
      <c r="E200">
        <v>16.100000000000001</v>
      </c>
      <c r="F200" t="s">
        <v>4090</v>
      </c>
      <c r="G200" s="1">
        <v>45983</v>
      </c>
      <c r="H200" t="s">
        <v>4091</v>
      </c>
      <c r="I200" t="str">
        <f t="shared" si="9"/>
        <v>October</v>
      </c>
      <c r="J200" t="str">
        <f t="shared" si="10"/>
        <v>Q4</v>
      </c>
      <c r="K200">
        <f t="shared" si="11"/>
        <v>2025</v>
      </c>
    </row>
    <row r="201" spans="1:11" x14ac:dyDescent="0.3">
      <c r="A201" t="s">
        <v>4290</v>
      </c>
      <c r="B201" t="s">
        <v>273</v>
      </c>
      <c r="C201" t="s">
        <v>108</v>
      </c>
      <c r="D201" s="1">
        <v>45770</v>
      </c>
      <c r="E201">
        <v>10.199999999999999</v>
      </c>
      <c r="F201" t="s">
        <v>4090</v>
      </c>
      <c r="G201" s="1">
        <v>45801</v>
      </c>
      <c r="H201" t="s">
        <v>4091</v>
      </c>
      <c r="I201" t="str">
        <f t="shared" si="9"/>
        <v>April</v>
      </c>
      <c r="J201" t="str">
        <f t="shared" si="10"/>
        <v>Q2</v>
      </c>
      <c r="K201">
        <f t="shared" si="11"/>
        <v>2025</v>
      </c>
    </row>
    <row r="202" spans="1:11" x14ac:dyDescent="0.3">
      <c r="A202" t="s">
        <v>4291</v>
      </c>
      <c r="B202" t="s">
        <v>459</v>
      </c>
      <c r="C202" t="s">
        <v>156</v>
      </c>
      <c r="D202" s="1">
        <v>45742</v>
      </c>
      <c r="E202">
        <v>10.3</v>
      </c>
      <c r="F202" t="s">
        <v>4090</v>
      </c>
      <c r="G202" s="1">
        <v>45774</v>
      </c>
      <c r="H202" t="s">
        <v>4091</v>
      </c>
      <c r="I202" t="str">
        <f t="shared" si="9"/>
        <v>March</v>
      </c>
      <c r="J202" t="str">
        <f t="shared" si="10"/>
        <v>Q1</v>
      </c>
      <c r="K202">
        <f t="shared" si="11"/>
        <v>2025</v>
      </c>
    </row>
    <row r="203" spans="1:11" x14ac:dyDescent="0.3">
      <c r="A203" t="s">
        <v>4292</v>
      </c>
      <c r="B203" t="s">
        <v>495</v>
      </c>
      <c r="C203" t="s">
        <v>58</v>
      </c>
      <c r="D203" s="1">
        <v>45833</v>
      </c>
      <c r="E203">
        <v>3.2</v>
      </c>
      <c r="F203" t="s">
        <v>4090</v>
      </c>
      <c r="G203" s="1">
        <v>45862</v>
      </c>
      <c r="H203" t="s">
        <v>4091</v>
      </c>
      <c r="I203" t="str">
        <f t="shared" si="9"/>
        <v>June</v>
      </c>
      <c r="J203" t="str">
        <f t="shared" si="10"/>
        <v>Q2</v>
      </c>
      <c r="K203">
        <f t="shared" si="11"/>
        <v>2025</v>
      </c>
    </row>
    <row r="204" spans="1:11" x14ac:dyDescent="0.3">
      <c r="A204" t="s">
        <v>4293</v>
      </c>
      <c r="B204" t="s">
        <v>120</v>
      </c>
      <c r="C204" t="s">
        <v>73</v>
      </c>
      <c r="D204" s="1">
        <v>45814</v>
      </c>
      <c r="E204">
        <v>3.5</v>
      </c>
      <c r="F204" t="s">
        <v>4090</v>
      </c>
      <c r="G204" s="1">
        <v>45841</v>
      </c>
      <c r="H204" t="s">
        <v>4091</v>
      </c>
      <c r="I204" t="str">
        <f t="shared" si="9"/>
        <v>June</v>
      </c>
      <c r="J204" t="str">
        <f t="shared" si="10"/>
        <v>Q2</v>
      </c>
      <c r="K204">
        <f t="shared" si="11"/>
        <v>2025</v>
      </c>
    </row>
    <row r="205" spans="1:11" x14ac:dyDescent="0.3">
      <c r="A205" t="s">
        <v>4294</v>
      </c>
      <c r="B205" t="s">
        <v>398</v>
      </c>
      <c r="C205" t="s">
        <v>133</v>
      </c>
      <c r="D205" s="1">
        <v>45710</v>
      </c>
      <c r="E205">
        <v>12.2</v>
      </c>
      <c r="F205" t="s">
        <v>4090</v>
      </c>
      <c r="G205" s="1">
        <v>45730</v>
      </c>
      <c r="H205" t="s">
        <v>4091</v>
      </c>
      <c r="I205" t="str">
        <f t="shared" si="9"/>
        <v>February</v>
      </c>
      <c r="J205" t="str">
        <f t="shared" si="10"/>
        <v>Q1</v>
      </c>
      <c r="K205">
        <f t="shared" si="11"/>
        <v>2025</v>
      </c>
    </row>
    <row r="206" spans="1:11" x14ac:dyDescent="0.3">
      <c r="A206" t="s">
        <v>4295</v>
      </c>
      <c r="B206" t="s">
        <v>77</v>
      </c>
      <c r="C206" t="s">
        <v>78</v>
      </c>
      <c r="D206" s="1">
        <v>45935</v>
      </c>
      <c r="E206">
        <v>22.6</v>
      </c>
      <c r="F206" t="s">
        <v>4090</v>
      </c>
      <c r="G206" s="1">
        <v>45978</v>
      </c>
      <c r="H206" t="s">
        <v>4091</v>
      </c>
      <c r="I206" t="str">
        <f t="shared" si="9"/>
        <v>October</v>
      </c>
      <c r="J206" t="str">
        <f t="shared" si="10"/>
        <v>Q4</v>
      </c>
      <c r="K206">
        <f t="shared" si="11"/>
        <v>2025</v>
      </c>
    </row>
    <row r="207" spans="1:11" x14ac:dyDescent="0.3">
      <c r="A207" t="s">
        <v>4296</v>
      </c>
      <c r="B207" t="s">
        <v>400</v>
      </c>
      <c r="C207" t="s">
        <v>92</v>
      </c>
      <c r="D207" s="1">
        <v>45807</v>
      </c>
      <c r="E207">
        <v>13</v>
      </c>
      <c r="F207" t="s">
        <v>4090</v>
      </c>
      <c r="G207" s="1">
        <v>45845</v>
      </c>
      <c r="H207" t="s">
        <v>4091</v>
      </c>
      <c r="I207" t="str">
        <f t="shared" si="9"/>
        <v>May</v>
      </c>
      <c r="J207" t="str">
        <f t="shared" si="10"/>
        <v>Q2</v>
      </c>
      <c r="K207">
        <f t="shared" si="11"/>
        <v>2025</v>
      </c>
    </row>
    <row r="208" spans="1:11" x14ac:dyDescent="0.3">
      <c r="A208" t="s">
        <v>4297</v>
      </c>
      <c r="B208" t="s">
        <v>285</v>
      </c>
      <c r="C208" t="s">
        <v>99</v>
      </c>
      <c r="D208" s="1">
        <v>45863</v>
      </c>
      <c r="E208">
        <v>11.5</v>
      </c>
      <c r="F208" t="s">
        <v>4090</v>
      </c>
      <c r="G208" s="1">
        <v>45908</v>
      </c>
      <c r="H208" t="s">
        <v>4091</v>
      </c>
      <c r="I208" t="str">
        <f t="shared" si="9"/>
        <v>July</v>
      </c>
      <c r="J208" t="str">
        <f t="shared" si="10"/>
        <v>Q3</v>
      </c>
      <c r="K208">
        <f t="shared" si="11"/>
        <v>2025</v>
      </c>
    </row>
    <row r="209" spans="1:11" x14ac:dyDescent="0.3">
      <c r="A209" t="s">
        <v>4298</v>
      </c>
      <c r="B209" t="s">
        <v>95</v>
      </c>
      <c r="C209" t="s">
        <v>96</v>
      </c>
      <c r="D209" s="1">
        <v>45898</v>
      </c>
      <c r="E209">
        <v>15.9</v>
      </c>
      <c r="F209" t="s">
        <v>4090</v>
      </c>
      <c r="G209" s="1">
        <v>45925</v>
      </c>
      <c r="H209" t="s">
        <v>4091</v>
      </c>
      <c r="I209" t="str">
        <f t="shared" si="9"/>
        <v>August</v>
      </c>
      <c r="J209" t="str">
        <f t="shared" si="10"/>
        <v>Q3</v>
      </c>
      <c r="K209">
        <f t="shared" si="11"/>
        <v>2025</v>
      </c>
    </row>
    <row r="210" spans="1:11" x14ac:dyDescent="0.3">
      <c r="A210" t="s">
        <v>4299</v>
      </c>
      <c r="B210" t="s">
        <v>533</v>
      </c>
      <c r="C210" t="s">
        <v>166</v>
      </c>
      <c r="D210" s="1">
        <v>45801</v>
      </c>
      <c r="E210">
        <v>20.100000000000001</v>
      </c>
      <c r="F210" t="s">
        <v>4090</v>
      </c>
      <c r="G210" s="1">
        <v>45825</v>
      </c>
      <c r="H210" t="s">
        <v>4091</v>
      </c>
      <c r="I210" t="str">
        <f t="shared" si="9"/>
        <v>May</v>
      </c>
      <c r="J210" t="str">
        <f t="shared" si="10"/>
        <v>Q2</v>
      </c>
      <c r="K210">
        <f t="shared" si="11"/>
        <v>2025</v>
      </c>
    </row>
    <row r="211" spans="1:11" x14ac:dyDescent="0.3">
      <c r="A211" t="s">
        <v>4300</v>
      </c>
      <c r="B211" t="s">
        <v>511</v>
      </c>
      <c r="C211" t="s">
        <v>195</v>
      </c>
      <c r="D211" s="1">
        <v>45860</v>
      </c>
      <c r="E211">
        <v>25.9</v>
      </c>
      <c r="F211" t="s">
        <v>4090</v>
      </c>
      <c r="G211" s="1">
        <v>45888</v>
      </c>
      <c r="H211" t="s">
        <v>4091</v>
      </c>
      <c r="I211" t="str">
        <f t="shared" si="9"/>
        <v>July</v>
      </c>
      <c r="J211" t="str">
        <f t="shared" si="10"/>
        <v>Q3</v>
      </c>
      <c r="K211">
        <f t="shared" si="11"/>
        <v>2025</v>
      </c>
    </row>
    <row r="212" spans="1:11" x14ac:dyDescent="0.3">
      <c r="A212" t="s">
        <v>4301</v>
      </c>
      <c r="B212" t="s">
        <v>9</v>
      </c>
      <c r="C212" t="s">
        <v>10</v>
      </c>
      <c r="D212" s="1">
        <v>45944</v>
      </c>
      <c r="E212">
        <v>15.3</v>
      </c>
      <c r="F212" t="s">
        <v>4090</v>
      </c>
      <c r="G212" s="1">
        <v>45989</v>
      </c>
      <c r="H212" t="s">
        <v>4091</v>
      </c>
      <c r="I212" t="str">
        <f t="shared" si="9"/>
        <v>October</v>
      </c>
      <c r="J212" t="str">
        <f t="shared" si="10"/>
        <v>Q4</v>
      </c>
      <c r="K212">
        <f t="shared" si="11"/>
        <v>2025</v>
      </c>
    </row>
    <row r="213" spans="1:11" x14ac:dyDescent="0.3">
      <c r="A213" t="s">
        <v>4302</v>
      </c>
      <c r="B213" t="s">
        <v>153</v>
      </c>
      <c r="C213" t="s">
        <v>99</v>
      </c>
      <c r="D213" s="1">
        <v>45872</v>
      </c>
      <c r="E213">
        <v>9.6</v>
      </c>
      <c r="F213" t="s">
        <v>4090</v>
      </c>
      <c r="G213" s="1">
        <v>45893</v>
      </c>
      <c r="H213" t="s">
        <v>4091</v>
      </c>
      <c r="I213" t="str">
        <f t="shared" si="9"/>
        <v>August</v>
      </c>
      <c r="J213" t="str">
        <f t="shared" si="10"/>
        <v>Q3</v>
      </c>
      <c r="K213">
        <f t="shared" si="11"/>
        <v>2025</v>
      </c>
    </row>
    <row r="214" spans="1:11" x14ac:dyDescent="0.3">
      <c r="A214" t="s">
        <v>4303</v>
      </c>
      <c r="B214" t="s">
        <v>465</v>
      </c>
      <c r="C214" t="s">
        <v>32</v>
      </c>
      <c r="D214" s="1">
        <v>45780</v>
      </c>
      <c r="E214">
        <v>7.1</v>
      </c>
      <c r="F214" t="s">
        <v>4090</v>
      </c>
      <c r="G214" s="1">
        <v>45809</v>
      </c>
      <c r="H214" t="s">
        <v>4091</v>
      </c>
      <c r="I214" t="str">
        <f t="shared" si="9"/>
        <v>May</v>
      </c>
      <c r="J214" t="str">
        <f t="shared" si="10"/>
        <v>Q2</v>
      </c>
      <c r="K214">
        <f t="shared" si="11"/>
        <v>2025</v>
      </c>
    </row>
    <row r="215" spans="1:11" x14ac:dyDescent="0.3">
      <c r="A215" t="s">
        <v>4304</v>
      </c>
      <c r="B215" t="s">
        <v>513</v>
      </c>
      <c r="C215" t="s">
        <v>260</v>
      </c>
      <c r="D215" s="1">
        <v>45765</v>
      </c>
      <c r="E215">
        <v>3.7</v>
      </c>
      <c r="F215" t="s">
        <v>4090</v>
      </c>
      <c r="G215" s="1">
        <v>45791</v>
      </c>
      <c r="H215" t="s">
        <v>4091</v>
      </c>
      <c r="I215" t="str">
        <f t="shared" si="9"/>
        <v>April</v>
      </c>
      <c r="J215" t="str">
        <f t="shared" si="10"/>
        <v>Q2</v>
      </c>
      <c r="K215">
        <f t="shared" si="11"/>
        <v>2025</v>
      </c>
    </row>
    <row r="216" spans="1:11" x14ac:dyDescent="0.3">
      <c r="A216" t="s">
        <v>4305</v>
      </c>
      <c r="B216" t="s">
        <v>110</v>
      </c>
      <c r="C216" t="s">
        <v>58</v>
      </c>
      <c r="D216" s="1">
        <v>45831</v>
      </c>
      <c r="E216">
        <v>11</v>
      </c>
      <c r="F216" t="s">
        <v>4090</v>
      </c>
      <c r="G216" s="1">
        <v>45871</v>
      </c>
      <c r="H216" t="s">
        <v>4091</v>
      </c>
      <c r="I216" t="str">
        <f t="shared" si="9"/>
        <v>June</v>
      </c>
      <c r="J216" t="str">
        <f t="shared" si="10"/>
        <v>Q2</v>
      </c>
      <c r="K216">
        <f t="shared" si="11"/>
        <v>2025</v>
      </c>
    </row>
    <row r="217" spans="1:11" x14ac:dyDescent="0.3">
      <c r="A217" t="s">
        <v>4306</v>
      </c>
      <c r="B217" t="s">
        <v>422</v>
      </c>
      <c r="C217" t="s">
        <v>41</v>
      </c>
      <c r="D217" s="1">
        <v>45851</v>
      </c>
      <c r="E217">
        <v>22.1</v>
      </c>
      <c r="F217" t="s">
        <v>4090</v>
      </c>
      <c r="G217" s="1">
        <v>45879</v>
      </c>
      <c r="H217" t="s">
        <v>4091</v>
      </c>
      <c r="I217" t="str">
        <f t="shared" si="9"/>
        <v>July</v>
      </c>
      <c r="J217" t="str">
        <f t="shared" si="10"/>
        <v>Q3</v>
      </c>
      <c r="K217">
        <f t="shared" si="11"/>
        <v>2025</v>
      </c>
    </row>
    <row r="218" spans="1:11" x14ac:dyDescent="0.3">
      <c r="A218" t="s">
        <v>4307</v>
      </c>
      <c r="B218" t="s">
        <v>149</v>
      </c>
      <c r="C218" t="s">
        <v>41</v>
      </c>
      <c r="D218" s="1">
        <v>45845</v>
      </c>
      <c r="E218">
        <v>8</v>
      </c>
      <c r="F218" t="s">
        <v>4090</v>
      </c>
      <c r="G218" s="1">
        <v>45862</v>
      </c>
      <c r="H218" t="s">
        <v>4091</v>
      </c>
      <c r="I218" t="str">
        <f t="shared" si="9"/>
        <v>July</v>
      </c>
      <c r="J218" t="str">
        <f t="shared" si="10"/>
        <v>Q3</v>
      </c>
      <c r="K218">
        <f t="shared" si="11"/>
        <v>2025</v>
      </c>
    </row>
    <row r="219" spans="1:11" x14ac:dyDescent="0.3">
      <c r="A219" t="s">
        <v>4308</v>
      </c>
      <c r="B219" t="s">
        <v>219</v>
      </c>
      <c r="C219" t="s">
        <v>10</v>
      </c>
      <c r="D219" s="1">
        <v>45951</v>
      </c>
      <c r="E219">
        <v>7.5</v>
      </c>
      <c r="F219" t="s">
        <v>4090</v>
      </c>
      <c r="G219" s="1">
        <v>45969</v>
      </c>
      <c r="H219" t="s">
        <v>4091</v>
      </c>
      <c r="I219" t="str">
        <f t="shared" si="9"/>
        <v>October</v>
      </c>
      <c r="J219" t="str">
        <f t="shared" si="10"/>
        <v>Q4</v>
      </c>
      <c r="K219">
        <f t="shared" si="11"/>
        <v>2025</v>
      </c>
    </row>
    <row r="220" spans="1:11" x14ac:dyDescent="0.3">
      <c r="A220" t="s">
        <v>4309</v>
      </c>
      <c r="B220" t="s">
        <v>283</v>
      </c>
      <c r="C220" t="s">
        <v>62</v>
      </c>
      <c r="D220" s="1">
        <v>45732</v>
      </c>
      <c r="E220">
        <v>12.4</v>
      </c>
      <c r="F220" t="s">
        <v>4090</v>
      </c>
      <c r="G220" s="1">
        <v>45750</v>
      </c>
      <c r="H220" t="s">
        <v>4091</v>
      </c>
      <c r="I220" t="str">
        <f t="shared" si="9"/>
        <v>March</v>
      </c>
      <c r="J220" t="str">
        <f t="shared" si="10"/>
        <v>Q1</v>
      </c>
      <c r="K220">
        <f t="shared" si="11"/>
        <v>2025</v>
      </c>
    </row>
    <row r="221" spans="1:11" x14ac:dyDescent="0.3">
      <c r="A221" t="s">
        <v>4310</v>
      </c>
      <c r="B221" t="s">
        <v>497</v>
      </c>
      <c r="C221" t="s">
        <v>429</v>
      </c>
      <c r="D221" s="1">
        <v>45785</v>
      </c>
      <c r="E221">
        <v>11.4</v>
      </c>
      <c r="F221" t="s">
        <v>4090</v>
      </c>
      <c r="G221" s="1">
        <v>45803</v>
      </c>
      <c r="H221" t="s">
        <v>4091</v>
      </c>
      <c r="I221" t="str">
        <f t="shared" si="9"/>
        <v>May</v>
      </c>
      <c r="J221" t="str">
        <f t="shared" si="10"/>
        <v>Q2</v>
      </c>
      <c r="K221">
        <f t="shared" si="11"/>
        <v>2025</v>
      </c>
    </row>
    <row r="222" spans="1:11" x14ac:dyDescent="0.3">
      <c r="A222" t="s">
        <v>4311</v>
      </c>
      <c r="B222" t="s">
        <v>457</v>
      </c>
      <c r="C222" t="s">
        <v>32</v>
      </c>
      <c r="D222" s="1">
        <v>45789</v>
      </c>
      <c r="E222">
        <v>16.3</v>
      </c>
      <c r="F222" t="s">
        <v>4090</v>
      </c>
      <c r="G222" s="1">
        <v>45823</v>
      </c>
      <c r="H222" t="s">
        <v>4091</v>
      </c>
      <c r="I222" t="str">
        <f t="shared" si="9"/>
        <v>May</v>
      </c>
      <c r="J222" t="str">
        <f t="shared" si="10"/>
        <v>Q2</v>
      </c>
      <c r="K222">
        <f t="shared" si="11"/>
        <v>2025</v>
      </c>
    </row>
    <row r="223" spans="1:11" x14ac:dyDescent="0.3">
      <c r="A223" t="s">
        <v>4312</v>
      </c>
      <c r="B223" t="s">
        <v>1603</v>
      </c>
      <c r="C223" t="s">
        <v>108</v>
      </c>
      <c r="D223" s="1">
        <v>45764</v>
      </c>
      <c r="E223">
        <v>28.5</v>
      </c>
      <c r="F223" t="s">
        <v>4090</v>
      </c>
      <c r="G223" s="1">
        <v>45783</v>
      </c>
      <c r="H223" t="s">
        <v>4091</v>
      </c>
      <c r="I223" t="str">
        <f t="shared" si="9"/>
        <v>April</v>
      </c>
      <c r="J223" t="str">
        <f t="shared" si="10"/>
        <v>Q2</v>
      </c>
      <c r="K223">
        <f t="shared" si="11"/>
        <v>2025</v>
      </c>
    </row>
    <row r="224" spans="1:11" x14ac:dyDescent="0.3">
      <c r="A224" t="s">
        <v>4313</v>
      </c>
      <c r="B224" t="s">
        <v>297</v>
      </c>
      <c r="C224" t="s">
        <v>298</v>
      </c>
      <c r="D224" s="1">
        <v>45913</v>
      </c>
      <c r="E224">
        <v>19.3</v>
      </c>
      <c r="F224" t="s">
        <v>4090</v>
      </c>
      <c r="G224" s="1">
        <v>45928</v>
      </c>
      <c r="H224" t="s">
        <v>4091</v>
      </c>
      <c r="I224" t="str">
        <f t="shared" si="9"/>
        <v>September</v>
      </c>
      <c r="J224" t="str">
        <f t="shared" si="10"/>
        <v>Q3</v>
      </c>
      <c r="K224">
        <f t="shared" si="11"/>
        <v>2025</v>
      </c>
    </row>
    <row r="225" spans="1:11" x14ac:dyDescent="0.3">
      <c r="A225" t="s">
        <v>4314</v>
      </c>
      <c r="B225" t="s">
        <v>207</v>
      </c>
      <c r="C225" t="s">
        <v>208</v>
      </c>
      <c r="D225" s="1">
        <v>45828</v>
      </c>
      <c r="E225">
        <v>22.1</v>
      </c>
      <c r="F225" t="s">
        <v>4090</v>
      </c>
      <c r="G225" s="1">
        <v>45854</v>
      </c>
      <c r="H225" t="s">
        <v>4091</v>
      </c>
      <c r="I225" t="str">
        <f t="shared" si="9"/>
        <v>June</v>
      </c>
      <c r="J225" t="str">
        <f t="shared" si="10"/>
        <v>Q2</v>
      </c>
      <c r="K225">
        <f t="shared" si="11"/>
        <v>2025</v>
      </c>
    </row>
    <row r="226" spans="1:11" x14ac:dyDescent="0.3">
      <c r="A226" t="s">
        <v>4315</v>
      </c>
      <c r="B226" t="s">
        <v>507</v>
      </c>
      <c r="C226" t="s">
        <v>147</v>
      </c>
      <c r="D226" s="1">
        <v>45850</v>
      </c>
      <c r="E226">
        <v>11.4</v>
      </c>
      <c r="F226" t="s">
        <v>4090</v>
      </c>
      <c r="G226" s="1">
        <v>45874</v>
      </c>
      <c r="H226" t="s">
        <v>4091</v>
      </c>
      <c r="I226" t="str">
        <f t="shared" si="9"/>
        <v>July</v>
      </c>
      <c r="J226" t="str">
        <f t="shared" si="10"/>
        <v>Q3</v>
      </c>
      <c r="K226">
        <f t="shared" si="11"/>
        <v>2025</v>
      </c>
    </row>
    <row r="227" spans="1:11" x14ac:dyDescent="0.3">
      <c r="A227" t="s">
        <v>4316</v>
      </c>
      <c r="B227" t="s">
        <v>453</v>
      </c>
      <c r="C227" t="s">
        <v>51</v>
      </c>
      <c r="D227" s="1">
        <v>45972</v>
      </c>
      <c r="E227">
        <v>12.3</v>
      </c>
      <c r="F227" t="s">
        <v>4090</v>
      </c>
      <c r="G227" s="1">
        <v>45999</v>
      </c>
      <c r="H227" t="s">
        <v>4091</v>
      </c>
      <c r="I227" t="str">
        <f t="shared" si="9"/>
        <v>November</v>
      </c>
      <c r="J227" t="str">
        <f t="shared" si="10"/>
        <v>Q4</v>
      </c>
      <c r="K227">
        <f t="shared" si="11"/>
        <v>2025</v>
      </c>
    </row>
    <row r="228" spans="1:11" x14ac:dyDescent="0.3">
      <c r="A228" t="s">
        <v>4317</v>
      </c>
      <c r="B228" t="s">
        <v>323</v>
      </c>
      <c r="C228" t="s">
        <v>65</v>
      </c>
      <c r="D228" s="1">
        <v>45951</v>
      </c>
      <c r="E228">
        <v>6.8</v>
      </c>
      <c r="F228" t="s">
        <v>4090</v>
      </c>
      <c r="G228" s="1">
        <v>45971</v>
      </c>
      <c r="H228" t="s">
        <v>4091</v>
      </c>
      <c r="I228" t="str">
        <f t="shared" si="9"/>
        <v>October</v>
      </c>
      <c r="J228" t="str">
        <f t="shared" si="10"/>
        <v>Q4</v>
      </c>
      <c r="K228">
        <f t="shared" si="11"/>
        <v>2025</v>
      </c>
    </row>
    <row r="229" spans="1:11" x14ac:dyDescent="0.3">
      <c r="A229" t="s">
        <v>4318</v>
      </c>
      <c r="B229" t="s">
        <v>378</v>
      </c>
      <c r="C229" t="s">
        <v>176</v>
      </c>
      <c r="D229" s="1">
        <v>45713</v>
      </c>
      <c r="E229">
        <v>13.2</v>
      </c>
      <c r="F229" t="s">
        <v>4090</v>
      </c>
      <c r="G229" s="1">
        <v>45754</v>
      </c>
      <c r="H229" t="s">
        <v>4091</v>
      </c>
      <c r="I229" t="str">
        <f t="shared" si="9"/>
        <v>February</v>
      </c>
      <c r="J229" t="str">
        <f t="shared" si="10"/>
        <v>Q1</v>
      </c>
      <c r="K229">
        <f t="shared" si="11"/>
        <v>2025</v>
      </c>
    </row>
    <row r="230" spans="1:11" x14ac:dyDescent="0.3">
      <c r="A230" t="s">
        <v>4319</v>
      </c>
      <c r="B230" t="s">
        <v>182</v>
      </c>
      <c r="C230" t="s">
        <v>183</v>
      </c>
      <c r="D230" s="1">
        <v>45860</v>
      </c>
      <c r="E230">
        <v>14.1</v>
      </c>
      <c r="F230" t="s">
        <v>4090</v>
      </c>
      <c r="G230" s="1">
        <v>45881</v>
      </c>
      <c r="H230" t="s">
        <v>4091</v>
      </c>
      <c r="I230" t="str">
        <f t="shared" si="9"/>
        <v>July</v>
      </c>
      <c r="J230" t="str">
        <f t="shared" si="10"/>
        <v>Q3</v>
      </c>
      <c r="K230">
        <f t="shared" si="11"/>
        <v>2025</v>
      </c>
    </row>
    <row r="231" spans="1:11" x14ac:dyDescent="0.3">
      <c r="A231" t="s">
        <v>4320</v>
      </c>
      <c r="B231" t="s">
        <v>376</v>
      </c>
      <c r="C231" t="s">
        <v>208</v>
      </c>
      <c r="D231" s="1">
        <v>45813</v>
      </c>
      <c r="E231">
        <v>11</v>
      </c>
      <c r="F231" t="s">
        <v>4090</v>
      </c>
      <c r="G231" s="1">
        <v>45847</v>
      </c>
      <c r="H231" t="s">
        <v>4091</v>
      </c>
      <c r="I231" t="str">
        <f t="shared" si="9"/>
        <v>June</v>
      </c>
      <c r="J231" t="str">
        <f t="shared" si="10"/>
        <v>Q2</v>
      </c>
      <c r="K231">
        <f t="shared" si="11"/>
        <v>2025</v>
      </c>
    </row>
    <row r="232" spans="1:11" x14ac:dyDescent="0.3">
      <c r="A232" t="s">
        <v>4321</v>
      </c>
      <c r="B232" t="s">
        <v>36</v>
      </c>
      <c r="C232" t="s">
        <v>37</v>
      </c>
      <c r="D232" s="1">
        <v>45741</v>
      </c>
      <c r="E232">
        <v>6.9</v>
      </c>
      <c r="F232" t="s">
        <v>4090</v>
      </c>
      <c r="G232" s="1">
        <v>45756</v>
      </c>
      <c r="H232" t="s">
        <v>4091</v>
      </c>
      <c r="I232" t="str">
        <f t="shared" si="9"/>
        <v>March</v>
      </c>
      <c r="J232" t="str">
        <f t="shared" si="10"/>
        <v>Q1</v>
      </c>
      <c r="K232">
        <f t="shared" si="11"/>
        <v>2025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9B6B-DB12-45AB-B818-A21473C973FB}">
  <dimension ref="A1:E11"/>
  <sheetViews>
    <sheetView workbookViewId="0">
      <selection activeCell="C22" sqref="C22"/>
    </sheetView>
  </sheetViews>
  <sheetFormatPr defaultRowHeight="14.4" x14ac:dyDescent="0.3"/>
  <cols>
    <col min="1" max="1" width="12.88671875" customWidth="1"/>
    <col min="2" max="2" width="15.33203125" customWidth="1"/>
    <col min="3" max="3" width="14.44140625" customWidth="1"/>
  </cols>
  <sheetData>
    <row r="1" spans="1:5" x14ac:dyDescent="0.3">
      <c r="A1" t="s">
        <v>4</v>
      </c>
      <c r="B1" t="s">
        <v>4322</v>
      </c>
      <c r="C1" t="s">
        <v>4323</v>
      </c>
      <c r="D1" t="s">
        <v>6668</v>
      </c>
      <c r="E1" t="s">
        <v>6669</v>
      </c>
    </row>
    <row r="2" spans="1:5" x14ac:dyDescent="0.3">
      <c r="A2" t="s">
        <v>141</v>
      </c>
      <c r="B2">
        <v>5</v>
      </c>
      <c r="C2">
        <v>65</v>
      </c>
      <c r="D2">
        <f t="shared" ref="D2:D11" si="0">C2/12</f>
        <v>5.416666666666667</v>
      </c>
      <c r="E2">
        <f t="shared" ref="E2:E11" si="1">C2/4</f>
        <v>16.25</v>
      </c>
    </row>
    <row r="3" spans="1:5" x14ac:dyDescent="0.3">
      <c r="A3" t="s">
        <v>11</v>
      </c>
      <c r="B3">
        <v>4</v>
      </c>
      <c r="C3">
        <v>52</v>
      </c>
      <c r="D3">
        <f t="shared" si="0"/>
        <v>4.333333333333333</v>
      </c>
      <c r="E3">
        <f t="shared" si="1"/>
        <v>13</v>
      </c>
    </row>
    <row r="4" spans="1:5" x14ac:dyDescent="0.3">
      <c r="A4" t="s">
        <v>46</v>
      </c>
      <c r="B4">
        <v>8</v>
      </c>
      <c r="C4">
        <v>98</v>
      </c>
      <c r="D4">
        <f t="shared" si="0"/>
        <v>8.1666666666666661</v>
      </c>
      <c r="E4">
        <f t="shared" si="1"/>
        <v>24.5</v>
      </c>
    </row>
    <row r="5" spans="1:5" x14ac:dyDescent="0.3">
      <c r="A5" t="s">
        <v>74</v>
      </c>
      <c r="B5">
        <v>3</v>
      </c>
      <c r="C5">
        <v>42</v>
      </c>
      <c r="D5">
        <f t="shared" si="0"/>
        <v>3.5</v>
      </c>
      <c r="E5">
        <f t="shared" si="1"/>
        <v>10.5</v>
      </c>
    </row>
    <row r="6" spans="1:5" x14ac:dyDescent="0.3">
      <c r="A6" t="s">
        <v>100</v>
      </c>
      <c r="B6">
        <v>5</v>
      </c>
      <c r="C6">
        <v>64</v>
      </c>
      <c r="D6">
        <f t="shared" si="0"/>
        <v>5.333333333333333</v>
      </c>
      <c r="E6">
        <f t="shared" si="1"/>
        <v>16</v>
      </c>
    </row>
    <row r="7" spans="1:5" x14ac:dyDescent="0.3">
      <c r="A7" t="s">
        <v>23</v>
      </c>
      <c r="B7">
        <v>3</v>
      </c>
      <c r="C7">
        <v>42</v>
      </c>
      <c r="D7">
        <f t="shared" si="0"/>
        <v>3.5</v>
      </c>
      <c r="E7">
        <f t="shared" si="1"/>
        <v>10.5</v>
      </c>
    </row>
    <row r="8" spans="1:5" x14ac:dyDescent="0.3">
      <c r="A8" t="s">
        <v>17</v>
      </c>
      <c r="B8">
        <v>4</v>
      </c>
      <c r="C8">
        <v>51</v>
      </c>
      <c r="D8">
        <f t="shared" si="0"/>
        <v>4.25</v>
      </c>
      <c r="E8">
        <f t="shared" si="1"/>
        <v>12.75</v>
      </c>
    </row>
    <row r="9" spans="1:5" x14ac:dyDescent="0.3">
      <c r="A9" t="s">
        <v>28</v>
      </c>
      <c r="B9">
        <v>8</v>
      </c>
      <c r="C9">
        <v>101</v>
      </c>
      <c r="D9">
        <f t="shared" si="0"/>
        <v>8.4166666666666661</v>
      </c>
      <c r="E9">
        <f t="shared" si="1"/>
        <v>25.25</v>
      </c>
    </row>
    <row r="10" spans="1:5" x14ac:dyDescent="0.3">
      <c r="A10" t="s">
        <v>33</v>
      </c>
      <c r="B10">
        <v>3</v>
      </c>
      <c r="C10">
        <v>38</v>
      </c>
      <c r="D10">
        <f t="shared" si="0"/>
        <v>3.1666666666666665</v>
      </c>
      <c r="E10">
        <f t="shared" si="1"/>
        <v>9.5</v>
      </c>
    </row>
    <row r="11" spans="1:5" x14ac:dyDescent="0.3">
      <c r="A11" t="s">
        <v>69</v>
      </c>
      <c r="B11">
        <v>2</v>
      </c>
      <c r="C11">
        <v>26</v>
      </c>
      <c r="D11">
        <f t="shared" si="0"/>
        <v>2.1666666666666665</v>
      </c>
      <c r="E11">
        <f t="shared" si="1"/>
        <v>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A812-0332-4F1D-94EF-DBF1A4A13475}">
  <dimension ref="A1:G16"/>
  <sheetViews>
    <sheetView workbookViewId="0">
      <selection activeCell="E9" sqref="E9"/>
    </sheetView>
  </sheetViews>
  <sheetFormatPr defaultRowHeight="14.4" x14ac:dyDescent="0.3"/>
  <cols>
    <col min="1" max="1" width="13.109375" customWidth="1"/>
    <col min="2" max="2" width="16.33203125" customWidth="1"/>
    <col min="3" max="3" width="12.88671875" customWidth="1"/>
    <col min="4" max="4" width="17.44140625" customWidth="1"/>
    <col min="5" max="5" width="13.77734375" customWidth="1"/>
    <col min="6" max="6" width="38" bestFit="1" customWidth="1"/>
  </cols>
  <sheetData>
    <row r="1" spans="1:7" x14ac:dyDescent="0.3">
      <c r="A1" t="s">
        <v>4016</v>
      </c>
      <c r="B1" t="s">
        <v>6634</v>
      </c>
      <c r="C1" t="s">
        <v>4</v>
      </c>
      <c r="D1" t="s">
        <v>4355</v>
      </c>
      <c r="E1" t="s">
        <v>6635</v>
      </c>
      <c r="F1" t="s">
        <v>4350</v>
      </c>
      <c r="G1" t="s">
        <v>6667</v>
      </c>
    </row>
    <row r="2" spans="1:7" x14ac:dyDescent="0.3">
      <c r="A2" t="s">
        <v>4055</v>
      </c>
      <c r="B2" t="s">
        <v>6636</v>
      </c>
      <c r="C2" t="s">
        <v>74</v>
      </c>
      <c r="D2">
        <v>9.1999999999999993</v>
      </c>
      <c r="E2">
        <v>36</v>
      </c>
      <c r="F2" t="s">
        <v>6637</v>
      </c>
      <c r="G2" t="str">
        <f t="shared" ref="G2:G16" si="0">IF(E2&gt;=10,"High Target","Normal Target")</f>
        <v>High Target</v>
      </c>
    </row>
    <row r="3" spans="1:7" x14ac:dyDescent="0.3">
      <c r="A3" t="s">
        <v>4078</v>
      </c>
      <c r="B3" t="s">
        <v>6638</v>
      </c>
      <c r="C3" t="s">
        <v>46</v>
      </c>
      <c r="D3">
        <v>3.8</v>
      </c>
      <c r="E3">
        <v>36</v>
      </c>
      <c r="F3" t="s">
        <v>6639</v>
      </c>
      <c r="G3" t="str">
        <f t="shared" si="0"/>
        <v>High Target</v>
      </c>
    </row>
    <row r="4" spans="1:7" x14ac:dyDescent="0.3">
      <c r="A4" t="s">
        <v>4074</v>
      </c>
      <c r="B4" t="s">
        <v>6640</v>
      </c>
      <c r="C4" t="s">
        <v>100</v>
      </c>
      <c r="D4">
        <v>5.0999999999999996</v>
      </c>
      <c r="E4">
        <v>20</v>
      </c>
      <c r="F4" t="s">
        <v>6641</v>
      </c>
      <c r="G4" t="str">
        <f t="shared" si="0"/>
        <v>High Target</v>
      </c>
    </row>
    <row r="5" spans="1:7" x14ac:dyDescent="0.3">
      <c r="A5" t="s">
        <v>4047</v>
      </c>
      <c r="B5" t="s">
        <v>6642</v>
      </c>
      <c r="C5" t="s">
        <v>28</v>
      </c>
      <c r="D5">
        <v>6</v>
      </c>
      <c r="E5">
        <v>24</v>
      </c>
      <c r="F5" t="s">
        <v>6643</v>
      </c>
      <c r="G5" t="str">
        <f t="shared" si="0"/>
        <v>High Target</v>
      </c>
    </row>
    <row r="6" spans="1:7" x14ac:dyDescent="0.3">
      <c r="A6" t="s">
        <v>4027</v>
      </c>
      <c r="B6" t="s">
        <v>6644</v>
      </c>
      <c r="C6" t="s">
        <v>11</v>
      </c>
      <c r="D6">
        <v>3</v>
      </c>
      <c r="E6">
        <v>20</v>
      </c>
      <c r="F6" t="s">
        <v>6645</v>
      </c>
      <c r="G6" t="str">
        <f t="shared" si="0"/>
        <v>High Target</v>
      </c>
    </row>
    <row r="7" spans="1:7" x14ac:dyDescent="0.3">
      <c r="A7" t="s">
        <v>4052</v>
      </c>
      <c r="B7" t="s">
        <v>6646</v>
      </c>
      <c r="C7" t="s">
        <v>100</v>
      </c>
      <c r="D7">
        <v>5</v>
      </c>
      <c r="E7">
        <v>40</v>
      </c>
      <c r="F7" t="s">
        <v>6647</v>
      </c>
      <c r="G7" t="str">
        <f t="shared" si="0"/>
        <v>High Target</v>
      </c>
    </row>
    <row r="8" spans="1:7" x14ac:dyDescent="0.3">
      <c r="A8" t="s">
        <v>4072</v>
      </c>
      <c r="B8" t="s">
        <v>6648</v>
      </c>
      <c r="C8" t="s">
        <v>74</v>
      </c>
      <c r="D8">
        <v>5</v>
      </c>
      <c r="E8">
        <v>36</v>
      </c>
      <c r="F8" t="s">
        <v>6649</v>
      </c>
      <c r="G8" t="str">
        <f t="shared" si="0"/>
        <v>High Target</v>
      </c>
    </row>
    <row r="9" spans="1:7" x14ac:dyDescent="0.3">
      <c r="A9" t="s">
        <v>4043</v>
      </c>
      <c r="B9" t="s">
        <v>6650</v>
      </c>
      <c r="C9" t="s">
        <v>69</v>
      </c>
      <c r="D9">
        <v>1</v>
      </c>
      <c r="E9">
        <v>20</v>
      </c>
      <c r="F9" t="s">
        <v>6651</v>
      </c>
      <c r="G9" t="str">
        <f t="shared" si="0"/>
        <v>High Target</v>
      </c>
    </row>
    <row r="10" spans="1:7" x14ac:dyDescent="0.3">
      <c r="A10" t="s">
        <v>4037</v>
      </c>
      <c r="B10" t="s">
        <v>6652</v>
      </c>
      <c r="C10" t="s">
        <v>33</v>
      </c>
      <c r="D10">
        <v>7.5</v>
      </c>
      <c r="E10">
        <v>40</v>
      </c>
      <c r="F10" t="s">
        <v>6653</v>
      </c>
      <c r="G10" t="str">
        <f t="shared" si="0"/>
        <v>High Target</v>
      </c>
    </row>
    <row r="11" spans="1:7" x14ac:dyDescent="0.3">
      <c r="A11" t="s">
        <v>4032</v>
      </c>
      <c r="B11" t="s">
        <v>6654</v>
      </c>
      <c r="C11" t="s">
        <v>11</v>
      </c>
      <c r="D11">
        <v>6.5</v>
      </c>
      <c r="E11">
        <v>20</v>
      </c>
      <c r="F11" t="s">
        <v>6655</v>
      </c>
      <c r="G11" t="str">
        <f t="shared" si="0"/>
        <v>High Target</v>
      </c>
    </row>
    <row r="12" spans="1:7" x14ac:dyDescent="0.3">
      <c r="A12" t="s">
        <v>4080</v>
      </c>
      <c r="B12" t="s">
        <v>6656</v>
      </c>
      <c r="C12" t="s">
        <v>141</v>
      </c>
      <c r="D12">
        <v>3.4</v>
      </c>
      <c r="E12">
        <v>24</v>
      </c>
      <c r="F12" t="s">
        <v>6657</v>
      </c>
      <c r="G12" t="str">
        <f t="shared" si="0"/>
        <v>High Target</v>
      </c>
    </row>
    <row r="13" spans="1:7" x14ac:dyDescent="0.3">
      <c r="A13" t="s">
        <v>6658</v>
      </c>
      <c r="B13" t="s">
        <v>6659</v>
      </c>
      <c r="C13" t="s">
        <v>141</v>
      </c>
      <c r="D13">
        <v>4.5999999999999996</v>
      </c>
      <c r="E13">
        <v>48</v>
      </c>
      <c r="F13" t="s">
        <v>6660</v>
      </c>
      <c r="G13" t="str">
        <f t="shared" si="0"/>
        <v>High Target</v>
      </c>
    </row>
    <row r="14" spans="1:7" x14ac:dyDescent="0.3">
      <c r="A14" t="s">
        <v>4065</v>
      </c>
      <c r="B14" t="s">
        <v>6661</v>
      </c>
      <c r="C14" t="s">
        <v>17</v>
      </c>
      <c r="D14">
        <v>6.3</v>
      </c>
      <c r="E14">
        <v>48</v>
      </c>
      <c r="F14" t="s">
        <v>6662</v>
      </c>
      <c r="G14" t="str">
        <f t="shared" si="0"/>
        <v>High Target</v>
      </c>
    </row>
    <row r="15" spans="1:7" x14ac:dyDescent="0.3">
      <c r="A15" t="s">
        <v>4057</v>
      </c>
      <c r="B15" t="s">
        <v>6663</v>
      </c>
      <c r="C15" t="s">
        <v>46</v>
      </c>
      <c r="D15">
        <v>4.3</v>
      </c>
      <c r="E15">
        <v>40</v>
      </c>
      <c r="F15" t="s">
        <v>6664</v>
      </c>
      <c r="G15" t="str">
        <f t="shared" si="0"/>
        <v>High Target</v>
      </c>
    </row>
    <row r="16" spans="1:7" x14ac:dyDescent="0.3">
      <c r="A16" t="s">
        <v>4022</v>
      </c>
      <c r="B16" t="s">
        <v>6665</v>
      </c>
      <c r="C16" t="s">
        <v>23</v>
      </c>
      <c r="D16">
        <v>4.4000000000000004</v>
      </c>
      <c r="E16">
        <v>20</v>
      </c>
      <c r="F16" t="s">
        <v>6666</v>
      </c>
      <c r="G16" t="str">
        <f t="shared" si="0"/>
        <v>High Target</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B8BF-6B2A-4159-ACA3-5CFAFA7A2665}">
  <dimension ref="A1:I366"/>
  <sheetViews>
    <sheetView topLeftCell="B1" workbookViewId="0">
      <selection activeCell="J2" sqref="J2"/>
    </sheetView>
  </sheetViews>
  <sheetFormatPr defaultRowHeight="14.4" x14ac:dyDescent="0.3"/>
  <cols>
    <col min="3" max="3" width="9.21875" customWidth="1"/>
    <col min="5" max="5" width="13.77734375" customWidth="1"/>
    <col min="6" max="6" width="15.109375" customWidth="1"/>
  </cols>
  <sheetData>
    <row r="1" spans="1:9" x14ac:dyDescent="0.3">
      <c r="A1" t="s">
        <v>4324</v>
      </c>
      <c r="B1" t="s">
        <v>4325</v>
      </c>
      <c r="C1" t="s">
        <v>4326</v>
      </c>
      <c r="D1" t="s">
        <v>4327</v>
      </c>
      <c r="E1" t="s">
        <v>4328</v>
      </c>
      <c r="F1" t="s">
        <v>4329</v>
      </c>
      <c r="G1" t="s">
        <v>6670</v>
      </c>
      <c r="H1" t="s">
        <v>6671</v>
      </c>
      <c r="I1" t="s">
        <v>6672</v>
      </c>
    </row>
    <row r="2" spans="1:9" x14ac:dyDescent="0.3">
      <c r="A2" s="1">
        <v>45658</v>
      </c>
      <c r="B2">
        <v>1</v>
      </c>
      <c r="C2" t="s">
        <v>4330</v>
      </c>
      <c r="D2">
        <v>2025</v>
      </c>
      <c r="E2" t="s">
        <v>4331</v>
      </c>
      <c r="F2">
        <v>1</v>
      </c>
      <c r="G2" t="str">
        <f t="shared" ref="G2:G65" si="0">TEXT(A2,"mmmm")</f>
        <v>January</v>
      </c>
      <c r="H2" t="str">
        <f t="shared" ref="H2:H65" si="1">"Q"&amp;ROUNDUP(MONTH(A2)/3,0)</f>
        <v>Q1</v>
      </c>
      <c r="I2">
        <f t="shared" ref="I2:I65" si="2">YEAR(A2)</f>
        <v>2025</v>
      </c>
    </row>
    <row r="3" spans="1:9" x14ac:dyDescent="0.3">
      <c r="A3" s="1">
        <v>45659</v>
      </c>
      <c r="B3">
        <v>1</v>
      </c>
      <c r="C3" t="s">
        <v>4330</v>
      </c>
      <c r="D3">
        <v>2025</v>
      </c>
      <c r="E3" t="s">
        <v>4331</v>
      </c>
      <c r="F3">
        <v>1</v>
      </c>
      <c r="G3" t="str">
        <f t="shared" si="0"/>
        <v>January</v>
      </c>
      <c r="H3" t="str">
        <f t="shared" si="1"/>
        <v>Q1</v>
      </c>
      <c r="I3">
        <f t="shared" si="2"/>
        <v>2025</v>
      </c>
    </row>
    <row r="4" spans="1:9" x14ac:dyDescent="0.3">
      <c r="A4" s="1">
        <v>45660</v>
      </c>
      <c r="B4">
        <v>1</v>
      </c>
      <c r="C4" t="s">
        <v>4330</v>
      </c>
      <c r="D4">
        <v>2025</v>
      </c>
      <c r="E4" t="s">
        <v>4331</v>
      </c>
      <c r="F4">
        <v>1</v>
      </c>
      <c r="G4" t="str">
        <f t="shared" si="0"/>
        <v>January</v>
      </c>
      <c r="H4" t="str">
        <f t="shared" si="1"/>
        <v>Q1</v>
      </c>
      <c r="I4">
        <f t="shared" si="2"/>
        <v>2025</v>
      </c>
    </row>
    <row r="5" spans="1:9" x14ac:dyDescent="0.3">
      <c r="A5" s="1">
        <v>45661</v>
      </c>
      <c r="B5">
        <v>1</v>
      </c>
      <c r="C5" t="s">
        <v>4330</v>
      </c>
      <c r="D5">
        <v>2025</v>
      </c>
      <c r="E5" t="s">
        <v>4331</v>
      </c>
      <c r="F5">
        <v>1</v>
      </c>
      <c r="G5" t="str">
        <f t="shared" si="0"/>
        <v>January</v>
      </c>
      <c r="H5" t="str">
        <f t="shared" si="1"/>
        <v>Q1</v>
      </c>
      <c r="I5">
        <f t="shared" si="2"/>
        <v>2025</v>
      </c>
    </row>
    <row r="6" spans="1:9" x14ac:dyDescent="0.3">
      <c r="A6" s="1">
        <v>45662</v>
      </c>
      <c r="B6">
        <v>1</v>
      </c>
      <c r="C6" t="s">
        <v>4330</v>
      </c>
      <c r="D6">
        <v>2025</v>
      </c>
      <c r="E6" t="s">
        <v>4331</v>
      </c>
      <c r="F6">
        <v>1</v>
      </c>
      <c r="G6" t="str">
        <f t="shared" si="0"/>
        <v>January</v>
      </c>
      <c r="H6" t="str">
        <f t="shared" si="1"/>
        <v>Q1</v>
      </c>
      <c r="I6">
        <f t="shared" si="2"/>
        <v>2025</v>
      </c>
    </row>
    <row r="7" spans="1:9" x14ac:dyDescent="0.3">
      <c r="A7" s="1">
        <v>45663</v>
      </c>
      <c r="B7">
        <v>1</v>
      </c>
      <c r="C7" t="s">
        <v>4330</v>
      </c>
      <c r="D7">
        <v>2025</v>
      </c>
      <c r="E7" t="s">
        <v>4331</v>
      </c>
      <c r="F7">
        <v>2</v>
      </c>
      <c r="G7" t="str">
        <f t="shared" si="0"/>
        <v>January</v>
      </c>
      <c r="H7" t="str">
        <f t="shared" si="1"/>
        <v>Q1</v>
      </c>
      <c r="I7">
        <f t="shared" si="2"/>
        <v>2025</v>
      </c>
    </row>
    <row r="8" spans="1:9" x14ac:dyDescent="0.3">
      <c r="A8" s="1">
        <v>45664</v>
      </c>
      <c r="B8">
        <v>1</v>
      </c>
      <c r="C8" t="s">
        <v>4330</v>
      </c>
      <c r="D8">
        <v>2025</v>
      </c>
      <c r="E8" t="s">
        <v>4331</v>
      </c>
      <c r="F8">
        <v>2</v>
      </c>
      <c r="G8" t="str">
        <f t="shared" si="0"/>
        <v>January</v>
      </c>
      <c r="H8" t="str">
        <f t="shared" si="1"/>
        <v>Q1</v>
      </c>
      <c r="I8">
        <f t="shared" si="2"/>
        <v>2025</v>
      </c>
    </row>
    <row r="9" spans="1:9" x14ac:dyDescent="0.3">
      <c r="A9" s="1">
        <v>45665</v>
      </c>
      <c r="B9">
        <v>1</v>
      </c>
      <c r="C9" t="s">
        <v>4330</v>
      </c>
      <c r="D9">
        <v>2025</v>
      </c>
      <c r="E9" t="s">
        <v>4331</v>
      </c>
      <c r="F9">
        <v>2</v>
      </c>
      <c r="G9" t="str">
        <f t="shared" si="0"/>
        <v>January</v>
      </c>
      <c r="H9" t="str">
        <f t="shared" si="1"/>
        <v>Q1</v>
      </c>
      <c r="I9">
        <f t="shared" si="2"/>
        <v>2025</v>
      </c>
    </row>
    <row r="10" spans="1:9" x14ac:dyDescent="0.3">
      <c r="A10" s="1">
        <v>45666</v>
      </c>
      <c r="B10">
        <v>1</v>
      </c>
      <c r="C10" t="s">
        <v>4330</v>
      </c>
      <c r="D10">
        <v>2025</v>
      </c>
      <c r="E10" t="s">
        <v>4331</v>
      </c>
      <c r="F10">
        <v>2</v>
      </c>
      <c r="G10" t="str">
        <f t="shared" si="0"/>
        <v>January</v>
      </c>
      <c r="H10" t="str">
        <f t="shared" si="1"/>
        <v>Q1</v>
      </c>
      <c r="I10">
        <f t="shared" si="2"/>
        <v>2025</v>
      </c>
    </row>
    <row r="11" spans="1:9" x14ac:dyDescent="0.3">
      <c r="A11" s="1">
        <v>45667</v>
      </c>
      <c r="B11">
        <v>1</v>
      </c>
      <c r="C11" t="s">
        <v>4330</v>
      </c>
      <c r="D11">
        <v>2025</v>
      </c>
      <c r="E11" t="s">
        <v>4331</v>
      </c>
      <c r="F11">
        <v>2</v>
      </c>
      <c r="G11" t="str">
        <f t="shared" si="0"/>
        <v>January</v>
      </c>
      <c r="H11" t="str">
        <f t="shared" si="1"/>
        <v>Q1</v>
      </c>
      <c r="I11">
        <f t="shared" si="2"/>
        <v>2025</v>
      </c>
    </row>
    <row r="12" spans="1:9" x14ac:dyDescent="0.3">
      <c r="A12" s="1">
        <v>45668</v>
      </c>
      <c r="B12">
        <v>1</v>
      </c>
      <c r="C12" t="s">
        <v>4330</v>
      </c>
      <c r="D12">
        <v>2025</v>
      </c>
      <c r="E12" t="s">
        <v>4331</v>
      </c>
      <c r="F12">
        <v>2</v>
      </c>
      <c r="G12" t="str">
        <f t="shared" si="0"/>
        <v>January</v>
      </c>
      <c r="H12" t="str">
        <f t="shared" si="1"/>
        <v>Q1</v>
      </c>
      <c r="I12">
        <f t="shared" si="2"/>
        <v>2025</v>
      </c>
    </row>
    <row r="13" spans="1:9" x14ac:dyDescent="0.3">
      <c r="A13" s="1">
        <v>45669</v>
      </c>
      <c r="B13">
        <v>1</v>
      </c>
      <c r="C13" t="s">
        <v>4330</v>
      </c>
      <c r="D13">
        <v>2025</v>
      </c>
      <c r="E13" t="s">
        <v>4331</v>
      </c>
      <c r="F13">
        <v>2</v>
      </c>
      <c r="G13" t="str">
        <f t="shared" si="0"/>
        <v>January</v>
      </c>
      <c r="H13" t="str">
        <f t="shared" si="1"/>
        <v>Q1</v>
      </c>
      <c r="I13">
        <f t="shared" si="2"/>
        <v>2025</v>
      </c>
    </row>
    <row r="14" spans="1:9" x14ac:dyDescent="0.3">
      <c r="A14" s="1">
        <v>45670</v>
      </c>
      <c r="B14">
        <v>1</v>
      </c>
      <c r="C14" t="s">
        <v>4330</v>
      </c>
      <c r="D14">
        <v>2025</v>
      </c>
      <c r="E14" t="s">
        <v>4331</v>
      </c>
      <c r="F14">
        <v>3</v>
      </c>
      <c r="G14" t="str">
        <f t="shared" si="0"/>
        <v>January</v>
      </c>
      <c r="H14" t="str">
        <f t="shared" si="1"/>
        <v>Q1</v>
      </c>
      <c r="I14">
        <f t="shared" si="2"/>
        <v>2025</v>
      </c>
    </row>
    <row r="15" spans="1:9" x14ac:dyDescent="0.3">
      <c r="A15" s="1">
        <v>45671</v>
      </c>
      <c r="B15">
        <v>1</v>
      </c>
      <c r="C15" t="s">
        <v>4330</v>
      </c>
      <c r="D15">
        <v>2025</v>
      </c>
      <c r="E15" t="s">
        <v>4331</v>
      </c>
      <c r="F15">
        <v>3</v>
      </c>
      <c r="G15" t="str">
        <f t="shared" si="0"/>
        <v>January</v>
      </c>
      <c r="H15" t="str">
        <f t="shared" si="1"/>
        <v>Q1</v>
      </c>
      <c r="I15">
        <f t="shared" si="2"/>
        <v>2025</v>
      </c>
    </row>
    <row r="16" spans="1:9" x14ac:dyDescent="0.3">
      <c r="A16" s="1">
        <v>45672</v>
      </c>
      <c r="B16">
        <v>1</v>
      </c>
      <c r="C16" t="s">
        <v>4330</v>
      </c>
      <c r="D16">
        <v>2025</v>
      </c>
      <c r="E16" t="s">
        <v>4331</v>
      </c>
      <c r="F16">
        <v>3</v>
      </c>
      <c r="G16" t="str">
        <f t="shared" si="0"/>
        <v>January</v>
      </c>
      <c r="H16" t="str">
        <f t="shared" si="1"/>
        <v>Q1</v>
      </c>
      <c r="I16">
        <f t="shared" si="2"/>
        <v>2025</v>
      </c>
    </row>
    <row r="17" spans="1:9" x14ac:dyDescent="0.3">
      <c r="A17" s="1">
        <v>45673</v>
      </c>
      <c r="B17">
        <v>1</v>
      </c>
      <c r="C17" t="s">
        <v>4330</v>
      </c>
      <c r="D17">
        <v>2025</v>
      </c>
      <c r="E17" t="s">
        <v>4331</v>
      </c>
      <c r="F17">
        <v>3</v>
      </c>
      <c r="G17" t="str">
        <f t="shared" si="0"/>
        <v>January</v>
      </c>
      <c r="H17" t="str">
        <f t="shared" si="1"/>
        <v>Q1</v>
      </c>
      <c r="I17">
        <f t="shared" si="2"/>
        <v>2025</v>
      </c>
    </row>
    <row r="18" spans="1:9" x14ac:dyDescent="0.3">
      <c r="A18" s="1">
        <v>45674</v>
      </c>
      <c r="B18">
        <v>1</v>
      </c>
      <c r="C18" t="s">
        <v>4330</v>
      </c>
      <c r="D18">
        <v>2025</v>
      </c>
      <c r="E18" t="s">
        <v>4331</v>
      </c>
      <c r="F18">
        <v>3</v>
      </c>
      <c r="G18" t="str">
        <f t="shared" si="0"/>
        <v>January</v>
      </c>
      <c r="H18" t="str">
        <f t="shared" si="1"/>
        <v>Q1</v>
      </c>
      <c r="I18">
        <f t="shared" si="2"/>
        <v>2025</v>
      </c>
    </row>
    <row r="19" spans="1:9" x14ac:dyDescent="0.3">
      <c r="A19" s="1">
        <v>45675</v>
      </c>
      <c r="B19">
        <v>1</v>
      </c>
      <c r="C19" t="s">
        <v>4330</v>
      </c>
      <c r="D19">
        <v>2025</v>
      </c>
      <c r="E19" t="s">
        <v>4331</v>
      </c>
      <c r="F19">
        <v>3</v>
      </c>
      <c r="G19" t="str">
        <f t="shared" si="0"/>
        <v>January</v>
      </c>
      <c r="H19" t="str">
        <f t="shared" si="1"/>
        <v>Q1</v>
      </c>
      <c r="I19">
        <f t="shared" si="2"/>
        <v>2025</v>
      </c>
    </row>
    <row r="20" spans="1:9" x14ac:dyDescent="0.3">
      <c r="A20" s="1">
        <v>45676</v>
      </c>
      <c r="B20">
        <v>1</v>
      </c>
      <c r="C20" t="s">
        <v>4330</v>
      </c>
      <c r="D20">
        <v>2025</v>
      </c>
      <c r="E20" t="s">
        <v>4331</v>
      </c>
      <c r="F20">
        <v>3</v>
      </c>
      <c r="G20" t="str">
        <f t="shared" si="0"/>
        <v>January</v>
      </c>
      <c r="H20" t="str">
        <f t="shared" si="1"/>
        <v>Q1</v>
      </c>
      <c r="I20">
        <f t="shared" si="2"/>
        <v>2025</v>
      </c>
    </row>
    <row r="21" spans="1:9" x14ac:dyDescent="0.3">
      <c r="A21" s="1">
        <v>45677</v>
      </c>
      <c r="B21">
        <v>1</v>
      </c>
      <c r="C21" t="s">
        <v>4330</v>
      </c>
      <c r="D21">
        <v>2025</v>
      </c>
      <c r="E21" t="s">
        <v>4331</v>
      </c>
      <c r="F21">
        <v>4</v>
      </c>
      <c r="G21" t="str">
        <f t="shared" si="0"/>
        <v>January</v>
      </c>
      <c r="H21" t="str">
        <f t="shared" si="1"/>
        <v>Q1</v>
      </c>
      <c r="I21">
        <f t="shared" si="2"/>
        <v>2025</v>
      </c>
    </row>
    <row r="22" spans="1:9" x14ac:dyDescent="0.3">
      <c r="A22" s="1">
        <v>45678</v>
      </c>
      <c r="B22">
        <v>1</v>
      </c>
      <c r="C22" t="s">
        <v>4330</v>
      </c>
      <c r="D22">
        <v>2025</v>
      </c>
      <c r="E22" t="s">
        <v>4331</v>
      </c>
      <c r="F22">
        <v>4</v>
      </c>
      <c r="G22" t="str">
        <f t="shared" si="0"/>
        <v>January</v>
      </c>
      <c r="H22" t="str">
        <f t="shared" si="1"/>
        <v>Q1</v>
      </c>
      <c r="I22">
        <f t="shared" si="2"/>
        <v>2025</v>
      </c>
    </row>
    <row r="23" spans="1:9" x14ac:dyDescent="0.3">
      <c r="A23" s="1">
        <v>45679</v>
      </c>
      <c r="B23">
        <v>1</v>
      </c>
      <c r="C23" t="s">
        <v>4330</v>
      </c>
      <c r="D23">
        <v>2025</v>
      </c>
      <c r="E23" t="s">
        <v>4331</v>
      </c>
      <c r="F23">
        <v>4</v>
      </c>
      <c r="G23" t="str">
        <f t="shared" si="0"/>
        <v>January</v>
      </c>
      <c r="H23" t="str">
        <f t="shared" si="1"/>
        <v>Q1</v>
      </c>
      <c r="I23">
        <f t="shared" si="2"/>
        <v>2025</v>
      </c>
    </row>
    <row r="24" spans="1:9" x14ac:dyDescent="0.3">
      <c r="A24" s="1">
        <v>45680</v>
      </c>
      <c r="B24">
        <v>1</v>
      </c>
      <c r="C24" t="s">
        <v>4330</v>
      </c>
      <c r="D24">
        <v>2025</v>
      </c>
      <c r="E24" t="s">
        <v>4331</v>
      </c>
      <c r="F24">
        <v>4</v>
      </c>
      <c r="G24" t="str">
        <f t="shared" si="0"/>
        <v>January</v>
      </c>
      <c r="H24" t="str">
        <f t="shared" si="1"/>
        <v>Q1</v>
      </c>
      <c r="I24">
        <f t="shared" si="2"/>
        <v>2025</v>
      </c>
    </row>
    <row r="25" spans="1:9" x14ac:dyDescent="0.3">
      <c r="A25" s="1">
        <v>45681</v>
      </c>
      <c r="B25">
        <v>1</v>
      </c>
      <c r="C25" t="s">
        <v>4330</v>
      </c>
      <c r="D25">
        <v>2025</v>
      </c>
      <c r="E25" t="s">
        <v>4331</v>
      </c>
      <c r="F25">
        <v>4</v>
      </c>
      <c r="G25" t="str">
        <f t="shared" si="0"/>
        <v>January</v>
      </c>
      <c r="H25" t="str">
        <f t="shared" si="1"/>
        <v>Q1</v>
      </c>
      <c r="I25">
        <f t="shared" si="2"/>
        <v>2025</v>
      </c>
    </row>
    <row r="26" spans="1:9" x14ac:dyDescent="0.3">
      <c r="A26" s="1">
        <v>45682</v>
      </c>
      <c r="B26">
        <v>1</v>
      </c>
      <c r="C26" t="s">
        <v>4330</v>
      </c>
      <c r="D26">
        <v>2025</v>
      </c>
      <c r="E26" t="s">
        <v>4331</v>
      </c>
      <c r="F26">
        <v>4</v>
      </c>
      <c r="G26" t="str">
        <f t="shared" si="0"/>
        <v>January</v>
      </c>
      <c r="H26" t="str">
        <f t="shared" si="1"/>
        <v>Q1</v>
      </c>
      <c r="I26">
        <f t="shared" si="2"/>
        <v>2025</v>
      </c>
    </row>
    <row r="27" spans="1:9" x14ac:dyDescent="0.3">
      <c r="A27" s="1">
        <v>45683</v>
      </c>
      <c r="B27">
        <v>1</v>
      </c>
      <c r="C27" t="s">
        <v>4330</v>
      </c>
      <c r="D27">
        <v>2025</v>
      </c>
      <c r="E27" t="s">
        <v>4331</v>
      </c>
      <c r="F27">
        <v>4</v>
      </c>
      <c r="G27" t="str">
        <f t="shared" si="0"/>
        <v>January</v>
      </c>
      <c r="H27" t="str">
        <f t="shared" si="1"/>
        <v>Q1</v>
      </c>
      <c r="I27">
        <f t="shared" si="2"/>
        <v>2025</v>
      </c>
    </row>
    <row r="28" spans="1:9" x14ac:dyDescent="0.3">
      <c r="A28" s="1">
        <v>45684</v>
      </c>
      <c r="B28">
        <v>1</v>
      </c>
      <c r="C28" t="s">
        <v>4330</v>
      </c>
      <c r="D28">
        <v>2025</v>
      </c>
      <c r="E28" t="s">
        <v>4331</v>
      </c>
      <c r="F28">
        <v>5</v>
      </c>
      <c r="G28" t="str">
        <f t="shared" si="0"/>
        <v>January</v>
      </c>
      <c r="H28" t="str">
        <f t="shared" si="1"/>
        <v>Q1</v>
      </c>
      <c r="I28">
        <f t="shared" si="2"/>
        <v>2025</v>
      </c>
    </row>
    <row r="29" spans="1:9" x14ac:dyDescent="0.3">
      <c r="A29" s="1">
        <v>45685</v>
      </c>
      <c r="B29">
        <v>1</v>
      </c>
      <c r="C29" t="s">
        <v>4330</v>
      </c>
      <c r="D29">
        <v>2025</v>
      </c>
      <c r="E29" t="s">
        <v>4331</v>
      </c>
      <c r="F29">
        <v>5</v>
      </c>
      <c r="G29" t="str">
        <f t="shared" si="0"/>
        <v>January</v>
      </c>
      <c r="H29" t="str">
        <f t="shared" si="1"/>
        <v>Q1</v>
      </c>
      <c r="I29">
        <f t="shared" si="2"/>
        <v>2025</v>
      </c>
    </row>
    <row r="30" spans="1:9" x14ac:dyDescent="0.3">
      <c r="A30" s="1">
        <v>45686</v>
      </c>
      <c r="B30">
        <v>1</v>
      </c>
      <c r="C30" t="s">
        <v>4330</v>
      </c>
      <c r="D30">
        <v>2025</v>
      </c>
      <c r="E30" t="s">
        <v>4331</v>
      </c>
      <c r="F30">
        <v>5</v>
      </c>
      <c r="G30" t="str">
        <f t="shared" si="0"/>
        <v>January</v>
      </c>
      <c r="H30" t="str">
        <f t="shared" si="1"/>
        <v>Q1</v>
      </c>
      <c r="I30">
        <f t="shared" si="2"/>
        <v>2025</v>
      </c>
    </row>
    <row r="31" spans="1:9" x14ac:dyDescent="0.3">
      <c r="A31" s="1">
        <v>45687</v>
      </c>
      <c r="B31">
        <v>1</v>
      </c>
      <c r="C31" t="s">
        <v>4330</v>
      </c>
      <c r="D31">
        <v>2025</v>
      </c>
      <c r="E31" t="s">
        <v>4331</v>
      </c>
      <c r="F31">
        <v>5</v>
      </c>
      <c r="G31" t="str">
        <f t="shared" si="0"/>
        <v>January</v>
      </c>
      <c r="H31" t="str">
        <f t="shared" si="1"/>
        <v>Q1</v>
      </c>
      <c r="I31">
        <f t="shared" si="2"/>
        <v>2025</v>
      </c>
    </row>
    <row r="32" spans="1:9" x14ac:dyDescent="0.3">
      <c r="A32" s="1">
        <v>45688</v>
      </c>
      <c r="B32">
        <v>1</v>
      </c>
      <c r="C32" t="s">
        <v>4330</v>
      </c>
      <c r="D32">
        <v>2025</v>
      </c>
      <c r="E32" t="s">
        <v>4331</v>
      </c>
      <c r="F32">
        <v>5</v>
      </c>
      <c r="G32" t="str">
        <f t="shared" si="0"/>
        <v>January</v>
      </c>
      <c r="H32" t="str">
        <f t="shared" si="1"/>
        <v>Q1</v>
      </c>
      <c r="I32">
        <f t="shared" si="2"/>
        <v>2025</v>
      </c>
    </row>
    <row r="33" spans="1:9" x14ac:dyDescent="0.3">
      <c r="A33" s="1">
        <v>45689</v>
      </c>
      <c r="B33">
        <v>2</v>
      </c>
      <c r="C33" t="s">
        <v>4330</v>
      </c>
      <c r="D33">
        <v>2025</v>
      </c>
      <c r="E33" t="s">
        <v>4332</v>
      </c>
      <c r="F33">
        <v>5</v>
      </c>
      <c r="G33" t="str">
        <f t="shared" si="0"/>
        <v>February</v>
      </c>
      <c r="H33" t="str">
        <f t="shared" si="1"/>
        <v>Q1</v>
      </c>
      <c r="I33">
        <f t="shared" si="2"/>
        <v>2025</v>
      </c>
    </row>
    <row r="34" spans="1:9" x14ac:dyDescent="0.3">
      <c r="A34" s="1">
        <v>45690</v>
      </c>
      <c r="B34">
        <v>2</v>
      </c>
      <c r="C34" t="s">
        <v>4330</v>
      </c>
      <c r="D34">
        <v>2025</v>
      </c>
      <c r="E34" t="s">
        <v>4332</v>
      </c>
      <c r="F34">
        <v>5</v>
      </c>
      <c r="G34" t="str">
        <f t="shared" si="0"/>
        <v>February</v>
      </c>
      <c r="H34" t="str">
        <f t="shared" si="1"/>
        <v>Q1</v>
      </c>
      <c r="I34">
        <f t="shared" si="2"/>
        <v>2025</v>
      </c>
    </row>
    <row r="35" spans="1:9" x14ac:dyDescent="0.3">
      <c r="A35" s="1">
        <v>45691</v>
      </c>
      <c r="B35">
        <v>2</v>
      </c>
      <c r="C35" t="s">
        <v>4330</v>
      </c>
      <c r="D35">
        <v>2025</v>
      </c>
      <c r="E35" t="s">
        <v>4332</v>
      </c>
      <c r="F35">
        <v>6</v>
      </c>
      <c r="G35" t="str">
        <f t="shared" si="0"/>
        <v>February</v>
      </c>
      <c r="H35" t="str">
        <f t="shared" si="1"/>
        <v>Q1</v>
      </c>
      <c r="I35">
        <f t="shared" si="2"/>
        <v>2025</v>
      </c>
    </row>
    <row r="36" spans="1:9" x14ac:dyDescent="0.3">
      <c r="A36" s="1">
        <v>45692</v>
      </c>
      <c r="B36">
        <v>2</v>
      </c>
      <c r="C36" t="s">
        <v>4330</v>
      </c>
      <c r="D36">
        <v>2025</v>
      </c>
      <c r="E36" t="s">
        <v>4332</v>
      </c>
      <c r="F36">
        <v>6</v>
      </c>
      <c r="G36" t="str">
        <f t="shared" si="0"/>
        <v>February</v>
      </c>
      <c r="H36" t="str">
        <f t="shared" si="1"/>
        <v>Q1</v>
      </c>
      <c r="I36">
        <f t="shared" si="2"/>
        <v>2025</v>
      </c>
    </row>
    <row r="37" spans="1:9" x14ac:dyDescent="0.3">
      <c r="A37" s="1">
        <v>45693</v>
      </c>
      <c r="B37">
        <v>2</v>
      </c>
      <c r="C37" t="s">
        <v>4330</v>
      </c>
      <c r="D37">
        <v>2025</v>
      </c>
      <c r="E37" t="s">
        <v>4332</v>
      </c>
      <c r="F37">
        <v>6</v>
      </c>
      <c r="G37" t="str">
        <f t="shared" si="0"/>
        <v>February</v>
      </c>
      <c r="H37" t="str">
        <f t="shared" si="1"/>
        <v>Q1</v>
      </c>
      <c r="I37">
        <f t="shared" si="2"/>
        <v>2025</v>
      </c>
    </row>
    <row r="38" spans="1:9" x14ac:dyDescent="0.3">
      <c r="A38" s="1">
        <v>45694</v>
      </c>
      <c r="B38">
        <v>2</v>
      </c>
      <c r="C38" t="s">
        <v>4330</v>
      </c>
      <c r="D38">
        <v>2025</v>
      </c>
      <c r="E38" t="s">
        <v>4332</v>
      </c>
      <c r="F38">
        <v>6</v>
      </c>
      <c r="G38" t="str">
        <f t="shared" si="0"/>
        <v>February</v>
      </c>
      <c r="H38" t="str">
        <f t="shared" si="1"/>
        <v>Q1</v>
      </c>
      <c r="I38">
        <f t="shared" si="2"/>
        <v>2025</v>
      </c>
    </row>
    <row r="39" spans="1:9" x14ac:dyDescent="0.3">
      <c r="A39" s="1">
        <v>45695</v>
      </c>
      <c r="B39">
        <v>2</v>
      </c>
      <c r="C39" t="s">
        <v>4330</v>
      </c>
      <c r="D39">
        <v>2025</v>
      </c>
      <c r="E39" t="s">
        <v>4332</v>
      </c>
      <c r="F39">
        <v>6</v>
      </c>
      <c r="G39" t="str">
        <f t="shared" si="0"/>
        <v>February</v>
      </c>
      <c r="H39" t="str">
        <f t="shared" si="1"/>
        <v>Q1</v>
      </c>
      <c r="I39">
        <f t="shared" si="2"/>
        <v>2025</v>
      </c>
    </row>
    <row r="40" spans="1:9" x14ac:dyDescent="0.3">
      <c r="A40" s="1">
        <v>45696</v>
      </c>
      <c r="B40">
        <v>2</v>
      </c>
      <c r="C40" t="s">
        <v>4330</v>
      </c>
      <c r="D40">
        <v>2025</v>
      </c>
      <c r="E40" t="s">
        <v>4332</v>
      </c>
      <c r="F40">
        <v>6</v>
      </c>
      <c r="G40" t="str">
        <f t="shared" si="0"/>
        <v>February</v>
      </c>
      <c r="H40" t="str">
        <f t="shared" si="1"/>
        <v>Q1</v>
      </c>
      <c r="I40">
        <f t="shared" si="2"/>
        <v>2025</v>
      </c>
    </row>
    <row r="41" spans="1:9" x14ac:dyDescent="0.3">
      <c r="A41" s="1">
        <v>45697</v>
      </c>
      <c r="B41">
        <v>2</v>
      </c>
      <c r="C41" t="s">
        <v>4330</v>
      </c>
      <c r="D41">
        <v>2025</v>
      </c>
      <c r="E41" t="s">
        <v>4332</v>
      </c>
      <c r="F41">
        <v>6</v>
      </c>
      <c r="G41" t="str">
        <f t="shared" si="0"/>
        <v>February</v>
      </c>
      <c r="H41" t="str">
        <f t="shared" si="1"/>
        <v>Q1</v>
      </c>
      <c r="I41">
        <f t="shared" si="2"/>
        <v>2025</v>
      </c>
    </row>
    <row r="42" spans="1:9" x14ac:dyDescent="0.3">
      <c r="A42" s="1">
        <v>45698</v>
      </c>
      <c r="B42">
        <v>2</v>
      </c>
      <c r="C42" t="s">
        <v>4330</v>
      </c>
      <c r="D42">
        <v>2025</v>
      </c>
      <c r="E42" t="s">
        <v>4332</v>
      </c>
      <c r="F42">
        <v>7</v>
      </c>
      <c r="G42" t="str">
        <f t="shared" si="0"/>
        <v>February</v>
      </c>
      <c r="H42" t="str">
        <f t="shared" si="1"/>
        <v>Q1</v>
      </c>
      <c r="I42">
        <f t="shared" si="2"/>
        <v>2025</v>
      </c>
    </row>
    <row r="43" spans="1:9" x14ac:dyDescent="0.3">
      <c r="A43" s="1">
        <v>45699</v>
      </c>
      <c r="B43">
        <v>2</v>
      </c>
      <c r="C43" t="s">
        <v>4330</v>
      </c>
      <c r="D43">
        <v>2025</v>
      </c>
      <c r="E43" t="s">
        <v>4332</v>
      </c>
      <c r="F43">
        <v>7</v>
      </c>
      <c r="G43" t="str">
        <f t="shared" si="0"/>
        <v>February</v>
      </c>
      <c r="H43" t="str">
        <f t="shared" si="1"/>
        <v>Q1</v>
      </c>
      <c r="I43">
        <f t="shared" si="2"/>
        <v>2025</v>
      </c>
    </row>
    <row r="44" spans="1:9" x14ac:dyDescent="0.3">
      <c r="A44" s="1">
        <v>45700</v>
      </c>
      <c r="B44">
        <v>2</v>
      </c>
      <c r="C44" t="s">
        <v>4330</v>
      </c>
      <c r="D44">
        <v>2025</v>
      </c>
      <c r="E44" t="s">
        <v>4332</v>
      </c>
      <c r="F44">
        <v>7</v>
      </c>
      <c r="G44" t="str">
        <f t="shared" si="0"/>
        <v>February</v>
      </c>
      <c r="H44" t="str">
        <f t="shared" si="1"/>
        <v>Q1</v>
      </c>
      <c r="I44">
        <f t="shared" si="2"/>
        <v>2025</v>
      </c>
    </row>
    <row r="45" spans="1:9" x14ac:dyDescent="0.3">
      <c r="A45" s="1">
        <v>45701</v>
      </c>
      <c r="B45">
        <v>2</v>
      </c>
      <c r="C45" t="s">
        <v>4330</v>
      </c>
      <c r="D45">
        <v>2025</v>
      </c>
      <c r="E45" t="s">
        <v>4332</v>
      </c>
      <c r="F45">
        <v>7</v>
      </c>
      <c r="G45" t="str">
        <f t="shared" si="0"/>
        <v>February</v>
      </c>
      <c r="H45" t="str">
        <f t="shared" si="1"/>
        <v>Q1</v>
      </c>
      <c r="I45">
        <f t="shared" si="2"/>
        <v>2025</v>
      </c>
    </row>
    <row r="46" spans="1:9" x14ac:dyDescent="0.3">
      <c r="A46" s="1">
        <v>45702</v>
      </c>
      <c r="B46">
        <v>2</v>
      </c>
      <c r="C46" t="s">
        <v>4330</v>
      </c>
      <c r="D46">
        <v>2025</v>
      </c>
      <c r="E46" t="s">
        <v>4332</v>
      </c>
      <c r="F46">
        <v>7</v>
      </c>
      <c r="G46" t="str">
        <f t="shared" si="0"/>
        <v>February</v>
      </c>
      <c r="H46" t="str">
        <f t="shared" si="1"/>
        <v>Q1</v>
      </c>
      <c r="I46">
        <f t="shared" si="2"/>
        <v>2025</v>
      </c>
    </row>
    <row r="47" spans="1:9" x14ac:dyDescent="0.3">
      <c r="A47" s="1">
        <v>45703</v>
      </c>
      <c r="B47">
        <v>2</v>
      </c>
      <c r="C47" t="s">
        <v>4330</v>
      </c>
      <c r="D47">
        <v>2025</v>
      </c>
      <c r="E47" t="s">
        <v>4332</v>
      </c>
      <c r="F47">
        <v>7</v>
      </c>
      <c r="G47" t="str">
        <f t="shared" si="0"/>
        <v>February</v>
      </c>
      <c r="H47" t="str">
        <f t="shared" si="1"/>
        <v>Q1</v>
      </c>
      <c r="I47">
        <f t="shared" si="2"/>
        <v>2025</v>
      </c>
    </row>
    <row r="48" spans="1:9" x14ac:dyDescent="0.3">
      <c r="A48" s="1">
        <v>45704</v>
      </c>
      <c r="B48">
        <v>2</v>
      </c>
      <c r="C48" t="s">
        <v>4330</v>
      </c>
      <c r="D48">
        <v>2025</v>
      </c>
      <c r="E48" t="s">
        <v>4332</v>
      </c>
      <c r="F48">
        <v>7</v>
      </c>
      <c r="G48" t="str">
        <f t="shared" si="0"/>
        <v>February</v>
      </c>
      <c r="H48" t="str">
        <f t="shared" si="1"/>
        <v>Q1</v>
      </c>
      <c r="I48">
        <f t="shared" si="2"/>
        <v>2025</v>
      </c>
    </row>
    <row r="49" spans="1:9" x14ac:dyDescent="0.3">
      <c r="A49" s="1">
        <v>45705</v>
      </c>
      <c r="B49">
        <v>2</v>
      </c>
      <c r="C49" t="s">
        <v>4330</v>
      </c>
      <c r="D49">
        <v>2025</v>
      </c>
      <c r="E49" t="s">
        <v>4332</v>
      </c>
      <c r="F49">
        <v>8</v>
      </c>
      <c r="G49" t="str">
        <f t="shared" si="0"/>
        <v>February</v>
      </c>
      <c r="H49" t="str">
        <f t="shared" si="1"/>
        <v>Q1</v>
      </c>
      <c r="I49">
        <f t="shared" si="2"/>
        <v>2025</v>
      </c>
    </row>
    <row r="50" spans="1:9" x14ac:dyDescent="0.3">
      <c r="A50" s="1">
        <v>45706</v>
      </c>
      <c r="B50">
        <v>2</v>
      </c>
      <c r="C50" t="s">
        <v>4330</v>
      </c>
      <c r="D50">
        <v>2025</v>
      </c>
      <c r="E50" t="s">
        <v>4332</v>
      </c>
      <c r="F50">
        <v>8</v>
      </c>
      <c r="G50" t="str">
        <f t="shared" si="0"/>
        <v>February</v>
      </c>
      <c r="H50" t="str">
        <f t="shared" si="1"/>
        <v>Q1</v>
      </c>
      <c r="I50">
        <f t="shared" si="2"/>
        <v>2025</v>
      </c>
    </row>
    <row r="51" spans="1:9" x14ac:dyDescent="0.3">
      <c r="A51" s="1">
        <v>45707</v>
      </c>
      <c r="B51">
        <v>2</v>
      </c>
      <c r="C51" t="s">
        <v>4330</v>
      </c>
      <c r="D51">
        <v>2025</v>
      </c>
      <c r="E51" t="s">
        <v>4332</v>
      </c>
      <c r="F51">
        <v>8</v>
      </c>
      <c r="G51" t="str">
        <f t="shared" si="0"/>
        <v>February</v>
      </c>
      <c r="H51" t="str">
        <f t="shared" si="1"/>
        <v>Q1</v>
      </c>
      <c r="I51">
        <f t="shared" si="2"/>
        <v>2025</v>
      </c>
    </row>
    <row r="52" spans="1:9" x14ac:dyDescent="0.3">
      <c r="A52" s="1">
        <v>45708</v>
      </c>
      <c r="B52">
        <v>2</v>
      </c>
      <c r="C52" t="s">
        <v>4330</v>
      </c>
      <c r="D52">
        <v>2025</v>
      </c>
      <c r="E52" t="s">
        <v>4332</v>
      </c>
      <c r="F52">
        <v>8</v>
      </c>
      <c r="G52" t="str">
        <f t="shared" si="0"/>
        <v>February</v>
      </c>
      <c r="H52" t="str">
        <f t="shared" si="1"/>
        <v>Q1</v>
      </c>
      <c r="I52">
        <f t="shared" si="2"/>
        <v>2025</v>
      </c>
    </row>
    <row r="53" spans="1:9" x14ac:dyDescent="0.3">
      <c r="A53" s="1">
        <v>45709</v>
      </c>
      <c r="B53">
        <v>2</v>
      </c>
      <c r="C53" t="s">
        <v>4330</v>
      </c>
      <c r="D53">
        <v>2025</v>
      </c>
      <c r="E53" t="s">
        <v>4332</v>
      </c>
      <c r="F53">
        <v>8</v>
      </c>
      <c r="G53" t="str">
        <f t="shared" si="0"/>
        <v>February</v>
      </c>
      <c r="H53" t="str">
        <f t="shared" si="1"/>
        <v>Q1</v>
      </c>
      <c r="I53">
        <f t="shared" si="2"/>
        <v>2025</v>
      </c>
    </row>
    <row r="54" spans="1:9" x14ac:dyDescent="0.3">
      <c r="A54" s="1">
        <v>45710</v>
      </c>
      <c r="B54">
        <v>2</v>
      </c>
      <c r="C54" t="s">
        <v>4330</v>
      </c>
      <c r="D54">
        <v>2025</v>
      </c>
      <c r="E54" t="s">
        <v>4332</v>
      </c>
      <c r="F54">
        <v>8</v>
      </c>
      <c r="G54" t="str">
        <f t="shared" si="0"/>
        <v>February</v>
      </c>
      <c r="H54" t="str">
        <f t="shared" si="1"/>
        <v>Q1</v>
      </c>
      <c r="I54">
        <f t="shared" si="2"/>
        <v>2025</v>
      </c>
    </row>
    <row r="55" spans="1:9" x14ac:dyDescent="0.3">
      <c r="A55" s="1">
        <v>45711</v>
      </c>
      <c r="B55">
        <v>2</v>
      </c>
      <c r="C55" t="s">
        <v>4330</v>
      </c>
      <c r="D55">
        <v>2025</v>
      </c>
      <c r="E55" t="s">
        <v>4332</v>
      </c>
      <c r="F55">
        <v>8</v>
      </c>
      <c r="G55" t="str">
        <f t="shared" si="0"/>
        <v>February</v>
      </c>
      <c r="H55" t="str">
        <f t="shared" si="1"/>
        <v>Q1</v>
      </c>
      <c r="I55">
        <f t="shared" si="2"/>
        <v>2025</v>
      </c>
    </row>
    <row r="56" spans="1:9" x14ac:dyDescent="0.3">
      <c r="A56" s="1">
        <v>45712</v>
      </c>
      <c r="B56">
        <v>2</v>
      </c>
      <c r="C56" t="s">
        <v>4330</v>
      </c>
      <c r="D56">
        <v>2025</v>
      </c>
      <c r="E56" t="s">
        <v>4332</v>
      </c>
      <c r="F56">
        <v>9</v>
      </c>
      <c r="G56" t="str">
        <f t="shared" si="0"/>
        <v>February</v>
      </c>
      <c r="H56" t="str">
        <f t="shared" si="1"/>
        <v>Q1</v>
      </c>
      <c r="I56">
        <f t="shared" si="2"/>
        <v>2025</v>
      </c>
    </row>
    <row r="57" spans="1:9" x14ac:dyDescent="0.3">
      <c r="A57" s="1">
        <v>45713</v>
      </c>
      <c r="B57">
        <v>2</v>
      </c>
      <c r="C57" t="s">
        <v>4330</v>
      </c>
      <c r="D57">
        <v>2025</v>
      </c>
      <c r="E57" t="s">
        <v>4332</v>
      </c>
      <c r="F57">
        <v>9</v>
      </c>
      <c r="G57" t="str">
        <f t="shared" si="0"/>
        <v>February</v>
      </c>
      <c r="H57" t="str">
        <f t="shared" si="1"/>
        <v>Q1</v>
      </c>
      <c r="I57">
        <f t="shared" si="2"/>
        <v>2025</v>
      </c>
    </row>
    <row r="58" spans="1:9" x14ac:dyDescent="0.3">
      <c r="A58" s="1">
        <v>45714</v>
      </c>
      <c r="B58">
        <v>2</v>
      </c>
      <c r="C58" t="s">
        <v>4330</v>
      </c>
      <c r="D58">
        <v>2025</v>
      </c>
      <c r="E58" t="s">
        <v>4332</v>
      </c>
      <c r="F58">
        <v>9</v>
      </c>
      <c r="G58" t="str">
        <f t="shared" si="0"/>
        <v>February</v>
      </c>
      <c r="H58" t="str">
        <f t="shared" si="1"/>
        <v>Q1</v>
      </c>
      <c r="I58">
        <f t="shared" si="2"/>
        <v>2025</v>
      </c>
    </row>
    <row r="59" spans="1:9" x14ac:dyDescent="0.3">
      <c r="A59" s="1">
        <v>45715</v>
      </c>
      <c r="B59">
        <v>2</v>
      </c>
      <c r="C59" t="s">
        <v>4330</v>
      </c>
      <c r="D59">
        <v>2025</v>
      </c>
      <c r="E59" t="s">
        <v>4332</v>
      </c>
      <c r="F59">
        <v>9</v>
      </c>
      <c r="G59" t="str">
        <f t="shared" si="0"/>
        <v>February</v>
      </c>
      <c r="H59" t="str">
        <f t="shared" si="1"/>
        <v>Q1</v>
      </c>
      <c r="I59">
        <f t="shared" si="2"/>
        <v>2025</v>
      </c>
    </row>
    <row r="60" spans="1:9" x14ac:dyDescent="0.3">
      <c r="A60" s="1">
        <v>45716</v>
      </c>
      <c r="B60">
        <v>2</v>
      </c>
      <c r="C60" t="s">
        <v>4330</v>
      </c>
      <c r="D60">
        <v>2025</v>
      </c>
      <c r="E60" t="s">
        <v>4332</v>
      </c>
      <c r="F60">
        <v>9</v>
      </c>
      <c r="G60" t="str">
        <f t="shared" si="0"/>
        <v>February</v>
      </c>
      <c r="H60" t="str">
        <f t="shared" si="1"/>
        <v>Q1</v>
      </c>
      <c r="I60">
        <f t="shared" si="2"/>
        <v>2025</v>
      </c>
    </row>
    <row r="61" spans="1:9" x14ac:dyDescent="0.3">
      <c r="A61" s="1">
        <v>45717</v>
      </c>
      <c r="B61">
        <v>3</v>
      </c>
      <c r="C61" t="s">
        <v>4330</v>
      </c>
      <c r="D61">
        <v>2025</v>
      </c>
      <c r="E61" t="s">
        <v>4333</v>
      </c>
      <c r="F61">
        <v>9</v>
      </c>
      <c r="G61" t="str">
        <f t="shared" si="0"/>
        <v>March</v>
      </c>
      <c r="H61" t="str">
        <f t="shared" si="1"/>
        <v>Q1</v>
      </c>
      <c r="I61">
        <f t="shared" si="2"/>
        <v>2025</v>
      </c>
    </row>
    <row r="62" spans="1:9" x14ac:dyDescent="0.3">
      <c r="A62" s="1">
        <v>45718</v>
      </c>
      <c r="B62">
        <v>3</v>
      </c>
      <c r="C62" t="s">
        <v>4330</v>
      </c>
      <c r="D62">
        <v>2025</v>
      </c>
      <c r="E62" t="s">
        <v>4333</v>
      </c>
      <c r="F62">
        <v>9</v>
      </c>
      <c r="G62" t="str">
        <f t="shared" si="0"/>
        <v>March</v>
      </c>
      <c r="H62" t="str">
        <f t="shared" si="1"/>
        <v>Q1</v>
      </c>
      <c r="I62">
        <f t="shared" si="2"/>
        <v>2025</v>
      </c>
    </row>
    <row r="63" spans="1:9" x14ac:dyDescent="0.3">
      <c r="A63" s="1">
        <v>45719</v>
      </c>
      <c r="B63">
        <v>3</v>
      </c>
      <c r="C63" t="s">
        <v>4330</v>
      </c>
      <c r="D63">
        <v>2025</v>
      </c>
      <c r="E63" t="s">
        <v>4333</v>
      </c>
      <c r="F63">
        <v>10</v>
      </c>
      <c r="G63" t="str">
        <f t="shared" si="0"/>
        <v>March</v>
      </c>
      <c r="H63" t="str">
        <f t="shared" si="1"/>
        <v>Q1</v>
      </c>
      <c r="I63">
        <f t="shared" si="2"/>
        <v>2025</v>
      </c>
    </row>
    <row r="64" spans="1:9" x14ac:dyDescent="0.3">
      <c r="A64" s="1">
        <v>45720</v>
      </c>
      <c r="B64">
        <v>3</v>
      </c>
      <c r="C64" t="s">
        <v>4330</v>
      </c>
      <c r="D64">
        <v>2025</v>
      </c>
      <c r="E64" t="s">
        <v>4333</v>
      </c>
      <c r="F64">
        <v>10</v>
      </c>
      <c r="G64" t="str">
        <f t="shared" si="0"/>
        <v>March</v>
      </c>
      <c r="H64" t="str">
        <f t="shared" si="1"/>
        <v>Q1</v>
      </c>
      <c r="I64">
        <f t="shared" si="2"/>
        <v>2025</v>
      </c>
    </row>
    <row r="65" spans="1:9" x14ac:dyDescent="0.3">
      <c r="A65" s="1">
        <v>45721</v>
      </c>
      <c r="B65">
        <v>3</v>
      </c>
      <c r="C65" t="s">
        <v>4330</v>
      </c>
      <c r="D65">
        <v>2025</v>
      </c>
      <c r="E65" t="s">
        <v>4333</v>
      </c>
      <c r="F65">
        <v>10</v>
      </c>
      <c r="G65" t="str">
        <f t="shared" si="0"/>
        <v>March</v>
      </c>
      <c r="H65" t="str">
        <f t="shared" si="1"/>
        <v>Q1</v>
      </c>
      <c r="I65">
        <f t="shared" si="2"/>
        <v>2025</v>
      </c>
    </row>
    <row r="66" spans="1:9" x14ac:dyDescent="0.3">
      <c r="A66" s="1">
        <v>45722</v>
      </c>
      <c r="B66">
        <v>3</v>
      </c>
      <c r="C66" t="s">
        <v>4330</v>
      </c>
      <c r="D66">
        <v>2025</v>
      </c>
      <c r="E66" t="s">
        <v>4333</v>
      </c>
      <c r="F66">
        <v>10</v>
      </c>
      <c r="G66" t="str">
        <f t="shared" ref="G66:G129" si="3">TEXT(A66,"mmmm")</f>
        <v>March</v>
      </c>
      <c r="H66" t="str">
        <f t="shared" ref="H66:H129" si="4">"Q"&amp;ROUNDUP(MONTH(A66)/3,0)</f>
        <v>Q1</v>
      </c>
      <c r="I66">
        <f t="shared" ref="I66:I129" si="5">YEAR(A66)</f>
        <v>2025</v>
      </c>
    </row>
    <row r="67" spans="1:9" x14ac:dyDescent="0.3">
      <c r="A67" s="1">
        <v>45723</v>
      </c>
      <c r="B67">
        <v>3</v>
      </c>
      <c r="C67" t="s">
        <v>4330</v>
      </c>
      <c r="D67">
        <v>2025</v>
      </c>
      <c r="E67" t="s">
        <v>4333</v>
      </c>
      <c r="F67">
        <v>10</v>
      </c>
      <c r="G67" t="str">
        <f t="shared" si="3"/>
        <v>March</v>
      </c>
      <c r="H67" t="str">
        <f t="shared" si="4"/>
        <v>Q1</v>
      </c>
      <c r="I67">
        <f t="shared" si="5"/>
        <v>2025</v>
      </c>
    </row>
    <row r="68" spans="1:9" x14ac:dyDescent="0.3">
      <c r="A68" s="1">
        <v>45724</v>
      </c>
      <c r="B68">
        <v>3</v>
      </c>
      <c r="C68" t="s">
        <v>4330</v>
      </c>
      <c r="D68">
        <v>2025</v>
      </c>
      <c r="E68" t="s">
        <v>4333</v>
      </c>
      <c r="F68">
        <v>10</v>
      </c>
      <c r="G68" t="str">
        <f t="shared" si="3"/>
        <v>March</v>
      </c>
      <c r="H68" t="str">
        <f t="shared" si="4"/>
        <v>Q1</v>
      </c>
      <c r="I68">
        <f t="shared" si="5"/>
        <v>2025</v>
      </c>
    </row>
    <row r="69" spans="1:9" x14ac:dyDescent="0.3">
      <c r="A69" s="1">
        <v>45725</v>
      </c>
      <c r="B69">
        <v>3</v>
      </c>
      <c r="C69" t="s">
        <v>4330</v>
      </c>
      <c r="D69">
        <v>2025</v>
      </c>
      <c r="E69" t="s">
        <v>4333</v>
      </c>
      <c r="F69">
        <v>10</v>
      </c>
      <c r="G69" t="str">
        <f t="shared" si="3"/>
        <v>March</v>
      </c>
      <c r="H69" t="str">
        <f t="shared" si="4"/>
        <v>Q1</v>
      </c>
      <c r="I69">
        <f t="shared" si="5"/>
        <v>2025</v>
      </c>
    </row>
    <row r="70" spans="1:9" x14ac:dyDescent="0.3">
      <c r="A70" s="1">
        <v>45726</v>
      </c>
      <c r="B70">
        <v>3</v>
      </c>
      <c r="C70" t="s">
        <v>4330</v>
      </c>
      <c r="D70">
        <v>2025</v>
      </c>
      <c r="E70" t="s">
        <v>4333</v>
      </c>
      <c r="F70">
        <v>11</v>
      </c>
      <c r="G70" t="str">
        <f t="shared" si="3"/>
        <v>March</v>
      </c>
      <c r="H70" t="str">
        <f t="shared" si="4"/>
        <v>Q1</v>
      </c>
      <c r="I70">
        <f t="shared" si="5"/>
        <v>2025</v>
      </c>
    </row>
    <row r="71" spans="1:9" x14ac:dyDescent="0.3">
      <c r="A71" s="1">
        <v>45727</v>
      </c>
      <c r="B71">
        <v>3</v>
      </c>
      <c r="C71" t="s">
        <v>4330</v>
      </c>
      <c r="D71">
        <v>2025</v>
      </c>
      <c r="E71" t="s">
        <v>4333</v>
      </c>
      <c r="F71">
        <v>11</v>
      </c>
      <c r="G71" t="str">
        <f t="shared" si="3"/>
        <v>March</v>
      </c>
      <c r="H71" t="str">
        <f t="shared" si="4"/>
        <v>Q1</v>
      </c>
      <c r="I71">
        <f t="shared" si="5"/>
        <v>2025</v>
      </c>
    </row>
    <row r="72" spans="1:9" x14ac:dyDescent="0.3">
      <c r="A72" s="1">
        <v>45728</v>
      </c>
      <c r="B72">
        <v>3</v>
      </c>
      <c r="C72" t="s">
        <v>4330</v>
      </c>
      <c r="D72">
        <v>2025</v>
      </c>
      <c r="E72" t="s">
        <v>4333</v>
      </c>
      <c r="F72">
        <v>11</v>
      </c>
      <c r="G72" t="str">
        <f t="shared" si="3"/>
        <v>March</v>
      </c>
      <c r="H72" t="str">
        <f t="shared" si="4"/>
        <v>Q1</v>
      </c>
      <c r="I72">
        <f t="shared" si="5"/>
        <v>2025</v>
      </c>
    </row>
    <row r="73" spans="1:9" x14ac:dyDescent="0.3">
      <c r="A73" s="1">
        <v>45729</v>
      </c>
      <c r="B73">
        <v>3</v>
      </c>
      <c r="C73" t="s">
        <v>4330</v>
      </c>
      <c r="D73">
        <v>2025</v>
      </c>
      <c r="E73" t="s">
        <v>4333</v>
      </c>
      <c r="F73">
        <v>11</v>
      </c>
      <c r="G73" t="str">
        <f t="shared" si="3"/>
        <v>March</v>
      </c>
      <c r="H73" t="str">
        <f t="shared" si="4"/>
        <v>Q1</v>
      </c>
      <c r="I73">
        <f t="shared" si="5"/>
        <v>2025</v>
      </c>
    </row>
    <row r="74" spans="1:9" x14ac:dyDescent="0.3">
      <c r="A74" s="1">
        <v>45730</v>
      </c>
      <c r="B74">
        <v>3</v>
      </c>
      <c r="C74" t="s">
        <v>4330</v>
      </c>
      <c r="D74">
        <v>2025</v>
      </c>
      <c r="E74" t="s">
        <v>4333</v>
      </c>
      <c r="F74">
        <v>11</v>
      </c>
      <c r="G74" t="str">
        <f t="shared" si="3"/>
        <v>March</v>
      </c>
      <c r="H74" t="str">
        <f t="shared" si="4"/>
        <v>Q1</v>
      </c>
      <c r="I74">
        <f t="shared" si="5"/>
        <v>2025</v>
      </c>
    </row>
    <row r="75" spans="1:9" x14ac:dyDescent="0.3">
      <c r="A75" s="1">
        <v>45731</v>
      </c>
      <c r="B75">
        <v>3</v>
      </c>
      <c r="C75" t="s">
        <v>4330</v>
      </c>
      <c r="D75">
        <v>2025</v>
      </c>
      <c r="E75" t="s">
        <v>4333</v>
      </c>
      <c r="F75">
        <v>11</v>
      </c>
      <c r="G75" t="str">
        <f t="shared" si="3"/>
        <v>March</v>
      </c>
      <c r="H75" t="str">
        <f t="shared" si="4"/>
        <v>Q1</v>
      </c>
      <c r="I75">
        <f t="shared" si="5"/>
        <v>2025</v>
      </c>
    </row>
    <row r="76" spans="1:9" x14ac:dyDescent="0.3">
      <c r="A76" s="1">
        <v>45732</v>
      </c>
      <c r="B76">
        <v>3</v>
      </c>
      <c r="C76" t="s">
        <v>4330</v>
      </c>
      <c r="D76">
        <v>2025</v>
      </c>
      <c r="E76" t="s">
        <v>4333</v>
      </c>
      <c r="F76">
        <v>11</v>
      </c>
      <c r="G76" t="str">
        <f t="shared" si="3"/>
        <v>March</v>
      </c>
      <c r="H76" t="str">
        <f t="shared" si="4"/>
        <v>Q1</v>
      </c>
      <c r="I76">
        <f t="shared" si="5"/>
        <v>2025</v>
      </c>
    </row>
    <row r="77" spans="1:9" x14ac:dyDescent="0.3">
      <c r="A77" s="1">
        <v>45733</v>
      </c>
      <c r="B77">
        <v>3</v>
      </c>
      <c r="C77" t="s">
        <v>4330</v>
      </c>
      <c r="D77">
        <v>2025</v>
      </c>
      <c r="E77" t="s">
        <v>4333</v>
      </c>
      <c r="F77">
        <v>12</v>
      </c>
      <c r="G77" t="str">
        <f t="shared" si="3"/>
        <v>March</v>
      </c>
      <c r="H77" t="str">
        <f t="shared" si="4"/>
        <v>Q1</v>
      </c>
      <c r="I77">
        <f t="shared" si="5"/>
        <v>2025</v>
      </c>
    </row>
    <row r="78" spans="1:9" x14ac:dyDescent="0.3">
      <c r="A78" s="1">
        <v>45734</v>
      </c>
      <c r="B78">
        <v>3</v>
      </c>
      <c r="C78" t="s">
        <v>4330</v>
      </c>
      <c r="D78">
        <v>2025</v>
      </c>
      <c r="E78" t="s">
        <v>4333</v>
      </c>
      <c r="F78">
        <v>12</v>
      </c>
      <c r="G78" t="str">
        <f t="shared" si="3"/>
        <v>March</v>
      </c>
      <c r="H78" t="str">
        <f t="shared" si="4"/>
        <v>Q1</v>
      </c>
      <c r="I78">
        <f t="shared" si="5"/>
        <v>2025</v>
      </c>
    </row>
    <row r="79" spans="1:9" x14ac:dyDescent="0.3">
      <c r="A79" s="1">
        <v>45735</v>
      </c>
      <c r="B79">
        <v>3</v>
      </c>
      <c r="C79" t="s">
        <v>4330</v>
      </c>
      <c r="D79">
        <v>2025</v>
      </c>
      <c r="E79" t="s">
        <v>4333</v>
      </c>
      <c r="F79">
        <v>12</v>
      </c>
      <c r="G79" t="str">
        <f t="shared" si="3"/>
        <v>March</v>
      </c>
      <c r="H79" t="str">
        <f t="shared" si="4"/>
        <v>Q1</v>
      </c>
      <c r="I79">
        <f t="shared" si="5"/>
        <v>2025</v>
      </c>
    </row>
    <row r="80" spans="1:9" x14ac:dyDescent="0.3">
      <c r="A80" s="1">
        <v>45736</v>
      </c>
      <c r="B80">
        <v>3</v>
      </c>
      <c r="C80" t="s">
        <v>4330</v>
      </c>
      <c r="D80">
        <v>2025</v>
      </c>
      <c r="E80" t="s">
        <v>4333</v>
      </c>
      <c r="F80">
        <v>12</v>
      </c>
      <c r="G80" t="str">
        <f t="shared" si="3"/>
        <v>March</v>
      </c>
      <c r="H80" t="str">
        <f t="shared" si="4"/>
        <v>Q1</v>
      </c>
      <c r="I80">
        <f t="shared" si="5"/>
        <v>2025</v>
      </c>
    </row>
    <row r="81" spans="1:9" x14ac:dyDescent="0.3">
      <c r="A81" s="1">
        <v>45737</v>
      </c>
      <c r="B81">
        <v>3</v>
      </c>
      <c r="C81" t="s">
        <v>4330</v>
      </c>
      <c r="D81">
        <v>2025</v>
      </c>
      <c r="E81" t="s">
        <v>4333</v>
      </c>
      <c r="F81">
        <v>12</v>
      </c>
      <c r="G81" t="str">
        <f t="shared" si="3"/>
        <v>March</v>
      </c>
      <c r="H81" t="str">
        <f t="shared" si="4"/>
        <v>Q1</v>
      </c>
      <c r="I81">
        <f t="shared" si="5"/>
        <v>2025</v>
      </c>
    </row>
    <row r="82" spans="1:9" x14ac:dyDescent="0.3">
      <c r="A82" s="1">
        <v>45738</v>
      </c>
      <c r="B82">
        <v>3</v>
      </c>
      <c r="C82" t="s">
        <v>4330</v>
      </c>
      <c r="D82">
        <v>2025</v>
      </c>
      <c r="E82" t="s">
        <v>4333</v>
      </c>
      <c r="F82">
        <v>12</v>
      </c>
      <c r="G82" t="str">
        <f t="shared" si="3"/>
        <v>March</v>
      </c>
      <c r="H82" t="str">
        <f t="shared" si="4"/>
        <v>Q1</v>
      </c>
      <c r="I82">
        <f t="shared" si="5"/>
        <v>2025</v>
      </c>
    </row>
    <row r="83" spans="1:9" x14ac:dyDescent="0.3">
      <c r="A83" s="1">
        <v>45739</v>
      </c>
      <c r="B83">
        <v>3</v>
      </c>
      <c r="C83" t="s">
        <v>4330</v>
      </c>
      <c r="D83">
        <v>2025</v>
      </c>
      <c r="E83" t="s">
        <v>4333</v>
      </c>
      <c r="F83">
        <v>12</v>
      </c>
      <c r="G83" t="str">
        <f t="shared" si="3"/>
        <v>March</v>
      </c>
      <c r="H83" t="str">
        <f t="shared" si="4"/>
        <v>Q1</v>
      </c>
      <c r="I83">
        <f t="shared" si="5"/>
        <v>2025</v>
      </c>
    </row>
    <row r="84" spans="1:9" x14ac:dyDescent="0.3">
      <c r="A84" s="1">
        <v>45740</v>
      </c>
      <c r="B84">
        <v>3</v>
      </c>
      <c r="C84" t="s">
        <v>4330</v>
      </c>
      <c r="D84">
        <v>2025</v>
      </c>
      <c r="E84" t="s">
        <v>4333</v>
      </c>
      <c r="F84">
        <v>13</v>
      </c>
      <c r="G84" t="str">
        <f t="shared" si="3"/>
        <v>March</v>
      </c>
      <c r="H84" t="str">
        <f t="shared" si="4"/>
        <v>Q1</v>
      </c>
      <c r="I84">
        <f t="shared" si="5"/>
        <v>2025</v>
      </c>
    </row>
    <row r="85" spans="1:9" x14ac:dyDescent="0.3">
      <c r="A85" s="1">
        <v>45741</v>
      </c>
      <c r="B85">
        <v>3</v>
      </c>
      <c r="C85" t="s">
        <v>4330</v>
      </c>
      <c r="D85">
        <v>2025</v>
      </c>
      <c r="E85" t="s">
        <v>4333</v>
      </c>
      <c r="F85">
        <v>13</v>
      </c>
      <c r="G85" t="str">
        <f t="shared" si="3"/>
        <v>March</v>
      </c>
      <c r="H85" t="str">
        <f t="shared" si="4"/>
        <v>Q1</v>
      </c>
      <c r="I85">
        <f t="shared" si="5"/>
        <v>2025</v>
      </c>
    </row>
    <row r="86" spans="1:9" x14ac:dyDescent="0.3">
      <c r="A86" s="1">
        <v>45742</v>
      </c>
      <c r="B86">
        <v>3</v>
      </c>
      <c r="C86" t="s">
        <v>4330</v>
      </c>
      <c r="D86">
        <v>2025</v>
      </c>
      <c r="E86" t="s">
        <v>4333</v>
      </c>
      <c r="F86">
        <v>13</v>
      </c>
      <c r="G86" t="str">
        <f t="shared" si="3"/>
        <v>March</v>
      </c>
      <c r="H86" t="str">
        <f t="shared" si="4"/>
        <v>Q1</v>
      </c>
      <c r="I86">
        <f t="shared" si="5"/>
        <v>2025</v>
      </c>
    </row>
    <row r="87" spans="1:9" x14ac:dyDescent="0.3">
      <c r="A87" s="1">
        <v>45743</v>
      </c>
      <c r="B87">
        <v>3</v>
      </c>
      <c r="C87" t="s">
        <v>4330</v>
      </c>
      <c r="D87">
        <v>2025</v>
      </c>
      <c r="E87" t="s">
        <v>4333</v>
      </c>
      <c r="F87">
        <v>13</v>
      </c>
      <c r="G87" t="str">
        <f t="shared" si="3"/>
        <v>March</v>
      </c>
      <c r="H87" t="str">
        <f t="shared" si="4"/>
        <v>Q1</v>
      </c>
      <c r="I87">
        <f t="shared" si="5"/>
        <v>2025</v>
      </c>
    </row>
    <row r="88" spans="1:9" x14ac:dyDescent="0.3">
      <c r="A88" s="1">
        <v>45744</v>
      </c>
      <c r="B88">
        <v>3</v>
      </c>
      <c r="C88" t="s">
        <v>4330</v>
      </c>
      <c r="D88">
        <v>2025</v>
      </c>
      <c r="E88" t="s">
        <v>4333</v>
      </c>
      <c r="F88">
        <v>13</v>
      </c>
      <c r="G88" t="str">
        <f t="shared" si="3"/>
        <v>March</v>
      </c>
      <c r="H88" t="str">
        <f t="shared" si="4"/>
        <v>Q1</v>
      </c>
      <c r="I88">
        <f t="shared" si="5"/>
        <v>2025</v>
      </c>
    </row>
    <row r="89" spans="1:9" x14ac:dyDescent="0.3">
      <c r="A89" s="1">
        <v>45745</v>
      </c>
      <c r="B89">
        <v>3</v>
      </c>
      <c r="C89" t="s">
        <v>4330</v>
      </c>
      <c r="D89">
        <v>2025</v>
      </c>
      <c r="E89" t="s">
        <v>4333</v>
      </c>
      <c r="F89">
        <v>13</v>
      </c>
      <c r="G89" t="str">
        <f t="shared" si="3"/>
        <v>March</v>
      </c>
      <c r="H89" t="str">
        <f t="shared" si="4"/>
        <v>Q1</v>
      </c>
      <c r="I89">
        <f t="shared" si="5"/>
        <v>2025</v>
      </c>
    </row>
    <row r="90" spans="1:9" x14ac:dyDescent="0.3">
      <c r="A90" s="1">
        <v>45746</v>
      </c>
      <c r="B90">
        <v>3</v>
      </c>
      <c r="C90" t="s">
        <v>4330</v>
      </c>
      <c r="D90">
        <v>2025</v>
      </c>
      <c r="E90" t="s">
        <v>4333</v>
      </c>
      <c r="F90">
        <v>13</v>
      </c>
      <c r="G90" t="str">
        <f t="shared" si="3"/>
        <v>March</v>
      </c>
      <c r="H90" t="str">
        <f t="shared" si="4"/>
        <v>Q1</v>
      </c>
      <c r="I90">
        <f t="shared" si="5"/>
        <v>2025</v>
      </c>
    </row>
    <row r="91" spans="1:9" x14ac:dyDescent="0.3">
      <c r="A91" s="1">
        <v>45747</v>
      </c>
      <c r="B91">
        <v>3</v>
      </c>
      <c r="C91" t="s">
        <v>4330</v>
      </c>
      <c r="D91">
        <v>2025</v>
      </c>
      <c r="E91" t="s">
        <v>4333</v>
      </c>
      <c r="F91">
        <v>14</v>
      </c>
      <c r="G91" t="str">
        <f t="shared" si="3"/>
        <v>March</v>
      </c>
      <c r="H91" t="str">
        <f t="shared" si="4"/>
        <v>Q1</v>
      </c>
      <c r="I91">
        <f t="shared" si="5"/>
        <v>2025</v>
      </c>
    </row>
    <row r="92" spans="1:9" x14ac:dyDescent="0.3">
      <c r="A92" s="1">
        <v>45748</v>
      </c>
      <c r="B92">
        <v>4</v>
      </c>
      <c r="C92" t="s">
        <v>4334</v>
      </c>
      <c r="D92">
        <v>2025</v>
      </c>
      <c r="E92" t="s">
        <v>4335</v>
      </c>
      <c r="F92">
        <v>14</v>
      </c>
      <c r="G92" t="str">
        <f t="shared" si="3"/>
        <v>April</v>
      </c>
      <c r="H92" t="str">
        <f t="shared" si="4"/>
        <v>Q2</v>
      </c>
      <c r="I92">
        <f t="shared" si="5"/>
        <v>2025</v>
      </c>
    </row>
    <row r="93" spans="1:9" x14ac:dyDescent="0.3">
      <c r="A93" s="1">
        <v>45749</v>
      </c>
      <c r="B93">
        <v>4</v>
      </c>
      <c r="C93" t="s">
        <v>4334</v>
      </c>
      <c r="D93">
        <v>2025</v>
      </c>
      <c r="E93" t="s">
        <v>4335</v>
      </c>
      <c r="F93">
        <v>14</v>
      </c>
      <c r="G93" t="str">
        <f t="shared" si="3"/>
        <v>April</v>
      </c>
      <c r="H93" t="str">
        <f t="shared" si="4"/>
        <v>Q2</v>
      </c>
      <c r="I93">
        <f t="shared" si="5"/>
        <v>2025</v>
      </c>
    </row>
    <row r="94" spans="1:9" x14ac:dyDescent="0.3">
      <c r="A94" s="1">
        <v>45750</v>
      </c>
      <c r="B94">
        <v>4</v>
      </c>
      <c r="C94" t="s">
        <v>4334</v>
      </c>
      <c r="D94">
        <v>2025</v>
      </c>
      <c r="E94" t="s">
        <v>4335</v>
      </c>
      <c r="F94">
        <v>14</v>
      </c>
      <c r="G94" t="str">
        <f t="shared" si="3"/>
        <v>April</v>
      </c>
      <c r="H94" t="str">
        <f t="shared" si="4"/>
        <v>Q2</v>
      </c>
      <c r="I94">
        <f t="shared" si="5"/>
        <v>2025</v>
      </c>
    </row>
    <row r="95" spans="1:9" x14ac:dyDescent="0.3">
      <c r="A95" s="1">
        <v>45751</v>
      </c>
      <c r="B95">
        <v>4</v>
      </c>
      <c r="C95" t="s">
        <v>4334</v>
      </c>
      <c r="D95">
        <v>2025</v>
      </c>
      <c r="E95" t="s">
        <v>4335</v>
      </c>
      <c r="F95">
        <v>14</v>
      </c>
      <c r="G95" t="str">
        <f t="shared" si="3"/>
        <v>April</v>
      </c>
      <c r="H95" t="str">
        <f t="shared" si="4"/>
        <v>Q2</v>
      </c>
      <c r="I95">
        <f t="shared" si="5"/>
        <v>2025</v>
      </c>
    </row>
    <row r="96" spans="1:9" x14ac:dyDescent="0.3">
      <c r="A96" s="1">
        <v>45752</v>
      </c>
      <c r="B96">
        <v>4</v>
      </c>
      <c r="C96" t="s">
        <v>4334</v>
      </c>
      <c r="D96">
        <v>2025</v>
      </c>
      <c r="E96" t="s">
        <v>4335</v>
      </c>
      <c r="F96">
        <v>14</v>
      </c>
      <c r="G96" t="str">
        <f t="shared" si="3"/>
        <v>April</v>
      </c>
      <c r="H96" t="str">
        <f t="shared" si="4"/>
        <v>Q2</v>
      </c>
      <c r="I96">
        <f t="shared" si="5"/>
        <v>2025</v>
      </c>
    </row>
    <row r="97" spans="1:9" x14ac:dyDescent="0.3">
      <c r="A97" s="1">
        <v>45753</v>
      </c>
      <c r="B97">
        <v>4</v>
      </c>
      <c r="C97" t="s">
        <v>4334</v>
      </c>
      <c r="D97">
        <v>2025</v>
      </c>
      <c r="E97" t="s">
        <v>4335</v>
      </c>
      <c r="F97">
        <v>14</v>
      </c>
      <c r="G97" t="str">
        <f t="shared" si="3"/>
        <v>April</v>
      </c>
      <c r="H97" t="str">
        <f t="shared" si="4"/>
        <v>Q2</v>
      </c>
      <c r="I97">
        <f t="shared" si="5"/>
        <v>2025</v>
      </c>
    </row>
    <row r="98" spans="1:9" x14ac:dyDescent="0.3">
      <c r="A98" s="1">
        <v>45754</v>
      </c>
      <c r="B98">
        <v>4</v>
      </c>
      <c r="C98" t="s">
        <v>4334</v>
      </c>
      <c r="D98">
        <v>2025</v>
      </c>
      <c r="E98" t="s">
        <v>4335</v>
      </c>
      <c r="F98">
        <v>15</v>
      </c>
      <c r="G98" t="str">
        <f t="shared" si="3"/>
        <v>April</v>
      </c>
      <c r="H98" t="str">
        <f t="shared" si="4"/>
        <v>Q2</v>
      </c>
      <c r="I98">
        <f t="shared" si="5"/>
        <v>2025</v>
      </c>
    </row>
    <row r="99" spans="1:9" x14ac:dyDescent="0.3">
      <c r="A99" s="1">
        <v>45755</v>
      </c>
      <c r="B99">
        <v>4</v>
      </c>
      <c r="C99" t="s">
        <v>4334</v>
      </c>
      <c r="D99">
        <v>2025</v>
      </c>
      <c r="E99" t="s">
        <v>4335</v>
      </c>
      <c r="F99">
        <v>15</v>
      </c>
      <c r="G99" t="str">
        <f t="shared" si="3"/>
        <v>April</v>
      </c>
      <c r="H99" t="str">
        <f t="shared" si="4"/>
        <v>Q2</v>
      </c>
      <c r="I99">
        <f t="shared" si="5"/>
        <v>2025</v>
      </c>
    </row>
    <row r="100" spans="1:9" x14ac:dyDescent="0.3">
      <c r="A100" s="1">
        <v>45756</v>
      </c>
      <c r="B100">
        <v>4</v>
      </c>
      <c r="C100" t="s">
        <v>4334</v>
      </c>
      <c r="D100">
        <v>2025</v>
      </c>
      <c r="E100" t="s">
        <v>4335</v>
      </c>
      <c r="F100">
        <v>15</v>
      </c>
      <c r="G100" t="str">
        <f t="shared" si="3"/>
        <v>April</v>
      </c>
      <c r="H100" t="str">
        <f t="shared" si="4"/>
        <v>Q2</v>
      </c>
      <c r="I100">
        <f t="shared" si="5"/>
        <v>2025</v>
      </c>
    </row>
    <row r="101" spans="1:9" x14ac:dyDescent="0.3">
      <c r="A101" s="1">
        <v>45757</v>
      </c>
      <c r="B101">
        <v>4</v>
      </c>
      <c r="C101" t="s">
        <v>4334</v>
      </c>
      <c r="D101">
        <v>2025</v>
      </c>
      <c r="E101" t="s">
        <v>4335</v>
      </c>
      <c r="F101">
        <v>15</v>
      </c>
      <c r="G101" t="str">
        <f t="shared" si="3"/>
        <v>April</v>
      </c>
      <c r="H101" t="str">
        <f t="shared" si="4"/>
        <v>Q2</v>
      </c>
      <c r="I101">
        <f t="shared" si="5"/>
        <v>2025</v>
      </c>
    </row>
    <row r="102" spans="1:9" x14ac:dyDescent="0.3">
      <c r="A102" s="1">
        <v>45758</v>
      </c>
      <c r="B102">
        <v>4</v>
      </c>
      <c r="C102" t="s">
        <v>4334</v>
      </c>
      <c r="D102">
        <v>2025</v>
      </c>
      <c r="E102" t="s">
        <v>4335</v>
      </c>
      <c r="F102">
        <v>15</v>
      </c>
      <c r="G102" t="str">
        <f t="shared" si="3"/>
        <v>April</v>
      </c>
      <c r="H102" t="str">
        <f t="shared" si="4"/>
        <v>Q2</v>
      </c>
      <c r="I102">
        <f t="shared" si="5"/>
        <v>2025</v>
      </c>
    </row>
    <row r="103" spans="1:9" x14ac:dyDescent="0.3">
      <c r="A103" s="1">
        <v>45759</v>
      </c>
      <c r="B103">
        <v>4</v>
      </c>
      <c r="C103" t="s">
        <v>4334</v>
      </c>
      <c r="D103">
        <v>2025</v>
      </c>
      <c r="E103" t="s">
        <v>4335</v>
      </c>
      <c r="F103">
        <v>15</v>
      </c>
      <c r="G103" t="str">
        <f t="shared" si="3"/>
        <v>April</v>
      </c>
      <c r="H103" t="str">
        <f t="shared" si="4"/>
        <v>Q2</v>
      </c>
      <c r="I103">
        <f t="shared" si="5"/>
        <v>2025</v>
      </c>
    </row>
    <row r="104" spans="1:9" x14ac:dyDescent="0.3">
      <c r="A104" s="1">
        <v>45760</v>
      </c>
      <c r="B104">
        <v>4</v>
      </c>
      <c r="C104" t="s">
        <v>4334</v>
      </c>
      <c r="D104">
        <v>2025</v>
      </c>
      <c r="E104" t="s">
        <v>4335</v>
      </c>
      <c r="F104">
        <v>15</v>
      </c>
      <c r="G104" t="str">
        <f t="shared" si="3"/>
        <v>April</v>
      </c>
      <c r="H104" t="str">
        <f t="shared" si="4"/>
        <v>Q2</v>
      </c>
      <c r="I104">
        <f t="shared" si="5"/>
        <v>2025</v>
      </c>
    </row>
    <row r="105" spans="1:9" x14ac:dyDescent="0.3">
      <c r="A105" s="1">
        <v>45761</v>
      </c>
      <c r="B105">
        <v>4</v>
      </c>
      <c r="C105" t="s">
        <v>4334</v>
      </c>
      <c r="D105">
        <v>2025</v>
      </c>
      <c r="E105" t="s">
        <v>4335</v>
      </c>
      <c r="F105">
        <v>16</v>
      </c>
      <c r="G105" t="str">
        <f t="shared" si="3"/>
        <v>April</v>
      </c>
      <c r="H105" t="str">
        <f t="shared" si="4"/>
        <v>Q2</v>
      </c>
      <c r="I105">
        <f t="shared" si="5"/>
        <v>2025</v>
      </c>
    </row>
    <row r="106" spans="1:9" x14ac:dyDescent="0.3">
      <c r="A106" s="1">
        <v>45762</v>
      </c>
      <c r="B106">
        <v>4</v>
      </c>
      <c r="C106" t="s">
        <v>4334</v>
      </c>
      <c r="D106">
        <v>2025</v>
      </c>
      <c r="E106" t="s">
        <v>4335</v>
      </c>
      <c r="F106">
        <v>16</v>
      </c>
      <c r="G106" t="str">
        <f t="shared" si="3"/>
        <v>April</v>
      </c>
      <c r="H106" t="str">
        <f t="shared" si="4"/>
        <v>Q2</v>
      </c>
      <c r="I106">
        <f t="shared" si="5"/>
        <v>2025</v>
      </c>
    </row>
    <row r="107" spans="1:9" x14ac:dyDescent="0.3">
      <c r="A107" s="1">
        <v>45763</v>
      </c>
      <c r="B107">
        <v>4</v>
      </c>
      <c r="C107" t="s">
        <v>4334</v>
      </c>
      <c r="D107">
        <v>2025</v>
      </c>
      <c r="E107" t="s">
        <v>4335</v>
      </c>
      <c r="F107">
        <v>16</v>
      </c>
      <c r="G107" t="str">
        <f t="shared" si="3"/>
        <v>April</v>
      </c>
      <c r="H107" t="str">
        <f t="shared" si="4"/>
        <v>Q2</v>
      </c>
      <c r="I107">
        <f t="shared" si="5"/>
        <v>2025</v>
      </c>
    </row>
    <row r="108" spans="1:9" x14ac:dyDescent="0.3">
      <c r="A108" s="1">
        <v>45764</v>
      </c>
      <c r="B108">
        <v>4</v>
      </c>
      <c r="C108" t="s">
        <v>4334</v>
      </c>
      <c r="D108">
        <v>2025</v>
      </c>
      <c r="E108" t="s">
        <v>4335</v>
      </c>
      <c r="F108">
        <v>16</v>
      </c>
      <c r="G108" t="str">
        <f t="shared" si="3"/>
        <v>April</v>
      </c>
      <c r="H108" t="str">
        <f t="shared" si="4"/>
        <v>Q2</v>
      </c>
      <c r="I108">
        <f t="shared" si="5"/>
        <v>2025</v>
      </c>
    </row>
    <row r="109" spans="1:9" x14ac:dyDescent="0.3">
      <c r="A109" s="1">
        <v>45765</v>
      </c>
      <c r="B109">
        <v>4</v>
      </c>
      <c r="C109" t="s">
        <v>4334</v>
      </c>
      <c r="D109">
        <v>2025</v>
      </c>
      <c r="E109" t="s">
        <v>4335</v>
      </c>
      <c r="F109">
        <v>16</v>
      </c>
      <c r="G109" t="str">
        <f t="shared" si="3"/>
        <v>April</v>
      </c>
      <c r="H109" t="str">
        <f t="shared" si="4"/>
        <v>Q2</v>
      </c>
      <c r="I109">
        <f t="shared" si="5"/>
        <v>2025</v>
      </c>
    </row>
    <row r="110" spans="1:9" x14ac:dyDescent="0.3">
      <c r="A110" s="1">
        <v>45766</v>
      </c>
      <c r="B110">
        <v>4</v>
      </c>
      <c r="C110" t="s">
        <v>4334</v>
      </c>
      <c r="D110">
        <v>2025</v>
      </c>
      <c r="E110" t="s">
        <v>4335</v>
      </c>
      <c r="F110">
        <v>16</v>
      </c>
      <c r="G110" t="str">
        <f t="shared" si="3"/>
        <v>April</v>
      </c>
      <c r="H110" t="str">
        <f t="shared" si="4"/>
        <v>Q2</v>
      </c>
      <c r="I110">
        <f t="shared" si="5"/>
        <v>2025</v>
      </c>
    </row>
    <row r="111" spans="1:9" x14ac:dyDescent="0.3">
      <c r="A111" s="1">
        <v>45767</v>
      </c>
      <c r="B111">
        <v>4</v>
      </c>
      <c r="C111" t="s">
        <v>4334</v>
      </c>
      <c r="D111">
        <v>2025</v>
      </c>
      <c r="E111" t="s">
        <v>4335</v>
      </c>
      <c r="F111">
        <v>16</v>
      </c>
      <c r="G111" t="str">
        <f t="shared" si="3"/>
        <v>April</v>
      </c>
      <c r="H111" t="str">
        <f t="shared" si="4"/>
        <v>Q2</v>
      </c>
      <c r="I111">
        <f t="shared" si="5"/>
        <v>2025</v>
      </c>
    </row>
    <row r="112" spans="1:9" x14ac:dyDescent="0.3">
      <c r="A112" s="1">
        <v>45768</v>
      </c>
      <c r="B112">
        <v>4</v>
      </c>
      <c r="C112" t="s">
        <v>4334</v>
      </c>
      <c r="D112">
        <v>2025</v>
      </c>
      <c r="E112" t="s">
        <v>4335</v>
      </c>
      <c r="F112">
        <v>17</v>
      </c>
      <c r="G112" t="str">
        <f t="shared" si="3"/>
        <v>April</v>
      </c>
      <c r="H112" t="str">
        <f t="shared" si="4"/>
        <v>Q2</v>
      </c>
      <c r="I112">
        <f t="shared" si="5"/>
        <v>2025</v>
      </c>
    </row>
    <row r="113" spans="1:9" x14ac:dyDescent="0.3">
      <c r="A113" s="1">
        <v>45769</v>
      </c>
      <c r="B113">
        <v>4</v>
      </c>
      <c r="C113" t="s">
        <v>4334</v>
      </c>
      <c r="D113">
        <v>2025</v>
      </c>
      <c r="E113" t="s">
        <v>4335</v>
      </c>
      <c r="F113">
        <v>17</v>
      </c>
      <c r="G113" t="str">
        <f t="shared" si="3"/>
        <v>April</v>
      </c>
      <c r="H113" t="str">
        <f t="shared" si="4"/>
        <v>Q2</v>
      </c>
      <c r="I113">
        <f t="shared" si="5"/>
        <v>2025</v>
      </c>
    </row>
    <row r="114" spans="1:9" x14ac:dyDescent="0.3">
      <c r="A114" s="1">
        <v>45770</v>
      </c>
      <c r="B114">
        <v>4</v>
      </c>
      <c r="C114" t="s">
        <v>4334</v>
      </c>
      <c r="D114">
        <v>2025</v>
      </c>
      <c r="E114" t="s">
        <v>4335</v>
      </c>
      <c r="F114">
        <v>17</v>
      </c>
      <c r="G114" t="str">
        <f t="shared" si="3"/>
        <v>April</v>
      </c>
      <c r="H114" t="str">
        <f t="shared" si="4"/>
        <v>Q2</v>
      </c>
      <c r="I114">
        <f t="shared" si="5"/>
        <v>2025</v>
      </c>
    </row>
    <row r="115" spans="1:9" x14ac:dyDescent="0.3">
      <c r="A115" s="1">
        <v>45771</v>
      </c>
      <c r="B115">
        <v>4</v>
      </c>
      <c r="C115" t="s">
        <v>4334</v>
      </c>
      <c r="D115">
        <v>2025</v>
      </c>
      <c r="E115" t="s">
        <v>4335</v>
      </c>
      <c r="F115">
        <v>17</v>
      </c>
      <c r="G115" t="str">
        <f t="shared" si="3"/>
        <v>April</v>
      </c>
      <c r="H115" t="str">
        <f t="shared" si="4"/>
        <v>Q2</v>
      </c>
      <c r="I115">
        <f t="shared" si="5"/>
        <v>2025</v>
      </c>
    </row>
    <row r="116" spans="1:9" x14ac:dyDescent="0.3">
      <c r="A116" s="1">
        <v>45772</v>
      </c>
      <c r="B116">
        <v>4</v>
      </c>
      <c r="C116" t="s">
        <v>4334</v>
      </c>
      <c r="D116">
        <v>2025</v>
      </c>
      <c r="E116" t="s">
        <v>4335</v>
      </c>
      <c r="F116">
        <v>17</v>
      </c>
      <c r="G116" t="str">
        <f t="shared" si="3"/>
        <v>April</v>
      </c>
      <c r="H116" t="str">
        <f t="shared" si="4"/>
        <v>Q2</v>
      </c>
      <c r="I116">
        <f t="shared" si="5"/>
        <v>2025</v>
      </c>
    </row>
    <row r="117" spans="1:9" x14ac:dyDescent="0.3">
      <c r="A117" s="1">
        <v>45773</v>
      </c>
      <c r="B117">
        <v>4</v>
      </c>
      <c r="C117" t="s">
        <v>4334</v>
      </c>
      <c r="D117">
        <v>2025</v>
      </c>
      <c r="E117" t="s">
        <v>4335</v>
      </c>
      <c r="F117">
        <v>17</v>
      </c>
      <c r="G117" t="str">
        <f t="shared" si="3"/>
        <v>April</v>
      </c>
      <c r="H117" t="str">
        <f t="shared" si="4"/>
        <v>Q2</v>
      </c>
      <c r="I117">
        <f t="shared" si="5"/>
        <v>2025</v>
      </c>
    </row>
    <row r="118" spans="1:9" x14ac:dyDescent="0.3">
      <c r="A118" s="1">
        <v>45774</v>
      </c>
      <c r="B118">
        <v>4</v>
      </c>
      <c r="C118" t="s">
        <v>4334</v>
      </c>
      <c r="D118">
        <v>2025</v>
      </c>
      <c r="E118" t="s">
        <v>4335</v>
      </c>
      <c r="F118">
        <v>17</v>
      </c>
      <c r="G118" t="str">
        <f t="shared" si="3"/>
        <v>April</v>
      </c>
      <c r="H118" t="str">
        <f t="shared" si="4"/>
        <v>Q2</v>
      </c>
      <c r="I118">
        <f t="shared" si="5"/>
        <v>2025</v>
      </c>
    </row>
    <row r="119" spans="1:9" x14ac:dyDescent="0.3">
      <c r="A119" s="1">
        <v>45775</v>
      </c>
      <c r="B119">
        <v>4</v>
      </c>
      <c r="C119" t="s">
        <v>4334</v>
      </c>
      <c r="D119">
        <v>2025</v>
      </c>
      <c r="E119" t="s">
        <v>4335</v>
      </c>
      <c r="F119">
        <v>18</v>
      </c>
      <c r="G119" t="str">
        <f t="shared" si="3"/>
        <v>April</v>
      </c>
      <c r="H119" t="str">
        <f t="shared" si="4"/>
        <v>Q2</v>
      </c>
      <c r="I119">
        <f t="shared" si="5"/>
        <v>2025</v>
      </c>
    </row>
    <row r="120" spans="1:9" x14ac:dyDescent="0.3">
      <c r="A120" s="1">
        <v>45776</v>
      </c>
      <c r="B120">
        <v>4</v>
      </c>
      <c r="C120" t="s">
        <v>4334</v>
      </c>
      <c r="D120">
        <v>2025</v>
      </c>
      <c r="E120" t="s">
        <v>4335</v>
      </c>
      <c r="F120">
        <v>18</v>
      </c>
      <c r="G120" t="str">
        <f t="shared" si="3"/>
        <v>April</v>
      </c>
      <c r="H120" t="str">
        <f t="shared" si="4"/>
        <v>Q2</v>
      </c>
      <c r="I120">
        <f t="shared" si="5"/>
        <v>2025</v>
      </c>
    </row>
    <row r="121" spans="1:9" x14ac:dyDescent="0.3">
      <c r="A121" s="1">
        <v>45777</v>
      </c>
      <c r="B121">
        <v>4</v>
      </c>
      <c r="C121" t="s">
        <v>4334</v>
      </c>
      <c r="D121">
        <v>2025</v>
      </c>
      <c r="E121" t="s">
        <v>4335</v>
      </c>
      <c r="F121">
        <v>18</v>
      </c>
      <c r="G121" t="str">
        <f t="shared" si="3"/>
        <v>April</v>
      </c>
      <c r="H121" t="str">
        <f t="shared" si="4"/>
        <v>Q2</v>
      </c>
      <c r="I121">
        <f t="shared" si="5"/>
        <v>2025</v>
      </c>
    </row>
    <row r="122" spans="1:9" x14ac:dyDescent="0.3">
      <c r="A122" s="1">
        <v>45778</v>
      </c>
      <c r="B122">
        <v>5</v>
      </c>
      <c r="C122" t="s">
        <v>4334</v>
      </c>
      <c r="D122">
        <v>2025</v>
      </c>
      <c r="E122" t="s">
        <v>4336</v>
      </c>
      <c r="F122">
        <v>18</v>
      </c>
      <c r="G122" t="str">
        <f t="shared" si="3"/>
        <v>May</v>
      </c>
      <c r="H122" t="str">
        <f t="shared" si="4"/>
        <v>Q2</v>
      </c>
      <c r="I122">
        <f t="shared" si="5"/>
        <v>2025</v>
      </c>
    </row>
    <row r="123" spans="1:9" x14ac:dyDescent="0.3">
      <c r="A123" s="1">
        <v>45779</v>
      </c>
      <c r="B123">
        <v>5</v>
      </c>
      <c r="C123" t="s">
        <v>4334</v>
      </c>
      <c r="D123">
        <v>2025</v>
      </c>
      <c r="E123" t="s">
        <v>4336</v>
      </c>
      <c r="F123">
        <v>18</v>
      </c>
      <c r="G123" t="str">
        <f t="shared" si="3"/>
        <v>May</v>
      </c>
      <c r="H123" t="str">
        <f t="shared" si="4"/>
        <v>Q2</v>
      </c>
      <c r="I123">
        <f t="shared" si="5"/>
        <v>2025</v>
      </c>
    </row>
    <row r="124" spans="1:9" x14ac:dyDescent="0.3">
      <c r="A124" s="1">
        <v>45780</v>
      </c>
      <c r="B124">
        <v>5</v>
      </c>
      <c r="C124" t="s">
        <v>4334</v>
      </c>
      <c r="D124">
        <v>2025</v>
      </c>
      <c r="E124" t="s">
        <v>4336</v>
      </c>
      <c r="F124">
        <v>18</v>
      </c>
      <c r="G124" t="str">
        <f t="shared" si="3"/>
        <v>May</v>
      </c>
      <c r="H124" t="str">
        <f t="shared" si="4"/>
        <v>Q2</v>
      </c>
      <c r="I124">
        <f t="shared" si="5"/>
        <v>2025</v>
      </c>
    </row>
    <row r="125" spans="1:9" x14ac:dyDescent="0.3">
      <c r="A125" s="1">
        <v>45781</v>
      </c>
      <c r="B125">
        <v>5</v>
      </c>
      <c r="C125" t="s">
        <v>4334</v>
      </c>
      <c r="D125">
        <v>2025</v>
      </c>
      <c r="E125" t="s">
        <v>4336</v>
      </c>
      <c r="F125">
        <v>18</v>
      </c>
      <c r="G125" t="str">
        <f t="shared" si="3"/>
        <v>May</v>
      </c>
      <c r="H125" t="str">
        <f t="shared" si="4"/>
        <v>Q2</v>
      </c>
      <c r="I125">
        <f t="shared" si="5"/>
        <v>2025</v>
      </c>
    </row>
    <row r="126" spans="1:9" x14ac:dyDescent="0.3">
      <c r="A126" s="1">
        <v>45782</v>
      </c>
      <c r="B126">
        <v>5</v>
      </c>
      <c r="C126" t="s">
        <v>4334</v>
      </c>
      <c r="D126">
        <v>2025</v>
      </c>
      <c r="E126" t="s">
        <v>4336</v>
      </c>
      <c r="F126">
        <v>19</v>
      </c>
      <c r="G126" t="str">
        <f t="shared" si="3"/>
        <v>May</v>
      </c>
      <c r="H126" t="str">
        <f t="shared" si="4"/>
        <v>Q2</v>
      </c>
      <c r="I126">
        <f t="shared" si="5"/>
        <v>2025</v>
      </c>
    </row>
    <row r="127" spans="1:9" x14ac:dyDescent="0.3">
      <c r="A127" s="1">
        <v>45783</v>
      </c>
      <c r="B127">
        <v>5</v>
      </c>
      <c r="C127" t="s">
        <v>4334</v>
      </c>
      <c r="D127">
        <v>2025</v>
      </c>
      <c r="E127" t="s">
        <v>4336</v>
      </c>
      <c r="F127">
        <v>19</v>
      </c>
      <c r="G127" t="str">
        <f t="shared" si="3"/>
        <v>May</v>
      </c>
      <c r="H127" t="str">
        <f t="shared" si="4"/>
        <v>Q2</v>
      </c>
      <c r="I127">
        <f t="shared" si="5"/>
        <v>2025</v>
      </c>
    </row>
    <row r="128" spans="1:9" x14ac:dyDescent="0.3">
      <c r="A128" s="1">
        <v>45784</v>
      </c>
      <c r="B128">
        <v>5</v>
      </c>
      <c r="C128" t="s">
        <v>4334</v>
      </c>
      <c r="D128">
        <v>2025</v>
      </c>
      <c r="E128" t="s">
        <v>4336</v>
      </c>
      <c r="F128">
        <v>19</v>
      </c>
      <c r="G128" t="str">
        <f t="shared" si="3"/>
        <v>May</v>
      </c>
      <c r="H128" t="str">
        <f t="shared" si="4"/>
        <v>Q2</v>
      </c>
      <c r="I128">
        <f t="shared" si="5"/>
        <v>2025</v>
      </c>
    </row>
    <row r="129" spans="1:9" x14ac:dyDescent="0.3">
      <c r="A129" s="1">
        <v>45785</v>
      </c>
      <c r="B129">
        <v>5</v>
      </c>
      <c r="C129" t="s">
        <v>4334</v>
      </c>
      <c r="D129">
        <v>2025</v>
      </c>
      <c r="E129" t="s">
        <v>4336</v>
      </c>
      <c r="F129">
        <v>19</v>
      </c>
      <c r="G129" t="str">
        <f t="shared" si="3"/>
        <v>May</v>
      </c>
      <c r="H129" t="str">
        <f t="shared" si="4"/>
        <v>Q2</v>
      </c>
      <c r="I129">
        <f t="shared" si="5"/>
        <v>2025</v>
      </c>
    </row>
    <row r="130" spans="1:9" x14ac:dyDescent="0.3">
      <c r="A130" s="1">
        <v>45786</v>
      </c>
      <c r="B130">
        <v>5</v>
      </c>
      <c r="C130" t="s">
        <v>4334</v>
      </c>
      <c r="D130">
        <v>2025</v>
      </c>
      <c r="E130" t="s">
        <v>4336</v>
      </c>
      <c r="F130">
        <v>19</v>
      </c>
      <c r="G130" t="str">
        <f t="shared" ref="G130:G193" si="6">TEXT(A130,"mmmm")</f>
        <v>May</v>
      </c>
      <c r="H130" t="str">
        <f t="shared" ref="H130:H193" si="7">"Q"&amp;ROUNDUP(MONTH(A130)/3,0)</f>
        <v>Q2</v>
      </c>
      <c r="I130">
        <f t="shared" ref="I130:I193" si="8">YEAR(A130)</f>
        <v>2025</v>
      </c>
    </row>
    <row r="131" spans="1:9" x14ac:dyDescent="0.3">
      <c r="A131" s="1">
        <v>45787</v>
      </c>
      <c r="B131">
        <v>5</v>
      </c>
      <c r="C131" t="s">
        <v>4334</v>
      </c>
      <c r="D131">
        <v>2025</v>
      </c>
      <c r="E131" t="s">
        <v>4336</v>
      </c>
      <c r="F131">
        <v>19</v>
      </c>
      <c r="G131" t="str">
        <f t="shared" si="6"/>
        <v>May</v>
      </c>
      <c r="H131" t="str">
        <f t="shared" si="7"/>
        <v>Q2</v>
      </c>
      <c r="I131">
        <f t="shared" si="8"/>
        <v>2025</v>
      </c>
    </row>
    <row r="132" spans="1:9" x14ac:dyDescent="0.3">
      <c r="A132" s="1">
        <v>45788</v>
      </c>
      <c r="B132">
        <v>5</v>
      </c>
      <c r="C132" t="s">
        <v>4334</v>
      </c>
      <c r="D132">
        <v>2025</v>
      </c>
      <c r="E132" t="s">
        <v>4336</v>
      </c>
      <c r="F132">
        <v>19</v>
      </c>
      <c r="G132" t="str">
        <f t="shared" si="6"/>
        <v>May</v>
      </c>
      <c r="H132" t="str">
        <f t="shared" si="7"/>
        <v>Q2</v>
      </c>
      <c r="I132">
        <f t="shared" si="8"/>
        <v>2025</v>
      </c>
    </row>
    <row r="133" spans="1:9" x14ac:dyDescent="0.3">
      <c r="A133" s="1">
        <v>45789</v>
      </c>
      <c r="B133">
        <v>5</v>
      </c>
      <c r="C133" t="s">
        <v>4334</v>
      </c>
      <c r="D133">
        <v>2025</v>
      </c>
      <c r="E133" t="s">
        <v>4336</v>
      </c>
      <c r="F133">
        <v>20</v>
      </c>
      <c r="G133" t="str">
        <f t="shared" si="6"/>
        <v>May</v>
      </c>
      <c r="H133" t="str">
        <f t="shared" si="7"/>
        <v>Q2</v>
      </c>
      <c r="I133">
        <f t="shared" si="8"/>
        <v>2025</v>
      </c>
    </row>
    <row r="134" spans="1:9" x14ac:dyDescent="0.3">
      <c r="A134" s="1">
        <v>45790</v>
      </c>
      <c r="B134">
        <v>5</v>
      </c>
      <c r="C134" t="s">
        <v>4334</v>
      </c>
      <c r="D134">
        <v>2025</v>
      </c>
      <c r="E134" t="s">
        <v>4336</v>
      </c>
      <c r="F134">
        <v>20</v>
      </c>
      <c r="G134" t="str">
        <f t="shared" si="6"/>
        <v>May</v>
      </c>
      <c r="H134" t="str">
        <f t="shared" si="7"/>
        <v>Q2</v>
      </c>
      <c r="I134">
        <f t="shared" si="8"/>
        <v>2025</v>
      </c>
    </row>
    <row r="135" spans="1:9" x14ac:dyDescent="0.3">
      <c r="A135" s="1">
        <v>45791</v>
      </c>
      <c r="B135">
        <v>5</v>
      </c>
      <c r="C135" t="s">
        <v>4334</v>
      </c>
      <c r="D135">
        <v>2025</v>
      </c>
      <c r="E135" t="s">
        <v>4336</v>
      </c>
      <c r="F135">
        <v>20</v>
      </c>
      <c r="G135" t="str">
        <f t="shared" si="6"/>
        <v>May</v>
      </c>
      <c r="H135" t="str">
        <f t="shared" si="7"/>
        <v>Q2</v>
      </c>
      <c r="I135">
        <f t="shared" si="8"/>
        <v>2025</v>
      </c>
    </row>
    <row r="136" spans="1:9" x14ac:dyDescent="0.3">
      <c r="A136" s="1">
        <v>45792</v>
      </c>
      <c r="B136">
        <v>5</v>
      </c>
      <c r="C136" t="s">
        <v>4334</v>
      </c>
      <c r="D136">
        <v>2025</v>
      </c>
      <c r="E136" t="s">
        <v>4336</v>
      </c>
      <c r="F136">
        <v>20</v>
      </c>
      <c r="G136" t="str">
        <f t="shared" si="6"/>
        <v>May</v>
      </c>
      <c r="H136" t="str">
        <f t="shared" si="7"/>
        <v>Q2</v>
      </c>
      <c r="I136">
        <f t="shared" si="8"/>
        <v>2025</v>
      </c>
    </row>
    <row r="137" spans="1:9" x14ac:dyDescent="0.3">
      <c r="A137" s="1">
        <v>45793</v>
      </c>
      <c r="B137">
        <v>5</v>
      </c>
      <c r="C137" t="s">
        <v>4334</v>
      </c>
      <c r="D137">
        <v>2025</v>
      </c>
      <c r="E137" t="s">
        <v>4336</v>
      </c>
      <c r="F137">
        <v>20</v>
      </c>
      <c r="G137" t="str">
        <f t="shared" si="6"/>
        <v>May</v>
      </c>
      <c r="H137" t="str">
        <f t="shared" si="7"/>
        <v>Q2</v>
      </c>
      <c r="I137">
        <f t="shared" si="8"/>
        <v>2025</v>
      </c>
    </row>
    <row r="138" spans="1:9" x14ac:dyDescent="0.3">
      <c r="A138" s="1">
        <v>45794</v>
      </c>
      <c r="B138">
        <v>5</v>
      </c>
      <c r="C138" t="s">
        <v>4334</v>
      </c>
      <c r="D138">
        <v>2025</v>
      </c>
      <c r="E138" t="s">
        <v>4336</v>
      </c>
      <c r="F138">
        <v>20</v>
      </c>
      <c r="G138" t="str">
        <f t="shared" si="6"/>
        <v>May</v>
      </c>
      <c r="H138" t="str">
        <f t="shared" si="7"/>
        <v>Q2</v>
      </c>
      <c r="I138">
        <f t="shared" si="8"/>
        <v>2025</v>
      </c>
    </row>
    <row r="139" spans="1:9" x14ac:dyDescent="0.3">
      <c r="A139" s="1">
        <v>45795</v>
      </c>
      <c r="B139">
        <v>5</v>
      </c>
      <c r="C139" t="s">
        <v>4334</v>
      </c>
      <c r="D139">
        <v>2025</v>
      </c>
      <c r="E139" t="s">
        <v>4336</v>
      </c>
      <c r="F139">
        <v>20</v>
      </c>
      <c r="G139" t="str">
        <f t="shared" si="6"/>
        <v>May</v>
      </c>
      <c r="H139" t="str">
        <f t="shared" si="7"/>
        <v>Q2</v>
      </c>
      <c r="I139">
        <f t="shared" si="8"/>
        <v>2025</v>
      </c>
    </row>
    <row r="140" spans="1:9" x14ac:dyDescent="0.3">
      <c r="A140" s="1">
        <v>45796</v>
      </c>
      <c r="B140">
        <v>5</v>
      </c>
      <c r="C140" t="s">
        <v>4334</v>
      </c>
      <c r="D140">
        <v>2025</v>
      </c>
      <c r="E140" t="s">
        <v>4336</v>
      </c>
      <c r="F140">
        <v>21</v>
      </c>
      <c r="G140" t="str">
        <f t="shared" si="6"/>
        <v>May</v>
      </c>
      <c r="H140" t="str">
        <f t="shared" si="7"/>
        <v>Q2</v>
      </c>
      <c r="I140">
        <f t="shared" si="8"/>
        <v>2025</v>
      </c>
    </row>
    <row r="141" spans="1:9" x14ac:dyDescent="0.3">
      <c r="A141" s="1">
        <v>45797</v>
      </c>
      <c r="B141">
        <v>5</v>
      </c>
      <c r="C141" t="s">
        <v>4334</v>
      </c>
      <c r="D141">
        <v>2025</v>
      </c>
      <c r="E141" t="s">
        <v>4336</v>
      </c>
      <c r="F141">
        <v>21</v>
      </c>
      <c r="G141" t="str">
        <f t="shared" si="6"/>
        <v>May</v>
      </c>
      <c r="H141" t="str">
        <f t="shared" si="7"/>
        <v>Q2</v>
      </c>
      <c r="I141">
        <f t="shared" si="8"/>
        <v>2025</v>
      </c>
    </row>
    <row r="142" spans="1:9" x14ac:dyDescent="0.3">
      <c r="A142" s="1">
        <v>45798</v>
      </c>
      <c r="B142">
        <v>5</v>
      </c>
      <c r="C142" t="s">
        <v>4334</v>
      </c>
      <c r="D142">
        <v>2025</v>
      </c>
      <c r="E142" t="s">
        <v>4336</v>
      </c>
      <c r="F142">
        <v>21</v>
      </c>
      <c r="G142" t="str">
        <f t="shared" si="6"/>
        <v>May</v>
      </c>
      <c r="H142" t="str">
        <f t="shared" si="7"/>
        <v>Q2</v>
      </c>
      <c r="I142">
        <f t="shared" si="8"/>
        <v>2025</v>
      </c>
    </row>
    <row r="143" spans="1:9" x14ac:dyDescent="0.3">
      <c r="A143" s="1">
        <v>45799</v>
      </c>
      <c r="B143">
        <v>5</v>
      </c>
      <c r="C143" t="s">
        <v>4334</v>
      </c>
      <c r="D143">
        <v>2025</v>
      </c>
      <c r="E143" t="s">
        <v>4336</v>
      </c>
      <c r="F143">
        <v>21</v>
      </c>
      <c r="G143" t="str">
        <f t="shared" si="6"/>
        <v>May</v>
      </c>
      <c r="H143" t="str">
        <f t="shared" si="7"/>
        <v>Q2</v>
      </c>
      <c r="I143">
        <f t="shared" si="8"/>
        <v>2025</v>
      </c>
    </row>
    <row r="144" spans="1:9" x14ac:dyDescent="0.3">
      <c r="A144" s="1">
        <v>45800</v>
      </c>
      <c r="B144">
        <v>5</v>
      </c>
      <c r="C144" t="s">
        <v>4334</v>
      </c>
      <c r="D144">
        <v>2025</v>
      </c>
      <c r="E144" t="s">
        <v>4336</v>
      </c>
      <c r="F144">
        <v>21</v>
      </c>
      <c r="G144" t="str">
        <f t="shared" si="6"/>
        <v>May</v>
      </c>
      <c r="H144" t="str">
        <f t="shared" si="7"/>
        <v>Q2</v>
      </c>
      <c r="I144">
        <f t="shared" si="8"/>
        <v>2025</v>
      </c>
    </row>
    <row r="145" spans="1:9" x14ac:dyDescent="0.3">
      <c r="A145" s="1">
        <v>45801</v>
      </c>
      <c r="B145">
        <v>5</v>
      </c>
      <c r="C145" t="s">
        <v>4334</v>
      </c>
      <c r="D145">
        <v>2025</v>
      </c>
      <c r="E145" t="s">
        <v>4336</v>
      </c>
      <c r="F145">
        <v>21</v>
      </c>
      <c r="G145" t="str">
        <f t="shared" si="6"/>
        <v>May</v>
      </c>
      <c r="H145" t="str">
        <f t="shared" si="7"/>
        <v>Q2</v>
      </c>
      <c r="I145">
        <f t="shared" si="8"/>
        <v>2025</v>
      </c>
    </row>
    <row r="146" spans="1:9" x14ac:dyDescent="0.3">
      <c r="A146" s="1">
        <v>45802</v>
      </c>
      <c r="B146">
        <v>5</v>
      </c>
      <c r="C146" t="s">
        <v>4334</v>
      </c>
      <c r="D146">
        <v>2025</v>
      </c>
      <c r="E146" t="s">
        <v>4336</v>
      </c>
      <c r="F146">
        <v>21</v>
      </c>
      <c r="G146" t="str">
        <f t="shared" si="6"/>
        <v>May</v>
      </c>
      <c r="H146" t="str">
        <f t="shared" si="7"/>
        <v>Q2</v>
      </c>
      <c r="I146">
        <f t="shared" si="8"/>
        <v>2025</v>
      </c>
    </row>
    <row r="147" spans="1:9" x14ac:dyDescent="0.3">
      <c r="A147" s="1">
        <v>45803</v>
      </c>
      <c r="B147">
        <v>5</v>
      </c>
      <c r="C147" t="s">
        <v>4334</v>
      </c>
      <c r="D147">
        <v>2025</v>
      </c>
      <c r="E147" t="s">
        <v>4336</v>
      </c>
      <c r="F147">
        <v>22</v>
      </c>
      <c r="G147" t="str">
        <f t="shared" si="6"/>
        <v>May</v>
      </c>
      <c r="H147" t="str">
        <f t="shared" si="7"/>
        <v>Q2</v>
      </c>
      <c r="I147">
        <f t="shared" si="8"/>
        <v>2025</v>
      </c>
    </row>
    <row r="148" spans="1:9" x14ac:dyDescent="0.3">
      <c r="A148" s="1">
        <v>45804</v>
      </c>
      <c r="B148">
        <v>5</v>
      </c>
      <c r="C148" t="s">
        <v>4334</v>
      </c>
      <c r="D148">
        <v>2025</v>
      </c>
      <c r="E148" t="s">
        <v>4336</v>
      </c>
      <c r="F148">
        <v>22</v>
      </c>
      <c r="G148" t="str">
        <f t="shared" si="6"/>
        <v>May</v>
      </c>
      <c r="H148" t="str">
        <f t="shared" si="7"/>
        <v>Q2</v>
      </c>
      <c r="I148">
        <f t="shared" si="8"/>
        <v>2025</v>
      </c>
    </row>
    <row r="149" spans="1:9" x14ac:dyDescent="0.3">
      <c r="A149" s="1">
        <v>45805</v>
      </c>
      <c r="B149">
        <v>5</v>
      </c>
      <c r="C149" t="s">
        <v>4334</v>
      </c>
      <c r="D149">
        <v>2025</v>
      </c>
      <c r="E149" t="s">
        <v>4336</v>
      </c>
      <c r="F149">
        <v>22</v>
      </c>
      <c r="G149" t="str">
        <f t="shared" si="6"/>
        <v>May</v>
      </c>
      <c r="H149" t="str">
        <f t="shared" si="7"/>
        <v>Q2</v>
      </c>
      <c r="I149">
        <f t="shared" si="8"/>
        <v>2025</v>
      </c>
    </row>
    <row r="150" spans="1:9" x14ac:dyDescent="0.3">
      <c r="A150" s="1">
        <v>45806</v>
      </c>
      <c r="B150">
        <v>5</v>
      </c>
      <c r="C150" t="s">
        <v>4334</v>
      </c>
      <c r="D150">
        <v>2025</v>
      </c>
      <c r="E150" t="s">
        <v>4336</v>
      </c>
      <c r="F150">
        <v>22</v>
      </c>
      <c r="G150" t="str">
        <f t="shared" si="6"/>
        <v>May</v>
      </c>
      <c r="H150" t="str">
        <f t="shared" si="7"/>
        <v>Q2</v>
      </c>
      <c r="I150">
        <f t="shared" si="8"/>
        <v>2025</v>
      </c>
    </row>
    <row r="151" spans="1:9" x14ac:dyDescent="0.3">
      <c r="A151" s="1">
        <v>45807</v>
      </c>
      <c r="B151">
        <v>5</v>
      </c>
      <c r="C151" t="s">
        <v>4334</v>
      </c>
      <c r="D151">
        <v>2025</v>
      </c>
      <c r="E151" t="s">
        <v>4336</v>
      </c>
      <c r="F151">
        <v>22</v>
      </c>
      <c r="G151" t="str">
        <f t="shared" si="6"/>
        <v>May</v>
      </c>
      <c r="H151" t="str">
        <f t="shared" si="7"/>
        <v>Q2</v>
      </c>
      <c r="I151">
        <f t="shared" si="8"/>
        <v>2025</v>
      </c>
    </row>
    <row r="152" spans="1:9" x14ac:dyDescent="0.3">
      <c r="A152" s="1">
        <v>45808</v>
      </c>
      <c r="B152">
        <v>5</v>
      </c>
      <c r="C152" t="s">
        <v>4334</v>
      </c>
      <c r="D152">
        <v>2025</v>
      </c>
      <c r="E152" t="s">
        <v>4336</v>
      </c>
      <c r="F152">
        <v>22</v>
      </c>
      <c r="G152" t="str">
        <f t="shared" si="6"/>
        <v>May</v>
      </c>
      <c r="H152" t="str">
        <f t="shared" si="7"/>
        <v>Q2</v>
      </c>
      <c r="I152">
        <f t="shared" si="8"/>
        <v>2025</v>
      </c>
    </row>
    <row r="153" spans="1:9" x14ac:dyDescent="0.3">
      <c r="A153" s="1">
        <v>45809</v>
      </c>
      <c r="B153">
        <v>6</v>
      </c>
      <c r="C153" t="s">
        <v>4334</v>
      </c>
      <c r="D153">
        <v>2025</v>
      </c>
      <c r="E153" t="s">
        <v>4337</v>
      </c>
      <c r="F153">
        <v>22</v>
      </c>
      <c r="G153" t="str">
        <f t="shared" si="6"/>
        <v>June</v>
      </c>
      <c r="H153" t="str">
        <f t="shared" si="7"/>
        <v>Q2</v>
      </c>
      <c r="I153">
        <f t="shared" si="8"/>
        <v>2025</v>
      </c>
    </row>
    <row r="154" spans="1:9" x14ac:dyDescent="0.3">
      <c r="A154" s="1">
        <v>45810</v>
      </c>
      <c r="B154">
        <v>6</v>
      </c>
      <c r="C154" t="s">
        <v>4334</v>
      </c>
      <c r="D154">
        <v>2025</v>
      </c>
      <c r="E154" t="s">
        <v>4337</v>
      </c>
      <c r="F154">
        <v>23</v>
      </c>
      <c r="G154" t="str">
        <f t="shared" si="6"/>
        <v>June</v>
      </c>
      <c r="H154" t="str">
        <f t="shared" si="7"/>
        <v>Q2</v>
      </c>
      <c r="I154">
        <f t="shared" si="8"/>
        <v>2025</v>
      </c>
    </row>
    <row r="155" spans="1:9" x14ac:dyDescent="0.3">
      <c r="A155" s="1">
        <v>45811</v>
      </c>
      <c r="B155">
        <v>6</v>
      </c>
      <c r="C155" t="s">
        <v>4334</v>
      </c>
      <c r="D155">
        <v>2025</v>
      </c>
      <c r="E155" t="s">
        <v>4337</v>
      </c>
      <c r="F155">
        <v>23</v>
      </c>
      <c r="G155" t="str">
        <f t="shared" si="6"/>
        <v>June</v>
      </c>
      <c r="H155" t="str">
        <f t="shared" si="7"/>
        <v>Q2</v>
      </c>
      <c r="I155">
        <f t="shared" si="8"/>
        <v>2025</v>
      </c>
    </row>
    <row r="156" spans="1:9" x14ac:dyDescent="0.3">
      <c r="A156" s="1">
        <v>45812</v>
      </c>
      <c r="B156">
        <v>6</v>
      </c>
      <c r="C156" t="s">
        <v>4334</v>
      </c>
      <c r="D156">
        <v>2025</v>
      </c>
      <c r="E156" t="s">
        <v>4337</v>
      </c>
      <c r="F156">
        <v>23</v>
      </c>
      <c r="G156" t="str">
        <f t="shared" si="6"/>
        <v>June</v>
      </c>
      <c r="H156" t="str">
        <f t="shared" si="7"/>
        <v>Q2</v>
      </c>
      <c r="I156">
        <f t="shared" si="8"/>
        <v>2025</v>
      </c>
    </row>
    <row r="157" spans="1:9" x14ac:dyDescent="0.3">
      <c r="A157" s="1">
        <v>45813</v>
      </c>
      <c r="B157">
        <v>6</v>
      </c>
      <c r="C157" t="s">
        <v>4334</v>
      </c>
      <c r="D157">
        <v>2025</v>
      </c>
      <c r="E157" t="s">
        <v>4337</v>
      </c>
      <c r="F157">
        <v>23</v>
      </c>
      <c r="G157" t="str">
        <f t="shared" si="6"/>
        <v>June</v>
      </c>
      <c r="H157" t="str">
        <f t="shared" si="7"/>
        <v>Q2</v>
      </c>
      <c r="I157">
        <f t="shared" si="8"/>
        <v>2025</v>
      </c>
    </row>
    <row r="158" spans="1:9" x14ac:dyDescent="0.3">
      <c r="A158" s="1">
        <v>45814</v>
      </c>
      <c r="B158">
        <v>6</v>
      </c>
      <c r="C158" t="s">
        <v>4334</v>
      </c>
      <c r="D158">
        <v>2025</v>
      </c>
      <c r="E158" t="s">
        <v>4337</v>
      </c>
      <c r="F158">
        <v>23</v>
      </c>
      <c r="G158" t="str">
        <f t="shared" si="6"/>
        <v>June</v>
      </c>
      <c r="H158" t="str">
        <f t="shared" si="7"/>
        <v>Q2</v>
      </c>
      <c r="I158">
        <f t="shared" si="8"/>
        <v>2025</v>
      </c>
    </row>
    <row r="159" spans="1:9" x14ac:dyDescent="0.3">
      <c r="A159" s="1">
        <v>45815</v>
      </c>
      <c r="B159">
        <v>6</v>
      </c>
      <c r="C159" t="s">
        <v>4334</v>
      </c>
      <c r="D159">
        <v>2025</v>
      </c>
      <c r="E159" t="s">
        <v>4337</v>
      </c>
      <c r="F159">
        <v>23</v>
      </c>
      <c r="G159" t="str">
        <f t="shared" si="6"/>
        <v>June</v>
      </c>
      <c r="H159" t="str">
        <f t="shared" si="7"/>
        <v>Q2</v>
      </c>
      <c r="I159">
        <f t="shared" si="8"/>
        <v>2025</v>
      </c>
    </row>
    <row r="160" spans="1:9" x14ac:dyDescent="0.3">
      <c r="A160" s="1">
        <v>45816</v>
      </c>
      <c r="B160">
        <v>6</v>
      </c>
      <c r="C160" t="s">
        <v>4334</v>
      </c>
      <c r="D160">
        <v>2025</v>
      </c>
      <c r="E160" t="s">
        <v>4337</v>
      </c>
      <c r="F160">
        <v>23</v>
      </c>
      <c r="G160" t="str">
        <f t="shared" si="6"/>
        <v>June</v>
      </c>
      <c r="H160" t="str">
        <f t="shared" si="7"/>
        <v>Q2</v>
      </c>
      <c r="I160">
        <f t="shared" si="8"/>
        <v>2025</v>
      </c>
    </row>
    <row r="161" spans="1:9" x14ac:dyDescent="0.3">
      <c r="A161" s="1">
        <v>45817</v>
      </c>
      <c r="B161">
        <v>6</v>
      </c>
      <c r="C161" t="s">
        <v>4334</v>
      </c>
      <c r="D161">
        <v>2025</v>
      </c>
      <c r="E161" t="s">
        <v>4337</v>
      </c>
      <c r="F161">
        <v>24</v>
      </c>
      <c r="G161" t="str">
        <f t="shared" si="6"/>
        <v>June</v>
      </c>
      <c r="H161" t="str">
        <f t="shared" si="7"/>
        <v>Q2</v>
      </c>
      <c r="I161">
        <f t="shared" si="8"/>
        <v>2025</v>
      </c>
    </row>
    <row r="162" spans="1:9" x14ac:dyDescent="0.3">
      <c r="A162" s="1">
        <v>45818</v>
      </c>
      <c r="B162">
        <v>6</v>
      </c>
      <c r="C162" t="s">
        <v>4334</v>
      </c>
      <c r="D162">
        <v>2025</v>
      </c>
      <c r="E162" t="s">
        <v>4337</v>
      </c>
      <c r="F162">
        <v>24</v>
      </c>
      <c r="G162" t="str">
        <f t="shared" si="6"/>
        <v>June</v>
      </c>
      <c r="H162" t="str">
        <f t="shared" si="7"/>
        <v>Q2</v>
      </c>
      <c r="I162">
        <f t="shared" si="8"/>
        <v>2025</v>
      </c>
    </row>
    <row r="163" spans="1:9" x14ac:dyDescent="0.3">
      <c r="A163" s="1">
        <v>45819</v>
      </c>
      <c r="B163">
        <v>6</v>
      </c>
      <c r="C163" t="s">
        <v>4334</v>
      </c>
      <c r="D163">
        <v>2025</v>
      </c>
      <c r="E163" t="s">
        <v>4337</v>
      </c>
      <c r="F163">
        <v>24</v>
      </c>
      <c r="G163" t="str">
        <f t="shared" si="6"/>
        <v>June</v>
      </c>
      <c r="H163" t="str">
        <f t="shared" si="7"/>
        <v>Q2</v>
      </c>
      <c r="I163">
        <f t="shared" si="8"/>
        <v>2025</v>
      </c>
    </row>
    <row r="164" spans="1:9" x14ac:dyDescent="0.3">
      <c r="A164" s="1">
        <v>45820</v>
      </c>
      <c r="B164">
        <v>6</v>
      </c>
      <c r="C164" t="s">
        <v>4334</v>
      </c>
      <c r="D164">
        <v>2025</v>
      </c>
      <c r="E164" t="s">
        <v>4337</v>
      </c>
      <c r="F164">
        <v>24</v>
      </c>
      <c r="G164" t="str">
        <f t="shared" si="6"/>
        <v>June</v>
      </c>
      <c r="H164" t="str">
        <f t="shared" si="7"/>
        <v>Q2</v>
      </c>
      <c r="I164">
        <f t="shared" si="8"/>
        <v>2025</v>
      </c>
    </row>
    <row r="165" spans="1:9" x14ac:dyDescent="0.3">
      <c r="A165" s="1">
        <v>45821</v>
      </c>
      <c r="B165">
        <v>6</v>
      </c>
      <c r="C165" t="s">
        <v>4334</v>
      </c>
      <c r="D165">
        <v>2025</v>
      </c>
      <c r="E165" t="s">
        <v>4337</v>
      </c>
      <c r="F165">
        <v>24</v>
      </c>
      <c r="G165" t="str">
        <f t="shared" si="6"/>
        <v>June</v>
      </c>
      <c r="H165" t="str">
        <f t="shared" si="7"/>
        <v>Q2</v>
      </c>
      <c r="I165">
        <f t="shared" si="8"/>
        <v>2025</v>
      </c>
    </row>
    <row r="166" spans="1:9" x14ac:dyDescent="0.3">
      <c r="A166" s="1">
        <v>45822</v>
      </c>
      <c r="B166">
        <v>6</v>
      </c>
      <c r="C166" t="s">
        <v>4334</v>
      </c>
      <c r="D166">
        <v>2025</v>
      </c>
      <c r="E166" t="s">
        <v>4337</v>
      </c>
      <c r="F166">
        <v>24</v>
      </c>
      <c r="G166" t="str">
        <f t="shared" si="6"/>
        <v>June</v>
      </c>
      <c r="H166" t="str">
        <f t="shared" si="7"/>
        <v>Q2</v>
      </c>
      <c r="I166">
        <f t="shared" si="8"/>
        <v>2025</v>
      </c>
    </row>
    <row r="167" spans="1:9" x14ac:dyDescent="0.3">
      <c r="A167" s="1">
        <v>45823</v>
      </c>
      <c r="B167">
        <v>6</v>
      </c>
      <c r="C167" t="s">
        <v>4334</v>
      </c>
      <c r="D167">
        <v>2025</v>
      </c>
      <c r="E167" t="s">
        <v>4337</v>
      </c>
      <c r="F167">
        <v>24</v>
      </c>
      <c r="G167" t="str">
        <f t="shared" si="6"/>
        <v>June</v>
      </c>
      <c r="H167" t="str">
        <f t="shared" si="7"/>
        <v>Q2</v>
      </c>
      <c r="I167">
        <f t="shared" si="8"/>
        <v>2025</v>
      </c>
    </row>
    <row r="168" spans="1:9" x14ac:dyDescent="0.3">
      <c r="A168" s="1">
        <v>45824</v>
      </c>
      <c r="B168">
        <v>6</v>
      </c>
      <c r="C168" t="s">
        <v>4334</v>
      </c>
      <c r="D168">
        <v>2025</v>
      </c>
      <c r="E168" t="s">
        <v>4337</v>
      </c>
      <c r="F168">
        <v>25</v>
      </c>
      <c r="G168" t="str">
        <f t="shared" si="6"/>
        <v>June</v>
      </c>
      <c r="H168" t="str">
        <f t="shared" si="7"/>
        <v>Q2</v>
      </c>
      <c r="I168">
        <f t="shared" si="8"/>
        <v>2025</v>
      </c>
    </row>
    <row r="169" spans="1:9" x14ac:dyDescent="0.3">
      <c r="A169" s="1">
        <v>45825</v>
      </c>
      <c r="B169">
        <v>6</v>
      </c>
      <c r="C169" t="s">
        <v>4334</v>
      </c>
      <c r="D169">
        <v>2025</v>
      </c>
      <c r="E169" t="s">
        <v>4337</v>
      </c>
      <c r="F169">
        <v>25</v>
      </c>
      <c r="G169" t="str">
        <f t="shared" si="6"/>
        <v>June</v>
      </c>
      <c r="H169" t="str">
        <f t="shared" si="7"/>
        <v>Q2</v>
      </c>
      <c r="I169">
        <f t="shared" si="8"/>
        <v>2025</v>
      </c>
    </row>
    <row r="170" spans="1:9" x14ac:dyDescent="0.3">
      <c r="A170" s="1">
        <v>45826</v>
      </c>
      <c r="B170">
        <v>6</v>
      </c>
      <c r="C170" t="s">
        <v>4334</v>
      </c>
      <c r="D170">
        <v>2025</v>
      </c>
      <c r="E170" t="s">
        <v>4337</v>
      </c>
      <c r="F170">
        <v>25</v>
      </c>
      <c r="G170" t="str">
        <f t="shared" si="6"/>
        <v>June</v>
      </c>
      <c r="H170" t="str">
        <f t="shared" si="7"/>
        <v>Q2</v>
      </c>
      <c r="I170">
        <f t="shared" si="8"/>
        <v>2025</v>
      </c>
    </row>
    <row r="171" spans="1:9" x14ac:dyDescent="0.3">
      <c r="A171" s="1">
        <v>45827</v>
      </c>
      <c r="B171">
        <v>6</v>
      </c>
      <c r="C171" t="s">
        <v>4334</v>
      </c>
      <c r="D171">
        <v>2025</v>
      </c>
      <c r="E171" t="s">
        <v>4337</v>
      </c>
      <c r="F171">
        <v>25</v>
      </c>
      <c r="G171" t="str">
        <f t="shared" si="6"/>
        <v>June</v>
      </c>
      <c r="H171" t="str">
        <f t="shared" si="7"/>
        <v>Q2</v>
      </c>
      <c r="I171">
        <f t="shared" si="8"/>
        <v>2025</v>
      </c>
    </row>
    <row r="172" spans="1:9" x14ac:dyDescent="0.3">
      <c r="A172" s="1">
        <v>45828</v>
      </c>
      <c r="B172">
        <v>6</v>
      </c>
      <c r="C172" t="s">
        <v>4334</v>
      </c>
      <c r="D172">
        <v>2025</v>
      </c>
      <c r="E172" t="s">
        <v>4337</v>
      </c>
      <c r="F172">
        <v>25</v>
      </c>
      <c r="G172" t="str">
        <f t="shared" si="6"/>
        <v>June</v>
      </c>
      <c r="H172" t="str">
        <f t="shared" si="7"/>
        <v>Q2</v>
      </c>
      <c r="I172">
        <f t="shared" si="8"/>
        <v>2025</v>
      </c>
    </row>
    <row r="173" spans="1:9" x14ac:dyDescent="0.3">
      <c r="A173" s="1">
        <v>45829</v>
      </c>
      <c r="B173">
        <v>6</v>
      </c>
      <c r="C173" t="s">
        <v>4334</v>
      </c>
      <c r="D173">
        <v>2025</v>
      </c>
      <c r="E173" t="s">
        <v>4337</v>
      </c>
      <c r="F173">
        <v>25</v>
      </c>
      <c r="G173" t="str">
        <f t="shared" si="6"/>
        <v>June</v>
      </c>
      <c r="H173" t="str">
        <f t="shared" si="7"/>
        <v>Q2</v>
      </c>
      <c r="I173">
        <f t="shared" si="8"/>
        <v>2025</v>
      </c>
    </row>
    <row r="174" spans="1:9" x14ac:dyDescent="0.3">
      <c r="A174" s="1">
        <v>45830</v>
      </c>
      <c r="B174">
        <v>6</v>
      </c>
      <c r="C174" t="s">
        <v>4334</v>
      </c>
      <c r="D174">
        <v>2025</v>
      </c>
      <c r="E174" t="s">
        <v>4337</v>
      </c>
      <c r="F174">
        <v>25</v>
      </c>
      <c r="G174" t="str">
        <f t="shared" si="6"/>
        <v>June</v>
      </c>
      <c r="H174" t="str">
        <f t="shared" si="7"/>
        <v>Q2</v>
      </c>
      <c r="I174">
        <f t="shared" si="8"/>
        <v>2025</v>
      </c>
    </row>
    <row r="175" spans="1:9" x14ac:dyDescent="0.3">
      <c r="A175" s="1">
        <v>45831</v>
      </c>
      <c r="B175">
        <v>6</v>
      </c>
      <c r="C175" t="s">
        <v>4334</v>
      </c>
      <c r="D175">
        <v>2025</v>
      </c>
      <c r="E175" t="s">
        <v>4337</v>
      </c>
      <c r="F175">
        <v>26</v>
      </c>
      <c r="G175" t="str">
        <f t="shared" si="6"/>
        <v>June</v>
      </c>
      <c r="H175" t="str">
        <f t="shared" si="7"/>
        <v>Q2</v>
      </c>
      <c r="I175">
        <f t="shared" si="8"/>
        <v>2025</v>
      </c>
    </row>
    <row r="176" spans="1:9" x14ac:dyDescent="0.3">
      <c r="A176" s="1">
        <v>45832</v>
      </c>
      <c r="B176">
        <v>6</v>
      </c>
      <c r="C176" t="s">
        <v>4334</v>
      </c>
      <c r="D176">
        <v>2025</v>
      </c>
      <c r="E176" t="s">
        <v>4337</v>
      </c>
      <c r="F176">
        <v>26</v>
      </c>
      <c r="G176" t="str">
        <f t="shared" si="6"/>
        <v>June</v>
      </c>
      <c r="H176" t="str">
        <f t="shared" si="7"/>
        <v>Q2</v>
      </c>
      <c r="I176">
        <f t="shared" si="8"/>
        <v>2025</v>
      </c>
    </row>
    <row r="177" spans="1:9" x14ac:dyDescent="0.3">
      <c r="A177" s="1">
        <v>45833</v>
      </c>
      <c r="B177">
        <v>6</v>
      </c>
      <c r="C177" t="s">
        <v>4334</v>
      </c>
      <c r="D177">
        <v>2025</v>
      </c>
      <c r="E177" t="s">
        <v>4337</v>
      </c>
      <c r="F177">
        <v>26</v>
      </c>
      <c r="G177" t="str">
        <f t="shared" si="6"/>
        <v>June</v>
      </c>
      <c r="H177" t="str">
        <f t="shared" si="7"/>
        <v>Q2</v>
      </c>
      <c r="I177">
        <f t="shared" si="8"/>
        <v>2025</v>
      </c>
    </row>
    <row r="178" spans="1:9" x14ac:dyDescent="0.3">
      <c r="A178" s="1">
        <v>45834</v>
      </c>
      <c r="B178">
        <v>6</v>
      </c>
      <c r="C178" t="s">
        <v>4334</v>
      </c>
      <c r="D178">
        <v>2025</v>
      </c>
      <c r="E178" t="s">
        <v>4337</v>
      </c>
      <c r="F178">
        <v>26</v>
      </c>
      <c r="G178" t="str">
        <f t="shared" si="6"/>
        <v>June</v>
      </c>
      <c r="H178" t="str">
        <f t="shared" si="7"/>
        <v>Q2</v>
      </c>
      <c r="I178">
        <f t="shared" si="8"/>
        <v>2025</v>
      </c>
    </row>
    <row r="179" spans="1:9" x14ac:dyDescent="0.3">
      <c r="A179" s="1">
        <v>45835</v>
      </c>
      <c r="B179">
        <v>6</v>
      </c>
      <c r="C179" t="s">
        <v>4334</v>
      </c>
      <c r="D179">
        <v>2025</v>
      </c>
      <c r="E179" t="s">
        <v>4337</v>
      </c>
      <c r="F179">
        <v>26</v>
      </c>
      <c r="G179" t="str">
        <f t="shared" si="6"/>
        <v>June</v>
      </c>
      <c r="H179" t="str">
        <f t="shared" si="7"/>
        <v>Q2</v>
      </c>
      <c r="I179">
        <f t="shared" si="8"/>
        <v>2025</v>
      </c>
    </row>
    <row r="180" spans="1:9" x14ac:dyDescent="0.3">
      <c r="A180" s="1">
        <v>45836</v>
      </c>
      <c r="B180">
        <v>6</v>
      </c>
      <c r="C180" t="s">
        <v>4334</v>
      </c>
      <c r="D180">
        <v>2025</v>
      </c>
      <c r="E180" t="s">
        <v>4337</v>
      </c>
      <c r="F180">
        <v>26</v>
      </c>
      <c r="G180" t="str">
        <f t="shared" si="6"/>
        <v>June</v>
      </c>
      <c r="H180" t="str">
        <f t="shared" si="7"/>
        <v>Q2</v>
      </c>
      <c r="I180">
        <f t="shared" si="8"/>
        <v>2025</v>
      </c>
    </row>
    <row r="181" spans="1:9" x14ac:dyDescent="0.3">
      <c r="A181" s="1">
        <v>45837</v>
      </c>
      <c r="B181">
        <v>6</v>
      </c>
      <c r="C181" t="s">
        <v>4334</v>
      </c>
      <c r="D181">
        <v>2025</v>
      </c>
      <c r="E181" t="s">
        <v>4337</v>
      </c>
      <c r="F181">
        <v>26</v>
      </c>
      <c r="G181" t="str">
        <f t="shared" si="6"/>
        <v>June</v>
      </c>
      <c r="H181" t="str">
        <f t="shared" si="7"/>
        <v>Q2</v>
      </c>
      <c r="I181">
        <f t="shared" si="8"/>
        <v>2025</v>
      </c>
    </row>
    <row r="182" spans="1:9" x14ac:dyDescent="0.3">
      <c r="A182" s="1">
        <v>45838</v>
      </c>
      <c r="B182">
        <v>6</v>
      </c>
      <c r="C182" t="s">
        <v>4334</v>
      </c>
      <c r="D182">
        <v>2025</v>
      </c>
      <c r="E182" t="s">
        <v>4337</v>
      </c>
      <c r="F182">
        <v>27</v>
      </c>
      <c r="G182" t="str">
        <f t="shared" si="6"/>
        <v>June</v>
      </c>
      <c r="H182" t="str">
        <f t="shared" si="7"/>
        <v>Q2</v>
      </c>
      <c r="I182">
        <f t="shared" si="8"/>
        <v>2025</v>
      </c>
    </row>
    <row r="183" spans="1:9" x14ac:dyDescent="0.3">
      <c r="A183" s="1">
        <v>45839</v>
      </c>
      <c r="B183">
        <v>7</v>
      </c>
      <c r="C183" t="s">
        <v>4338</v>
      </c>
      <c r="D183">
        <v>2025</v>
      </c>
      <c r="E183" t="s">
        <v>4339</v>
      </c>
      <c r="F183">
        <v>27</v>
      </c>
      <c r="G183" t="str">
        <f t="shared" si="6"/>
        <v>July</v>
      </c>
      <c r="H183" t="str">
        <f t="shared" si="7"/>
        <v>Q3</v>
      </c>
      <c r="I183">
        <f t="shared" si="8"/>
        <v>2025</v>
      </c>
    </row>
    <row r="184" spans="1:9" x14ac:dyDescent="0.3">
      <c r="A184" s="1">
        <v>45840</v>
      </c>
      <c r="B184">
        <v>7</v>
      </c>
      <c r="C184" t="s">
        <v>4338</v>
      </c>
      <c r="D184">
        <v>2025</v>
      </c>
      <c r="E184" t="s">
        <v>4339</v>
      </c>
      <c r="F184">
        <v>27</v>
      </c>
      <c r="G184" t="str">
        <f t="shared" si="6"/>
        <v>July</v>
      </c>
      <c r="H184" t="str">
        <f t="shared" si="7"/>
        <v>Q3</v>
      </c>
      <c r="I184">
        <f t="shared" si="8"/>
        <v>2025</v>
      </c>
    </row>
    <row r="185" spans="1:9" x14ac:dyDescent="0.3">
      <c r="A185" s="1">
        <v>45841</v>
      </c>
      <c r="B185">
        <v>7</v>
      </c>
      <c r="C185" t="s">
        <v>4338</v>
      </c>
      <c r="D185">
        <v>2025</v>
      </c>
      <c r="E185" t="s">
        <v>4339</v>
      </c>
      <c r="F185">
        <v>27</v>
      </c>
      <c r="G185" t="str">
        <f t="shared" si="6"/>
        <v>July</v>
      </c>
      <c r="H185" t="str">
        <f t="shared" si="7"/>
        <v>Q3</v>
      </c>
      <c r="I185">
        <f t="shared" si="8"/>
        <v>2025</v>
      </c>
    </row>
    <row r="186" spans="1:9" x14ac:dyDescent="0.3">
      <c r="A186" s="1">
        <v>45842</v>
      </c>
      <c r="B186">
        <v>7</v>
      </c>
      <c r="C186" t="s">
        <v>4338</v>
      </c>
      <c r="D186">
        <v>2025</v>
      </c>
      <c r="E186" t="s">
        <v>4339</v>
      </c>
      <c r="F186">
        <v>27</v>
      </c>
      <c r="G186" t="str">
        <f t="shared" si="6"/>
        <v>July</v>
      </c>
      <c r="H186" t="str">
        <f t="shared" si="7"/>
        <v>Q3</v>
      </c>
      <c r="I186">
        <f t="shared" si="8"/>
        <v>2025</v>
      </c>
    </row>
    <row r="187" spans="1:9" x14ac:dyDescent="0.3">
      <c r="A187" s="1">
        <v>45843</v>
      </c>
      <c r="B187">
        <v>7</v>
      </c>
      <c r="C187" t="s">
        <v>4338</v>
      </c>
      <c r="D187">
        <v>2025</v>
      </c>
      <c r="E187" t="s">
        <v>4339</v>
      </c>
      <c r="F187">
        <v>27</v>
      </c>
      <c r="G187" t="str">
        <f t="shared" si="6"/>
        <v>July</v>
      </c>
      <c r="H187" t="str">
        <f t="shared" si="7"/>
        <v>Q3</v>
      </c>
      <c r="I187">
        <f t="shared" si="8"/>
        <v>2025</v>
      </c>
    </row>
    <row r="188" spans="1:9" x14ac:dyDescent="0.3">
      <c r="A188" s="1">
        <v>45844</v>
      </c>
      <c r="B188">
        <v>7</v>
      </c>
      <c r="C188" t="s">
        <v>4338</v>
      </c>
      <c r="D188">
        <v>2025</v>
      </c>
      <c r="E188" t="s">
        <v>4339</v>
      </c>
      <c r="F188">
        <v>27</v>
      </c>
      <c r="G188" t="str">
        <f t="shared" si="6"/>
        <v>July</v>
      </c>
      <c r="H188" t="str">
        <f t="shared" si="7"/>
        <v>Q3</v>
      </c>
      <c r="I188">
        <f t="shared" si="8"/>
        <v>2025</v>
      </c>
    </row>
    <row r="189" spans="1:9" x14ac:dyDescent="0.3">
      <c r="A189" s="1">
        <v>45845</v>
      </c>
      <c r="B189">
        <v>7</v>
      </c>
      <c r="C189" t="s">
        <v>4338</v>
      </c>
      <c r="D189">
        <v>2025</v>
      </c>
      <c r="E189" t="s">
        <v>4339</v>
      </c>
      <c r="F189">
        <v>28</v>
      </c>
      <c r="G189" t="str">
        <f t="shared" si="6"/>
        <v>July</v>
      </c>
      <c r="H189" t="str">
        <f t="shared" si="7"/>
        <v>Q3</v>
      </c>
      <c r="I189">
        <f t="shared" si="8"/>
        <v>2025</v>
      </c>
    </row>
    <row r="190" spans="1:9" x14ac:dyDescent="0.3">
      <c r="A190" s="1">
        <v>45846</v>
      </c>
      <c r="B190">
        <v>7</v>
      </c>
      <c r="C190" t="s">
        <v>4338</v>
      </c>
      <c r="D190">
        <v>2025</v>
      </c>
      <c r="E190" t="s">
        <v>4339</v>
      </c>
      <c r="F190">
        <v>28</v>
      </c>
      <c r="G190" t="str">
        <f t="shared" si="6"/>
        <v>July</v>
      </c>
      <c r="H190" t="str">
        <f t="shared" si="7"/>
        <v>Q3</v>
      </c>
      <c r="I190">
        <f t="shared" si="8"/>
        <v>2025</v>
      </c>
    </row>
    <row r="191" spans="1:9" x14ac:dyDescent="0.3">
      <c r="A191" s="1">
        <v>45847</v>
      </c>
      <c r="B191">
        <v>7</v>
      </c>
      <c r="C191" t="s">
        <v>4338</v>
      </c>
      <c r="D191">
        <v>2025</v>
      </c>
      <c r="E191" t="s">
        <v>4339</v>
      </c>
      <c r="F191">
        <v>28</v>
      </c>
      <c r="G191" t="str">
        <f t="shared" si="6"/>
        <v>July</v>
      </c>
      <c r="H191" t="str">
        <f t="shared" si="7"/>
        <v>Q3</v>
      </c>
      <c r="I191">
        <f t="shared" si="8"/>
        <v>2025</v>
      </c>
    </row>
    <row r="192" spans="1:9" x14ac:dyDescent="0.3">
      <c r="A192" s="1">
        <v>45848</v>
      </c>
      <c r="B192">
        <v>7</v>
      </c>
      <c r="C192" t="s">
        <v>4338</v>
      </c>
      <c r="D192">
        <v>2025</v>
      </c>
      <c r="E192" t="s">
        <v>4339</v>
      </c>
      <c r="F192">
        <v>28</v>
      </c>
      <c r="G192" t="str">
        <f t="shared" si="6"/>
        <v>July</v>
      </c>
      <c r="H192" t="str">
        <f t="shared" si="7"/>
        <v>Q3</v>
      </c>
      <c r="I192">
        <f t="shared" si="8"/>
        <v>2025</v>
      </c>
    </row>
    <row r="193" spans="1:9" x14ac:dyDescent="0.3">
      <c r="A193" s="1">
        <v>45849</v>
      </c>
      <c r="B193">
        <v>7</v>
      </c>
      <c r="C193" t="s">
        <v>4338</v>
      </c>
      <c r="D193">
        <v>2025</v>
      </c>
      <c r="E193" t="s">
        <v>4339</v>
      </c>
      <c r="F193">
        <v>28</v>
      </c>
      <c r="G193" t="str">
        <f t="shared" si="6"/>
        <v>July</v>
      </c>
      <c r="H193" t="str">
        <f t="shared" si="7"/>
        <v>Q3</v>
      </c>
      <c r="I193">
        <f t="shared" si="8"/>
        <v>2025</v>
      </c>
    </row>
    <row r="194" spans="1:9" x14ac:dyDescent="0.3">
      <c r="A194" s="1">
        <v>45850</v>
      </c>
      <c r="B194">
        <v>7</v>
      </c>
      <c r="C194" t="s">
        <v>4338</v>
      </c>
      <c r="D194">
        <v>2025</v>
      </c>
      <c r="E194" t="s">
        <v>4339</v>
      </c>
      <c r="F194">
        <v>28</v>
      </c>
      <c r="G194" t="str">
        <f t="shared" ref="G194:G257" si="9">TEXT(A194,"mmmm")</f>
        <v>July</v>
      </c>
      <c r="H194" t="str">
        <f t="shared" ref="H194:H257" si="10">"Q"&amp;ROUNDUP(MONTH(A194)/3,0)</f>
        <v>Q3</v>
      </c>
      <c r="I194">
        <f t="shared" ref="I194:I257" si="11">YEAR(A194)</f>
        <v>2025</v>
      </c>
    </row>
    <row r="195" spans="1:9" x14ac:dyDescent="0.3">
      <c r="A195" s="1">
        <v>45851</v>
      </c>
      <c r="B195">
        <v>7</v>
      </c>
      <c r="C195" t="s">
        <v>4338</v>
      </c>
      <c r="D195">
        <v>2025</v>
      </c>
      <c r="E195" t="s">
        <v>4339</v>
      </c>
      <c r="F195">
        <v>28</v>
      </c>
      <c r="G195" t="str">
        <f t="shared" si="9"/>
        <v>July</v>
      </c>
      <c r="H195" t="str">
        <f t="shared" si="10"/>
        <v>Q3</v>
      </c>
      <c r="I195">
        <f t="shared" si="11"/>
        <v>2025</v>
      </c>
    </row>
    <row r="196" spans="1:9" x14ac:dyDescent="0.3">
      <c r="A196" s="1">
        <v>45852</v>
      </c>
      <c r="B196">
        <v>7</v>
      </c>
      <c r="C196" t="s">
        <v>4338</v>
      </c>
      <c r="D196">
        <v>2025</v>
      </c>
      <c r="E196" t="s">
        <v>4339</v>
      </c>
      <c r="F196">
        <v>29</v>
      </c>
      <c r="G196" t="str">
        <f t="shared" si="9"/>
        <v>July</v>
      </c>
      <c r="H196" t="str">
        <f t="shared" si="10"/>
        <v>Q3</v>
      </c>
      <c r="I196">
        <f t="shared" si="11"/>
        <v>2025</v>
      </c>
    </row>
    <row r="197" spans="1:9" x14ac:dyDescent="0.3">
      <c r="A197" s="1">
        <v>45853</v>
      </c>
      <c r="B197">
        <v>7</v>
      </c>
      <c r="C197" t="s">
        <v>4338</v>
      </c>
      <c r="D197">
        <v>2025</v>
      </c>
      <c r="E197" t="s">
        <v>4339</v>
      </c>
      <c r="F197">
        <v>29</v>
      </c>
      <c r="G197" t="str">
        <f t="shared" si="9"/>
        <v>July</v>
      </c>
      <c r="H197" t="str">
        <f t="shared" si="10"/>
        <v>Q3</v>
      </c>
      <c r="I197">
        <f t="shared" si="11"/>
        <v>2025</v>
      </c>
    </row>
    <row r="198" spans="1:9" x14ac:dyDescent="0.3">
      <c r="A198" s="1">
        <v>45854</v>
      </c>
      <c r="B198">
        <v>7</v>
      </c>
      <c r="C198" t="s">
        <v>4338</v>
      </c>
      <c r="D198">
        <v>2025</v>
      </c>
      <c r="E198" t="s">
        <v>4339</v>
      </c>
      <c r="F198">
        <v>29</v>
      </c>
      <c r="G198" t="str">
        <f t="shared" si="9"/>
        <v>July</v>
      </c>
      <c r="H198" t="str">
        <f t="shared" si="10"/>
        <v>Q3</v>
      </c>
      <c r="I198">
        <f t="shared" si="11"/>
        <v>2025</v>
      </c>
    </row>
    <row r="199" spans="1:9" x14ac:dyDescent="0.3">
      <c r="A199" s="1">
        <v>45855</v>
      </c>
      <c r="B199">
        <v>7</v>
      </c>
      <c r="C199" t="s">
        <v>4338</v>
      </c>
      <c r="D199">
        <v>2025</v>
      </c>
      <c r="E199" t="s">
        <v>4339</v>
      </c>
      <c r="F199">
        <v>29</v>
      </c>
      <c r="G199" t="str">
        <f t="shared" si="9"/>
        <v>July</v>
      </c>
      <c r="H199" t="str">
        <f t="shared" si="10"/>
        <v>Q3</v>
      </c>
      <c r="I199">
        <f t="shared" si="11"/>
        <v>2025</v>
      </c>
    </row>
    <row r="200" spans="1:9" x14ac:dyDescent="0.3">
      <c r="A200" s="1">
        <v>45856</v>
      </c>
      <c r="B200">
        <v>7</v>
      </c>
      <c r="C200" t="s">
        <v>4338</v>
      </c>
      <c r="D200">
        <v>2025</v>
      </c>
      <c r="E200" t="s">
        <v>4339</v>
      </c>
      <c r="F200">
        <v>29</v>
      </c>
      <c r="G200" t="str">
        <f t="shared" si="9"/>
        <v>July</v>
      </c>
      <c r="H200" t="str">
        <f t="shared" si="10"/>
        <v>Q3</v>
      </c>
      <c r="I200">
        <f t="shared" si="11"/>
        <v>2025</v>
      </c>
    </row>
    <row r="201" spans="1:9" x14ac:dyDescent="0.3">
      <c r="A201" s="1">
        <v>45857</v>
      </c>
      <c r="B201">
        <v>7</v>
      </c>
      <c r="C201" t="s">
        <v>4338</v>
      </c>
      <c r="D201">
        <v>2025</v>
      </c>
      <c r="E201" t="s">
        <v>4339</v>
      </c>
      <c r="F201">
        <v>29</v>
      </c>
      <c r="G201" t="str">
        <f t="shared" si="9"/>
        <v>July</v>
      </c>
      <c r="H201" t="str">
        <f t="shared" si="10"/>
        <v>Q3</v>
      </c>
      <c r="I201">
        <f t="shared" si="11"/>
        <v>2025</v>
      </c>
    </row>
    <row r="202" spans="1:9" x14ac:dyDescent="0.3">
      <c r="A202" s="1">
        <v>45858</v>
      </c>
      <c r="B202">
        <v>7</v>
      </c>
      <c r="C202" t="s">
        <v>4338</v>
      </c>
      <c r="D202">
        <v>2025</v>
      </c>
      <c r="E202" t="s">
        <v>4339</v>
      </c>
      <c r="F202">
        <v>29</v>
      </c>
      <c r="G202" t="str">
        <f t="shared" si="9"/>
        <v>July</v>
      </c>
      <c r="H202" t="str">
        <f t="shared" si="10"/>
        <v>Q3</v>
      </c>
      <c r="I202">
        <f t="shared" si="11"/>
        <v>2025</v>
      </c>
    </row>
    <row r="203" spans="1:9" x14ac:dyDescent="0.3">
      <c r="A203" s="1">
        <v>45859</v>
      </c>
      <c r="B203">
        <v>7</v>
      </c>
      <c r="C203" t="s">
        <v>4338</v>
      </c>
      <c r="D203">
        <v>2025</v>
      </c>
      <c r="E203" t="s">
        <v>4339</v>
      </c>
      <c r="F203">
        <v>30</v>
      </c>
      <c r="G203" t="str">
        <f t="shared" si="9"/>
        <v>July</v>
      </c>
      <c r="H203" t="str">
        <f t="shared" si="10"/>
        <v>Q3</v>
      </c>
      <c r="I203">
        <f t="shared" si="11"/>
        <v>2025</v>
      </c>
    </row>
    <row r="204" spans="1:9" x14ac:dyDescent="0.3">
      <c r="A204" s="1">
        <v>45860</v>
      </c>
      <c r="B204">
        <v>7</v>
      </c>
      <c r="C204" t="s">
        <v>4338</v>
      </c>
      <c r="D204">
        <v>2025</v>
      </c>
      <c r="E204" t="s">
        <v>4339</v>
      </c>
      <c r="F204">
        <v>30</v>
      </c>
      <c r="G204" t="str">
        <f t="shared" si="9"/>
        <v>July</v>
      </c>
      <c r="H204" t="str">
        <f t="shared" si="10"/>
        <v>Q3</v>
      </c>
      <c r="I204">
        <f t="shared" si="11"/>
        <v>2025</v>
      </c>
    </row>
    <row r="205" spans="1:9" x14ac:dyDescent="0.3">
      <c r="A205" s="1">
        <v>45861</v>
      </c>
      <c r="B205">
        <v>7</v>
      </c>
      <c r="C205" t="s">
        <v>4338</v>
      </c>
      <c r="D205">
        <v>2025</v>
      </c>
      <c r="E205" t="s">
        <v>4339</v>
      </c>
      <c r="F205">
        <v>30</v>
      </c>
      <c r="G205" t="str">
        <f t="shared" si="9"/>
        <v>July</v>
      </c>
      <c r="H205" t="str">
        <f t="shared" si="10"/>
        <v>Q3</v>
      </c>
      <c r="I205">
        <f t="shared" si="11"/>
        <v>2025</v>
      </c>
    </row>
    <row r="206" spans="1:9" x14ac:dyDescent="0.3">
      <c r="A206" s="1">
        <v>45862</v>
      </c>
      <c r="B206">
        <v>7</v>
      </c>
      <c r="C206" t="s">
        <v>4338</v>
      </c>
      <c r="D206">
        <v>2025</v>
      </c>
      <c r="E206" t="s">
        <v>4339</v>
      </c>
      <c r="F206">
        <v>30</v>
      </c>
      <c r="G206" t="str">
        <f t="shared" si="9"/>
        <v>July</v>
      </c>
      <c r="H206" t="str">
        <f t="shared" si="10"/>
        <v>Q3</v>
      </c>
      <c r="I206">
        <f t="shared" si="11"/>
        <v>2025</v>
      </c>
    </row>
    <row r="207" spans="1:9" x14ac:dyDescent="0.3">
      <c r="A207" s="1">
        <v>45863</v>
      </c>
      <c r="B207">
        <v>7</v>
      </c>
      <c r="C207" t="s">
        <v>4338</v>
      </c>
      <c r="D207">
        <v>2025</v>
      </c>
      <c r="E207" t="s">
        <v>4339</v>
      </c>
      <c r="F207">
        <v>30</v>
      </c>
      <c r="G207" t="str">
        <f t="shared" si="9"/>
        <v>July</v>
      </c>
      <c r="H207" t="str">
        <f t="shared" si="10"/>
        <v>Q3</v>
      </c>
      <c r="I207">
        <f t="shared" si="11"/>
        <v>2025</v>
      </c>
    </row>
    <row r="208" spans="1:9" x14ac:dyDescent="0.3">
      <c r="A208" s="1">
        <v>45864</v>
      </c>
      <c r="B208">
        <v>7</v>
      </c>
      <c r="C208" t="s">
        <v>4338</v>
      </c>
      <c r="D208">
        <v>2025</v>
      </c>
      <c r="E208" t="s">
        <v>4339</v>
      </c>
      <c r="F208">
        <v>30</v>
      </c>
      <c r="G208" t="str">
        <f t="shared" si="9"/>
        <v>July</v>
      </c>
      <c r="H208" t="str">
        <f t="shared" si="10"/>
        <v>Q3</v>
      </c>
      <c r="I208">
        <f t="shared" si="11"/>
        <v>2025</v>
      </c>
    </row>
    <row r="209" spans="1:9" x14ac:dyDescent="0.3">
      <c r="A209" s="1">
        <v>45865</v>
      </c>
      <c r="B209">
        <v>7</v>
      </c>
      <c r="C209" t="s">
        <v>4338</v>
      </c>
      <c r="D209">
        <v>2025</v>
      </c>
      <c r="E209" t="s">
        <v>4339</v>
      </c>
      <c r="F209">
        <v>30</v>
      </c>
      <c r="G209" t="str">
        <f t="shared" si="9"/>
        <v>July</v>
      </c>
      <c r="H209" t="str">
        <f t="shared" si="10"/>
        <v>Q3</v>
      </c>
      <c r="I209">
        <f t="shared" si="11"/>
        <v>2025</v>
      </c>
    </row>
    <row r="210" spans="1:9" x14ac:dyDescent="0.3">
      <c r="A210" s="1">
        <v>45866</v>
      </c>
      <c r="B210">
        <v>7</v>
      </c>
      <c r="C210" t="s">
        <v>4338</v>
      </c>
      <c r="D210">
        <v>2025</v>
      </c>
      <c r="E210" t="s">
        <v>4339</v>
      </c>
      <c r="F210">
        <v>31</v>
      </c>
      <c r="G210" t="str">
        <f t="shared" si="9"/>
        <v>July</v>
      </c>
      <c r="H210" t="str">
        <f t="shared" si="10"/>
        <v>Q3</v>
      </c>
      <c r="I210">
        <f t="shared" si="11"/>
        <v>2025</v>
      </c>
    </row>
    <row r="211" spans="1:9" x14ac:dyDescent="0.3">
      <c r="A211" s="1">
        <v>45867</v>
      </c>
      <c r="B211">
        <v>7</v>
      </c>
      <c r="C211" t="s">
        <v>4338</v>
      </c>
      <c r="D211">
        <v>2025</v>
      </c>
      <c r="E211" t="s">
        <v>4339</v>
      </c>
      <c r="F211">
        <v>31</v>
      </c>
      <c r="G211" t="str">
        <f t="shared" si="9"/>
        <v>July</v>
      </c>
      <c r="H211" t="str">
        <f t="shared" si="10"/>
        <v>Q3</v>
      </c>
      <c r="I211">
        <f t="shared" si="11"/>
        <v>2025</v>
      </c>
    </row>
    <row r="212" spans="1:9" x14ac:dyDescent="0.3">
      <c r="A212" s="1">
        <v>45868</v>
      </c>
      <c r="B212">
        <v>7</v>
      </c>
      <c r="C212" t="s">
        <v>4338</v>
      </c>
      <c r="D212">
        <v>2025</v>
      </c>
      <c r="E212" t="s">
        <v>4339</v>
      </c>
      <c r="F212">
        <v>31</v>
      </c>
      <c r="G212" t="str">
        <f t="shared" si="9"/>
        <v>July</v>
      </c>
      <c r="H212" t="str">
        <f t="shared" si="10"/>
        <v>Q3</v>
      </c>
      <c r="I212">
        <f t="shared" si="11"/>
        <v>2025</v>
      </c>
    </row>
    <row r="213" spans="1:9" x14ac:dyDescent="0.3">
      <c r="A213" s="1">
        <v>45869</v>
      </c>
      <c r="B213">
        <v>7</v>
      </c>
      <c r="C213" t="s">
        <v>4338</v>
      </c>
      <c r="D213">
        <v>2025</v>
      </c>
      <c r="E213" t="s">
        <v>4339</v>
      </c>
      <c r="F213">
        <v>31</v>
      </c>
      <c r="G213" t="str">
        <f t="shared" si="9"/>
        <v>July</v>
      </c>
      <c r="H213" t="str">
        <f t="shared" si="10"/>
        <v>Q3</v>
      </c>
      <c r="I213">
        <f t="shared" si="11"/>
        <v>2025</v>
      </c>
    </row>
    <row r="214" spans="1:9" x14ac:dyDescent="0.3">
      <c r="A214" s="1">
        <v>45870</v>
      </c>
      <c r="B214">
        <v>8</v>
      </c>
      <c r="C214" t="s">
        <v>4338</v>
      </c>
      <c r="D214">
        <v>2025</v>
      </c>
      <c r="E214" t="s">
        <v>4340</v>
      </c>
      <c r="F214">
        <v>31</v>
      </c>
      <c r="G214" t="str">
        <f t="shared" si="9"/>
        <v>August</v>
      </c>
      <c r="H214" t="str">
        <f t="shared" si="10"/>
        <v>Q3</v>
      </c>
      <c r="I214">
        <f t="shared" si="11"/>
        <v>2025</v>
      </c>
    </row>
    <row r="215" spans="1:9" x14ac:dyDescent="0.3">
      <c r="A215" s="1">
        <v>45871</v>
      </c>
      <c r="B215">
        <v>8</v>
      </c>
      <c r="C215" t="s">
        <v>4338</v>
      </c>
      <c r="D215">
        <v>2025</v>
      </c>
      <c r="E215" t="s">
        <v>4340</v>
      </c>
      <c r="F215">
        <v>31</v>
      </c>
      <c r="G215" t="str">
        <f t="shared" si="9"/>
        <v>August</v>
      </c>
      <c r="H215" t="str">
        <f t="shared" si="10"/>
        <v>Q3</v>
      </c>
      <c r="I215">
        <f t="shared" si="11"/>
        <v>2025</v>
      </c>
    </row>
    <row r="216" spans="1:9" x14ac:dyDescent="0.3">
      <c r="A216" s="1">
        <v>45872</v>
      </c>
      <c r="B216">
        <v>8</v>
      </c>
      <c r="C216" t="s">
        <v>4338</v>
      </c>
      <c r="D216">
        <v>2025</v>
      </c>
      <c r="E216" t="s">
        <v>4340</v>
      </c>
      <c r="F216">
        <v>31</v>
      </c>
      <c r="G216" t="str">
        <f t="shared" si="9"/>
        <v>August</v>
      </c>
      <c r="H216" t="str">
        <f t="shared" si="10"/>
        <v>Q3</v>
      </c>
      <c r="I216">
        <f t="shared" si="11"/>
        <v>2025</v>
      </c>
    </row>
    <row r="217" spans="1:9" x14ac:dyDescent="0.3">
      <c r="A217" s="1">
        <v>45873</v>
      </c>
      <c r="B217">
        <v>8</v>
      </c>
      <c r="C217" t="s">
        <v>4338</v>
      </c>
      <c r="D217">
        <v>2025</v>
      </c>
      <c r="E217" t="s">
        <v>4340</v>
      </c>
      <c r="F217">
        <v>32</v>
      </c>
      <c r="G217" t="str">
        <f t="shared" si="9"/>
        <v>August</v>
      </c>
      <c r="H217" t="str">
        <f t="shared" si="10"/>
        <v>Q3</v>
      </c>
      <c r="I217">
        <f t="shared" si="11"/>
        <v>2025</v>
      </c>
    </row>
    <row r="218" spans="1:9" x14ac:dyDescent="0.3">
      <c r="A218" s="1">
        <v>45874</v>
      </c>
      <c r="B218">
        <v>8</v>
      </c>
      <c r="C218" t="s">
        <v>4338</v>
      </c>
      <c r="D218">
        <v>2025</v>
      </c>
      <c r="E218" t="s">
        <v>4340</v>
      </c>
      <c r="F218">
        <v>32</v>
      </c>
      <c r="G218" t="str">
        <f t="shared" si="9"/>
        <v>August</v>
      </c>
      <c r="H218" t="str">
        <f t="shared" si="10"/>
        <v>Q3</v>
      </c>
      <c r="I218">
        <f t="shared" si="11"/>
        <v>2025</v>
      </c>
    </row>
    <row r="219" spans="1:9" x14ac:dyDescent="0.3">
      <c r="A219" s="1">
        <v>45875</v>
      </c>
      <c r="B219">
        <v>8</v>
      </c>
      <c r="C219" t="s">
        <v>4338</v>
      </c>
      <c r="D219">
        <v>2025</v>
      </c>
      <c r="E219" t="s">
        <v>4340</v>
      </c>
      <c r="F219">
        <v>32</v>
      </c>
      <c r="G219" t="str">
        <f t="shared" si="9"/>
        <v>August</v>
      </c>
      <c r="H219" t="str">
        <f t="shared" si="10"/>
        <v>Q3</v>
      </c>
      <c r="I219">
        <f t="shared" si="11"/>
        <v>2025</v>
      </c>
    </row>
    <row r="220" spans="1:9" x14ac:dyDescent="0.3">
      <c r="A220" s="1">
        <v>45876</v>
      </c>
      <c r="B220">
        <v>8</v>
      </c>
      <c r="C220" t="s">
        <v>4338</v>
      </c>
      <c r="D220">
        <v>2025</v>
      </c>
      <c r="E220" t="s">
        <v>4340</v>
      </c>
      <c r="F220">
        <v>32</v>
      </c>
      <c r="G220" t="str">
        <f t="shared" si="9"/>
        <v>August</v>
      </c>
      <c r="H220" t="str">
        <f t="shared" si="10"/>
        <v>Q3</v>
      </c>
      <c r="I220">
        <f t="shared" si="11"/>
        <v>2025</v>
      </c>
    </row>
    <row r="221" spans="1:9" x14ac:dyDescent="0.3">
      <c r="A221" s="1">
        <v>45877</v>
      </c>
      <c r="B221">
        <v>8</v>
      </c>
      <c r="C221" t="s">
        <v>4338</v>
      </c>
      <c r="D221">
        <v>2025</v>
      </c>
      <c r="E221" t="s">
        <v>4340</v>
      </c>
      <c r="F221">
        <v>32</v>
      </c>
      <c r="G221" t="str">
        <f t="shared" si="9"/>
        <v>August</v>
      </c>
      <c r="H221" t="str">
        <f t="shared" si="10"/>
        <v>Q3</v>
      </c>
      <c r="I221">
        <f t="shared" si="11"/>
        <v>2025</v>
      </c>
    </row>
    <row r="222" spans="1:9" x14ac:dyDescent="0.3">
      <c r="A222" s="1">
        <v>45878</v>
      </c>
      <c r="B222">
        <v>8</v>
      </c>
      <c r="C222" t="s">
        <v>4338</v>
      </c>
      <c r="D222">
        <v>2025</v>
      </c>
      <c r="E222" t="s">
        <v>4340</v>
      </c>
      <c r="F222">
        <v>32</v>
      </c>
      <c r="G222" t="str">
        <f t="shared" si="9"/>
        <v>August</v>
      </c>
      <c r="H222" t="str">
        <f t="shared" si="10"/>
        <v>Q3</v>
      </c>
      <c r="I222">
        <f t="shared" si="11"/>
        <v>2025</v>
      </c>
    </row>
    <row r="223" spans="1:9" x14ac:dyDescent="0.3">
      <c r="A223" s="1">
        <v>45879</v>
      </c>
      <c r="B223">
        <v>8</v>
      </c>
      <c r="C223" t="s">
        <v>4338</v>
      </c>
      <c r="D223">
        <v>2025</v>
      </c>
      <c r="E223" t="s">
        <v>4340</v>
      </c>
      <c r="F223">
        <v>32</v>
      </c>
      <c r="G223" t="str">
        <f t="shared" si="9"/>
        <v>August</v>
      </c>
      <c r="H223" t="str">
        <f t="shared" si="10"/>
        <v>Q3</v>
      </c>
      <c r="I223">
        <f t="shared" si="11"/>
        <v>2025</v>
      </c>
    </row>
    <row r="224" spans="1:9" x14ac:dyDescent="0.3">
      <c r="A224" s="1">
        <v>45880</v>
      </c>
      <c r="B224">
        <v>8</v>
      </c>
      <c r="C224" t="s">
        <v>4338</v>
      </c>
      <c r="D224">
        <v>2025</v>
      </c>
      <c r="E224" t="s">
        <v>4340</v>
      </c>
      <c r="F224">
        <v>33</v>
      </c>
      <c r="G224" t="str">
        <f t="shared" si="9"/>
        <v>August</v>
      </c>
      <c r="H224" t="str">
        <f t="shared" si="10"/>
        <v>Q3</v>
      </c>
      <c r="I224">
        <f t="shared" si="11"/>
        <v>2025</v>
      </c>
    </row>
    <row r="225" spans="1:9" x14ac:dyDescent="0.3">
      <c r="A225" s="1">
        <v>45881</v>
      </c>
      <c r="B225">
        <v>8</v>
      </c>
      <c r="C225" t="s">
        <v>4338</v>
      </c>
      <c r="D225">
        <v>2025</v>
      </c>
      <c r="E225" t="s">
        <v>4340</v>
      </c>
      <c r="F225">
        <v>33</v>
      </c>
      <c r="G225" t="str">
        <f t="shared" si="9"/>
        <v>August</v>
      </c>
      <c r="H225" t="str">
        <f t="shared" si="10"/>
        <v>Q3</v>
      </c>
      <c r="I225">
        <f t="shared" si="11"/>
        <v>2025</v>
      </c>
    </row>
    <row r="226" spans="1:9" x14ac:dyDescent="0.3">
      <c r="A226" s="1">
        <v>45882</v>
      </c>
      <c r="B226">
        <v>8</v>
      </c>
      <c r="C226" t="s">
        <v>4338</v>
      </c>
      <c r="D226">
        <v>2025</v>
      </c>
      <c r="E226" t="s">
        <v>4340</v>
      </c>
      <c r="F226">
        <v>33</v>
      </c>
      <c r="G226" t="str">
        <f t="shared" si="9"/>
        <v>August</v>
      </c>
      <c r="H226" t="str">
        <f t="shared" si="10"/>
        <v>Q3</v>
      </c>
      <c r="I226">
        <f t="shared" si="11"/>
        <v>2025</v>
      </c>
    </row>
    <row r="227" spans="1:9" x14ac:dyDescent="0.3">
      <c r="A227" s="1">
        <v>45883</v>
      </c>
      <c r="B227">
        <v>8</v>
      </c>
      <c r="C227" t="s">
        <v>4338</v>
      </c>
      <c r="D227">
        <v>2025</v>
      </c>
      <c r="E227" t="s">
        <v>4340</v>
      </c>
      <c r="F227">
        <v>33</v>
      </c>
      <c r="G227" t="str">
        <f t="shared" si="9"/>
        <v>August</v>
      </c>
      <c r="H227" t="str">
        <f t="shared" si="10"/>
        <v>Q3</v>
      </c>
      <c r="I227">
        <f t="shared" si="11"/>
        <v>2025</v>
      </c>
    </row>
    <row r="228" spans="1:9" x14ac:dyDescent="0.3">
      <c r="A228" s="1">
        <v>45884</v>
      </c>
      <c r="B228">
        <v>8</v>
      </c>
      <c r="C228" t="s">
        <v>4338</v>
      </c>
      <c r="D228">
        <v>2025</v>
      </c>
      <c r="E228" t="s">
        <v>4340</v>
      </c>
      <c r="F228">
        <v>33</v>
      </c>
      <c r="G228" t="str">
        <f t="shared" si="9"/>
        <v>August</v>
      </c>
      <c r="H228" t="str">
        <f t="shared" si="10"/>
        <v>Q3</v>
      </c>
      <c r="I228">
        <f t="shared" si="11"/>
        <v>2025</v>
      </c>
    </row>
    <row r="229" spans="1:9" x14ac:dyDescent="0.3">
      <c r="A229" s="1">
        <v>45885</v>
      </c>
      <c r="B229">
        <v>8</v>
      </c>
      <c r="C229" t="s">
        <v>4338</v>
      </c>
      <c r="D229">
        <v>2025</v>
      </c>
      <c r="E229" t="s">
        <v>4340</v>
      </c>
      <c r="F229">
        <v>33</v>
      </c>
      <c r="G229" t="str">
        <f t="shared" si="9"/>
        <v>August</v>
      </c>
      <c r="H229" t="str">
        <f t="shared" si="10"/>
        <v>Q3</v>
      </c>
      <c r="I229">
        <f t="shared" si="11"/>
        <v>2025</v>
      </c>
    </row>
    <row r="230" spans="1:9" x14ac:dyDescent="0.3">
      <c r="A230" s="1">
        <v>45886</v>
      </c>
      <c r="B230">
        <v>8</v>
      </c>
      <c r="C230" t="s">
        <v>4338</v>
      </c>
      <c r="D230">
        <v>2025</v>
      </c>
      <c r="E230" t="s">
        <v>4340</v>
      </c>
      <c r="F230">
        <v>33</v>
      </c>
      <c r="G230" t="str">
        <f t="shared" si="9"/>
        <v>August</v>
      </c>
      <c r="H230" t="str">
        <f t="shared" si="10"/>
        <v>Q3</v>
      </c>
      <c r="I230">
        <f t="shared" si="11"/>
        <v>2025</v>
      </c>
    </row>
    <row r="231" spans="1:9" x14ac:dyDescent="0.3">
      <c r="A231" s="1">
        <v>45887</v>
      </c>
      <c r="B231">
        <v>8</v>
      </c>
      <c r="C231" t="s">
        <v>4338</v>
      </c>
      <c r="D231">
        <v>2025</v>
      </c>
      <c r="E231" t="s">
        <v>4340</v>
      </c>
      <c r="F231">
        <v>34</v>
      </c>
      <c r="G231" t="str">
        <f t="shared" si="9"/>
        <v>August</v>
      </c>
      <c r="H231" t="str">
        <f t="shared" si="10"/>
        <v>Q3</v>
      </c>
      <c r="I231">
        <f t="shared" si="11"/>
        <v>2025</v>
      </c>
    </row>
    <row r="232" spans="1:9" x14ac:dyDescent="0.3">
      <c r="A232" s="1">
        <v>45888</v>
      </c>
      <c r="B232">
        <v>8</v>
      </c>
      <c r="C232" t="s">
        <v>4338</v>
      </c>
      <c r="D232">
        <v>2025</v>
      </c>
      <c r="E232" t="s">
        <v>4340</v>
      </c>
      <c r="F232">
        <v>34</v>
      </c>
      <c r="G232" t="str">
        <f t="shared" si="9"/>
        <v>August</v>
      </c>
      <c r="H232" t="str">
        <f t="shared" si="10"/>
        <v>Q3</v>
      </c>
      <c r="I232">
        <f t="shared" si="11"/>
        <v>2025</v>
      </c>
    </row>
    <row r="233" spans="1:9" x14ac:dyDescent="0.3">
      <c r="A233" s="1">
        <v>45889</v>
      </c>
      <c r="B233">
        <v>8</v>
      </c>
      <c r="C233" t="s">
        <v>4338</v>
      </c>
      <c r="D233">
        <v>2025</v>
      </c>
      <c r="E233" t="s">
        <v>4340</v>
      </c>
      <c r="F233">
        <v>34</v>
      </c>
      <c r="G233" t="str">
        <f t="shared" si="9"/>
        <v>August</v>
      </c>
      <c r="H233" t="str">
        <f t="shared" si="10"/>
        <v>Q3</v>
      </c>
      <c r="I233">
        <f t="shared" si="11"/>
        <v>2025</v>
      </c>
    </row>
    <row r="234" spans="1:9" x14ac:dyDescent="0.3">
      <c r="A234" s="1">
        <v>45890</v>
      </c>
      <c r="B234">
        <v>8</v>
      </c>
      <c r="C234" t="s">
        <v>4338</v>
      </c>
      <c r="D234">
        <v>2025</v>
      </c>
      <c r="E234" t="s">
        <v>4340</v>
      </c>
      <c r="F234">
        <v>34</v>
      </c>
      <c r="G234" t="str">
        <f t="shared" si="9"/>
        <v>August</v>
      </c>
      <c r="H234" t="str">
        <f t="shared" si="10"/>
        <v>Q3</v>
      </c>
      <c r="I234">
        <f t="shared" si="11"/>
        <v>2025</v>
      </c>
    </row>
    <row r="235" spans="1:9" x14ac:dyDescent="0.3">
      <c r="A235" s="1">
        <v>45891</v>
      </c>
      <c r="B235">
        <v>8</v>
      </c>
      <c r="C235" t="s">
        <v>4338</v>
      </c>
      <c r="D235">
        <v>2025</v>
      </c>
      <c r="E235" t="s">
        <v>4340</v>
      </c>
      <c r="F235">
        <v>34</v>
      </c>
      <c r="G235" t="str">
        <f t="shared" si="9"/>
        <v>August</v>
      </c>
      <c r="H235" t="str">
        <f t="shared" si="10"/>
        <v>Q3</v>
      </c>
      <c r="I235">
        <f t="shared" si="11"/>
        <v>2025</v>
      </c>
    </row>
    <row r="236" spans="1:9" x14ac:dyDescent="0.3">
      <c r="A236" s="1">
        <v>45892</v>
      </c>
      <c r="B236">
        <v>8</v>
      </c>
      <c r="C236" t="s">
        <v>4338</v>
      </c>
      <c r="D236">
        <v>2025</v>
      </c>
      <c r="E236" t="s">
        <v>4340</v>
      </c>
      <c r="F236">
        <v>34</v>
      </c>
      <c r="G236" t="str">
        <f t="shared" si="9"/>
        <v>August</v>
      </c>
      <c r="H236" t="str">
        <f t="shared" si="10"/>
        <v>Q3</v>
      </c>
      <c r="I236">
        <f t="shared" si="11"/>
        <v>2025</v>
      </c>
    </row>
    <row r="237" spans="1:9" x14ac:dyDescent="0.3">
      <c r="A237" s="1">
        <v>45893</v>
      </c>
      <c r="B237">
        <v>8</v>
      </c>
      <c r="C237" t="s">
        <v>4338</v>
      </c>
      <c r="D237">
        <v>2025</v>
      </c>
      <c r="E237" t="s">
        <v>4340</v>
      </c>
      <c r="F237">
        <v>34</v>
      </c>
      <c r="G237" t="str">
        <f t="shared" si="9"/>
        <v>August</v>
      </c>
      <c r="H237" t="str">
        <f t="shared" si="10"/>
        <v>Q3</v>
      </c>
      <c r="I237">
        <f t="shared" si="11"/>
        <v>2025</v>
      </c>
    </row>
    <row r="238" spans="1:9" x14ac:dyDescent="0.3">
      <c r="A238" s="1">
        <v>45894</v>
      </c>
      <c r="B238">
        <v>8</v>
      </c>
      <c r="C238" t="s">
        <v>4338</v>
      </c>
      <c r="D238">
        <v>2025</v>
      </c>
      <c r="E238" t="s">
        <v>4340</v>
      </c>
      <c r="F238">
        <v>35</v>
      </c>
      <c r="G238" t="str">
        <f t="shared" si="9"/>
        <v>August</v>
      </c>
      <c r="H238" t="str">
        <f t="shared" si="10"/>
        <v>Q3</v>
      </c>
      <c r="I238">
        <f t="shared" si="11"/>
        <v>2025</v>
      </c>
    </row>
    <row r="239" spans="1:9" x14ac:dyDescent="0.3">
      <c r="A239" s="1">
        <v>45895</v>
      </c>
      <c r="B239">
        <v>8</v>
      </c>
      <c r="C239" t="s">
        <v>4338</v>
      </c>
      <c r="D239">
        <v>2025</v>
      </c>
      <c r="E239" t="s">
        <v>4340</v>
      </c>
      <c r="F239">
        <v>35</v>
      </c>
      <c r="G239" t="str">
        <f t="shared" si="9"/>
        <v>August</v>
      </c>
      <c r="H239" t="str">
        <f t="shared" si="10"/>
        <v>Q3</v>
      </c>
      <c r="I239">
        <f t="shared" si="11"/>
        <v>2025</v>
      </c>
    </row>
    <row r="240" spans="1:9" x14ac:dyDescent="0.3">
      <c r="A240" s="1">
        <v>45896</v>
      </c>
      <c r="B240">
        <v>8</v>
      </c>
      <c r="C240" t="s">
        <v>4338</v>
      </c>
      <c r="D240">
        <v>2025</v>
      </c>
      <c r="E240" t="s">
        <v>4340</v>
      </c>
      <c r="F240">
        <v>35</v>
      </c>
      <c r="G240" t="str">
        <f t="shared" si="9"/>
        <v>August</v>
      </c>
      <c r="H240" t="str">
        <f t="shared" si="10"/>
        <v>Q3</v>
      </c>
      <c r="I240">
        <f t="shared" si="11"/>
        <v>2025</v>
      </c>
    </row>
    <row r="241" spans="1:9" x14ac:dyDescent="0.3">
      <c r="A241" s="1">
        <v>45897</v>
      </c>
      <c r="B241">
        <v>8</v>
      </c>
      <c r="C241" t="s">
        <v>4338</v>
      </c>
      <c r="D241">
        <v>2025</v>
      </c>
      <c r="E241" t="s">
        <v>4340</v>
      </c>
      <c r="F241">
        <v>35</v>
      </c>
      <c r="G241" t="str">
        <f t="shared" si="9"/>
        <v>August</v>
      </c>
      <c r="H241" t="str">
        <f t="shared" si="10"/>
        <v>Q3</v>
      </c>
      <c r="I241">
        <f t="shared" si="11"/>
        <v>2025</v>
      </c>
    </row>
    <row r="242" spans="1:9" x14ac:dyDescent="0.3">
      <c r="A242" s="1">
        <v>45898</v>
      </c>
      <c r="B242">
        <v>8</v>
      </c>
      <c r="C242" t="s">
        <v>4338</v>
      </c>
      <c r="D242">
        <v>2025</v>
      </c>
      <c r="E242" t="s">
        <v>4340</v>
      </c>
      <c r="F242">
        <v>35</v>
      </c>
      <c r="G242" t="str">
        <f t="shared" si="9"/>
        <v>August</v>
      </c>
      <c r="H242" t="str">
        <f t="shared" si="10"/>
        <v>Q3</v>
      </c>
      <c r="I242">
        <f t="shared" si="11"/>
        <v>2025</v>
      </c>
    </row>
    <row r="243" spans="1:9" x14ac:dyDescent="0.3">
      <c r="A243" s="1">
        <v>45899</v>
      </c>
      <c r="B243">
        <v>8</v>
      </c>
      <c r="C243" t="s">
        <v>4338</v>
      </c>
      <c r="D243">
        <v>2025</v>
      </c>
      <c r="E243" t="s">
        <v>4340</v>
      </c>
      <c r="F243">
        <v>35</v>
      </c>
      <c r="G243" t="str">
        <f t="shared" si="9"/>
        <v>August</v>
      </c>
      <c r="H243" t="str">
        <f t="shared" si="10"/>
        <v>Q3</v>
      </c>
      <c r="I243">
        <f t="shared" si="11"/>
        <v>2025</v>
      </c>
    </row>
    <row r="244" spans="1:9" x14ac:dyDescent="0.3">
      <c r="A244" s="1">
        <v>45900</v>
      </c>
      <c r="B244">
        <v>8</v>
      </c>
      <c r="C244" t="s">
        <v>4338</v>
      </c>
      <c r="D244">
        <v>2025</v>
      </c>
      <c r="E244" t="s">
        <v>4340</v>
      </c>
      <c r="F244">
        <v>35</v>
      </c>
      <c r="G244" t="str">
        <f t="shared" si="9"/>
        <v>August</v>
      </c>
      <c r="H244" t="str">
        <f t="shared" si="10"/>
        <v>Q3</v>
      </c>
      <c r="I244">
        <f t="shared" si="11"/>
        <v>2025</v>
      </c>
    </row>
    <row r="245" spans="1:9" x14ac:dyDescent="0.3">
      <c r="A245" s="1">
        <v>45901</v>
      </c>
      <c r="B245">
        <v>9</v>
      </c>
      <c r="C245" t="s">
        <v>4338</v>
      </c>
      <c r="D245">
        <v>2025</v>
      </c>
      <c r="E245" t="s">
        <v>4341</v>
      </c>
      <c r="F245">
        <v>36</v>
      </c>
      <c r="G245" t="str">
        <f t="shared" si="9"/>
        <v>September</v>
      </c>
      <c r="H245" t="str">
        <f t="shared" si="10"/>
        <v>Q3</v>
      </c>
      <c r="I245">
        <f t="shared" si="11"/>
        <v>2025</v>
      </c>
    </row>
    <row r="246" spans="1:9" x14ac:dyDescent="0.3">
      <c r="A246" s="1">
        <v>45902</v>
      </c>
      <c r="B246">
        <v>9</v>
      </c>
      <c r="C246" t="s">
        <v>4338</v>
      </c>
      <c r="D246">
        <v>2025</v>
      </c>
      <c r="E246" t="s">
        <v>4341</v>
      </c>
      <c r="F246">
        <v>36</v>
      </c>
      <c r="G246" t="str">
        <f t="shared" si="9"/>
        <v>September</v>
      </c>
      <c r="H246" t="str">
        <f t="shared" si="10"/>
        <v>Q3</v>
      </c>
      <c r="I246">
        <f t="shared" si="11"/>
        <v>2025</v>
      </c>
    </row>
    <row r="247" spans="1:9" x14ac:dyDescent="0.3">
      <c r="A247" s="1">
        <v>45903</v>
      </c>
      <c r="B247">
        <v>9</v>
      </c>
      <c r="C247" t="s">
        <v>4338</v>
      </c>
      <c r="D247">
        <v>2025</v>
      </c>
      <c r="E247" t="s">
        <v>4341</v>
      </c>
      <c r="F247">
        <v>36</v>
      </c>
      <c r="G247" t="str">
        <f t="shared" si="9"/>
        <v>September</v>
      </c>
      <c r="H247" t="str">
        <f t="shared" si="10"/>
        <v>Q3</v>
      </c>
      <c r="I247">
        <f t="shared" si="11"/>
        <v>2025</v>
      </c>
    </row>
    <row r="248" spans="1:9" x14ac:dyDescent="0.3">
      <c r="A248" s="1">
        <v>45904</v>
      </c>
      <c r="B248">
        <v>9</v>
      </c>
      <c r="C248" t="s">
        <v>4338</v>
      </c>
      <c r="D248">
        <v>2025</v>
      </c>
      <c r="E248" t="s">
        <v>4341</v>
      </c>
      <c r="F248">
        <v>36</v>
      </c>
      <c r="G248" t="str">
        <f t="shared" si="9"/>
        <v>September</v>
      </c>
      <c r="H248" t="str">
        <f t="shared" si="10"/>
        <v>Q3</v>
      </c>
      <c r="I248">
        <f t="shared" si="11"/>
        <v>2025</v>
      </c>
    </row>
    <row r="249" spans="1:9" x14ac:dyDescent="0.3">
      <c r="A249" s="1">
        <v>45905</v>
      </c>
      <c r="B249">
        <v>9</v>
      </c>
      <c r="C249" t="s">
        <v>4338</v>
      </c>
      <c r="D249">
        <v>2025</v>
      </c>
      <c r="E249" t="s">
        <v>4341</v>
      </c>
      <c r="F249">
        <v>36</v>
      </c>
      <c r="G249" t="str">
        <f t="shared" si="9"/>
        <v>September</v>
      </c>
      <c r="H249" t="str">
        <f t="shared" si="10"/>
        <v>Q3</v>
      </c>
      <c r="I249">
        <f t="shared" si="11"/>
        <v>2025</v>
      </c>
    </row>
    <row r="250" spans="1:9" x14ac:dyDescent="0.3">
      <c r="A250" s="1">
        <v>45906</v>
      </c>
      <c r="B250">
        <v>9</v>
      </c>
      <c r="C250" t="s">
        <v>4338</v>
      </c>
      <c r="D250">
        <v>2025</v>
      </c>
      <c r="E250" t="s">
        <v>4341</v>
      </c>
      <c r="F250">
        <v>36</v>
      </c>
      <c r="G250" t="str">
        <f t="shared" si="9"/>
        <v>September</v>
      </c>
      <c r="H250" t="str">
        <f t="shared" si="10"/>
        <v>Q3</v>
      </c>
      <c r="I250">
        <f t="shared" si="11"/>
        <v>2025</v>
      </c>
    </row>
    <row r="251" spans="1:9" x14ac:dyDescent="0.3">
      <c r="A251" s="1">
        <v>45907</v>
      </c>
      <c r="B251">
        <v>9</v>
      </c>
      <c r="C251" t="s">
        <v>4338</v>
      </c>
      <c r="D251">
        <v>2025</v>
      </c>
      <c r="E251" t="s">
        <v>4341</v>
      </c>
      <c r="F251">
        <v>36</v>
      </c>
      <c r="G251" t="str">
        <f t="shared" si="9"/>
        <v>September</v>
      </c>
      <c r="H251" t="str">
        <f t="shared" si="10"/>
        <v>Q3</v>
      </c>
      <c r="I251">
        <f t="shared" si="11"/>
        <v>2025</v>
      </c>
    </row>
    <row r="252" spans="1:9" x14ac:dyDescent="0.3">
      <c r="A252" s="1">
        <v>45908</v>
      </c>
      <c r="B252">
        <v>9</v>
      </c>
      <c r="C252" t="s">
        <v>4338</v>
      </c>
      <c r="D252">
        <v>2025</v>
      </c>
      <c r="E252" t="s">
        <v>4341</v>
      </c>
      <c r="F252">
        <v>37</v>
      </c>
      <c r="G252" t="str">
        <f t="shared" si="9"/>
        <v>September</v>
      </c>
      <c r="H252" t="str">
        <f t="shared" si="10"/>
        <v>Q3</v>
      </c>
      <c r="I252">
        <f t="shared" si="11"/>
        <v>2025</v>
      </c>
    </row>
    <row r="253" spans="1:9" x14ac:dyDescent="0.3">
      <c r="A253" s="1">
        <v>45909</v>
      </c>
      <c r="B253">
        <v>9</v>
      </c>
      <c r="C253" t="s">
        <v>4338</v>
      </c>
      <c r="D253">
        <v>2025</v>
      </c>
      <c r="E253" t="s">
        <v>4341</v>
      </c>
      <c r="F253">
        <v>37</v>
      </c>
      <c r="G253" t="str">
        <f t="shared" si="9"/>
        <v>September</v>
      </c>
      <c r="H253" t="str">
        <f t="shared" si="10"/>
        <v>Q3</v>
      </c>
      <c r="I253">
        <f t="shared" si="11"/>
        <v>2025</v>
      </c>
    </row>
    <row r="254" spans="1:9" x14ac:dyDescent="0.3">
      <c r="A254" s="1">
        <v>45910</v>
      </c>
      <c r="B254">
        <v>9</v>
      </c>
      <c r="C254" t="s">
        <v>4338</v>
      </c>
      <c r="D254">
        <v>2025</v>
      </c>
      <c r="E254" t="s">
        <v>4341</v>
      </c>
      <c r="F254">
        <v>37</v>
      </c>
      <c r="G254" t="str">
        <f t="shared" si="9"/>
        <v>September</v>
      </c>
      <c r="H254" t="str">
        <f t="shared" si="10"/>
        <v>Q3</v>
      </c>
      <c r="I254">
        <f t="shared" si="11"/>
        <v>2025</v>
      </c>
    </row>
    <row r="255" spans="1:9" x14ac:dyDescent="0.3">
      <c r="A255" s="1">
        <v>45911</v>
      </c>
      <c r="B255">
        <v>9</v>
      </c>
      <c r="C255" t="s">
        <v>4338</v>
      </c>
      <c r="D255">
        <v>2025</v>
      </c>
      <c r="E255" t="s">
        <v>4341</v>
      </c>
      <c r="F255">
        <v>37</v>
      </c>
      <c r="G255" t="str">
        <f t="shared" si="9"/>
        <v>September</v>
      </c>
      <c r="H255" t="str">
        <f t="shared" si="10"/>
        <v>Q3</v>
      </c>
      <c r="I255">
        <f t="shared" si="11"/>
        <v>2025</v>
      </c>
    </row>
    <row r="256" spans="1:9" x14ac:dyDescent="0.3">
      <c r="A256" s="1">
        <v>45912</v>
      </c>
      <c r="B256">
        <v>9</v>
      </c>
      <c r="C256" t="s">
        <v>4338</v>
      </c>
      <c r="D256">
        <v>2025</v>
      </c>
      <c r="E256" t="s">
        <v>4341</v>
      </c>
      <c r="F256">
        <v>37</v>
      </c>
      <c r="G256" t="str">
        <f t="shared" si="9"/>
        <v>September</v>
      </c>
      <c r="H256" t="str">
        <f t="shared" si="10"/>
        <v>Q3</v>
      </c>
      <c r="I256">
        <f t="shared" si="11"/>
        <v>2025</v>
      </c>
    </row>
    <row r="257" spans="1:9" x14ac:dyDescent="0.3">
      <c r="A257" s="1">
        <v>45913</v>
      </c>
      <c r="B257">
        <v>9</v>
      </c>
      <c r="C257" t="s">
        <v>4338</v>
      </c>
      <c r="D257">
        <v>2025</v>
      </c>
      <c r="E257" t="s">
        <v>4341</v>
      </c>
      <c r="F257">
        <v>37</v>
      </c>
      <c r="G257" t="str">
        <f t="shared" si="9"/>
        <v>September</v>
      </c>
      <c r="H257" t="str">
        <f t="shared" si="10"/>
        <v>Q3</v>
      </c>
      <c r="I257">
        <f t="shared" si="11"/>
        <v>2025</v>
      </c>
    </row>
    <row r="258" spans="1:9" x14ac:dyDescent="0.3">
      <c r="A258" s="1">
        <v>45914</v>
      </c>
      <c r="B258">
        <v>9</v>
      </c>
      <c r="C258" t="s">
        <v>4338</v>
      </c>
      <c r="D258">
        <v>2025</v>
      </c>
      <c r="E258" t="s">
        <v>4341</v>
      </c>
      <c r="F258">
        <v>37</v>
      </c>
      <c r="G258" t="str">
        <f t="shared" ref="G258:G321" si="12">TEXT(A258,"mmmm")</f>
        <v>September</v>
      </c>
      <c r="H258" t="str">
        <f t="shared" ref="H258:H321" si="13">"Q"&amp;ROUNDUP(MONTH(A258)/3,0)</f>
        <v>Q3</v>
      </c>
      <c r="I258">
        <f t="shared" ref="I258:I321" si="14">YEAR(A258)</f>
        <v>2025</v>
      </c>
    </row>
    <row r="259" spans="1:9" x14ac:dyDescent="0.3">
      <c r="A259" s="1">
        <v>45915</v>
      </c>
      <c r="B259">
        <v>9</v>
      </c>
      <c r="C259" t="s">
        <v>4338</v>
      </c>
      <c r="D259">
        <v>2025</v>
      </c>
      <c r="E259" t="s">
        <v>4341</v>
      </c>
      <c r="F259">
        <v>38</v>
      </c>
      <c r="G259" t="str">
        <f t="shared" si="12"/>
        <v>September</v>
      </c>
      <c r="H259" t="str">
        <f t="shared" si="13"/>
        <v>Q3</v>
      </c>
      <c r="I259">
        <f t="shared" si="14"/>
        <v>2025</v>
      </c>
    </row>
    <row r="260" spans="1:9" x14ac:dyDescent="0.3">
      <c r="A260" s="1">
        <v>45916</v>
      </c>
      <c r="B260">
        <v>9</v>
      </c>
      <c r="C260" t="s">
        <v>4338</v>
      </c>
      <c r="D260">
        <v>2025</v>
      </c>
      <c r="E260" t="s">
        <v>4341</v>
      </c>
      <c r="F260">
        <v>38</v>
      </c>
      <c r="G260" t="str">
        <f t="shared" si="12"/>
        <v>September</v>
      </c>
      <c r="H260" t="str">
        <f t="shared" si="13"/>
        <v>Q3</v>
      </c>
      <c r="I260">
        <f t="shared" si="14"/>
        <v>2025</v>
      </c>
    </row>
    <row r="261" spans="1:9" x14ac:dyDescent="0.3">
      <c r="A261" s="1">
        <v>45917</v>
      </c>
      <c r="B261">
        <v>9</v>
      </c>
      <c r="C261" t="s">
        <v>4338</v>
      </c>
      <c r="D261">
        <v>2025</v>
      </c>
      <c r="E261" t="s">
        <v>4341</v>
      </c>
      <c r="F261">
        <v>38</v>
      </c>
      <c r="G261" t="str">
        <f t="shared" si="12"/>
        <v>September</v>
      </c>
      <c r="H261" t="str">
        <f t="shared" si="13"/>
        <v>Q3</v>
      </c>
      <c r="I261">
        <f t="shared" si="14"/>
        <v>2025</v>
      </c>
    </row>
    <row r="262" spans="1:9" x14ac:dyDescent="0.3">
      <c r="A262" s="1">
        <v>45918</v>
      </c>
      <c r="B262">
        <v>9</v>
      </c>
      <c r="C262" t="s">
        <v>4338</v>
      </c>
      <c r="D262">
        <v>2025</v>
      </c>
      <c r="E262" t="s">
        <v>4341</v>
      </c>
      <c r="F262">
        <v>38</v>
      </c>
      <c r="G262" t="str">
        <f t="shared" si="12"/>
        <v>September</v>
      </c>
      <c r="H262" t="str">
        <f t="shared" si="13"/>
        <v>Q3</v>
      </c>
      <c r="I262">
        <f t="shared" si="14"/>
        <v>2025</v>
      </c>
    </row>
    <row r="263" spans="1:9" x14ac:dyDescent="0.3">
      <c r="A263" s="1">
        <v>45919</v>
      </c>
      <c r="B263">
        <v>9</v>
      </c>
      <c r="C263" t="s">
        <v>4338</v>
      </c>
      <c r="D263">
        <v>2025</v>
      </c>
      <c r="E263" t="s">
        <v>4341</v>
      </c>
      <c r="F263">
        <v>38</v>
      </c>
      <c r="G263" t="str">
        <f t="shared" si="12"/>
        <v>September</v>
      </c>
      <c r="H263" t="str">
        <f t="shared" si="13"/>
        <v>Q3</v>
      </c>
      <c r="I263">
        <f t="shared" si="14"/>
        <v>2025</v>
      </c>
    </row>
    <row r="264" spans="1:9" x14ac:dyDescent="0.3">
      <c r="A264" s="1">
        <v>45920</v>
      </c>
      <c r="B264">
        <v>9</v>
      </c>
      <c r="C264" t="s">
        <v>4338</v>
      </c>
      <c r="D264">
        <v>2025</v>
      </c>
      <c r="E264" t="s">
        <v>4341</v>
      </c>
      <c r="F264">
        <v>38</v>
      </c>
      <c r="G264" t="str">
        <f t="shared" si="12"/>
        <v>September</v>
      </c>
      <c r="H264" t="str">
        <f t="shared" si="13"/>
        <v>Q3</v>
      </c>
      <c r="I264">
        <f t="shared" si="14"/>
        <v>2025</v>
      </c>
    </row>
    <row r="265" spans="1:9" x14ac:dyDescent="0.3">
      <c r="A265" s="1">
        <v>45921</v>
      </c>
      <c r="B265">
        <v>9</v>
      </c>
      <c r="C265" t="s">
        <v>4338</v>
      </c>
      <c r="D265">
        <v>2025</v>
      </c>
      <c r="E265" t="s">
        <v>4341</v>
      </c>
      <c r="F265">
        <v>38</v>
      </c>
      <c r="G265" t="str">
        <f t="shared" si="12"/>
        <v>September</v>
      </c>
      <c r="H265" t="str">
        <f t="shared" si="13"/>
        <v>Q3</v>
      </c>
      <c r="I265">
        <f t="shared" si="14"/>
        <v>2025</v>
      </c>
    </row>
    <row r="266" spans="1:9" x14ac:dyDescent="0.3">
      <c r="A266" s="1">
        <v>45922</v>
      </c>
      <c r="B266">
        <v>9</v>
      </c>
      <c r="C266" t="s">
        <v>4338</v>
      </c>
      <c r="D266">
        <v>2025</v>
      </c>
      <c r="E266" t="s">
        <v>4341</v>
      </c>
      <c r="F266">
        <v>39</v>
      </c>
      <c r="G266" t="str">
        <f t="shared" si="12"/>
        <v>September</v>
      </c>
      <c r="H266" t="str">
        <f t="shared" si="13"/>
        <v>Q3</v>
      </c>
      <c r="I266">
        <f t="shared" si="14"/>
        <v>2025</v>
      </c>
    </row>
    <row r="267" spans="1:9" x14ac:dyDescent="0.3">
      <c r="A267" s="1">
        <v>45923</v>
      </c>
      <c r="B267">
        <v>9</v>
      </c>
      <c r="C267" t="s">
        <v>4338</v>
      </c>
      <c r="D267">
        <v>2025</v>
      </c>
      <c r="E267" t="s">
        <v>4341</v>
      </c>
      <c r="F267">
        <v>39</v>
      </c>
      <c r="G267" t="str">
        <f t="shared" si="12"/>
        <v>September</v>
      </c>
      <c r="H267" t="str">
        <f t="shared" si="13"/>
        <v>Q3</v>
      </c>
      <c r="I267">
        <f t="shared" si="14"/>
        <v>2025</v>
      </c>
    </row>
    <row r="268" spans="1:9" x14ac:dyDescent="0.3">
      <c r="A268" s="1">
        <v>45924</v>
      </c>
      <c r="B268">
        <v>9</v>
      </c>
      <c r="C268" t="s">
        <v>4338</v>
      </c>
      <c r="D268">
        <v>2025</v>
      </c>
      <c r="E268" t="s">
        <v>4341</v>
      </c>
      <c r="F268">
        <v>39</v>
      </c>
      <c r="G268" t="str">
        <f t="shared" si="12"/>
        <v>September</v>
      </c>
      <c r="H268" t="str">
        <f t="shared" si="13"/>
        <v>Q3</v>
      </c>
      <c r="I268">
        <f t="shared" si="14"/>
        <v>2025</v>
      </c>
    </row>
    <row r="269" spans="1:9" x14ac:dyDescent="0.3">
      <c r="A269" s="1">
        <v>45925</v>
      </c>
      <c r="B269">
        <v>9</v>
      </c>
      <c r="C269" t="s">
        <v>4338</v>
      </c>
      <c r="D269">
        <v>2025</v>
      </c>
      <c r="E269" t="s">
        <v>4341</v>
      </c>
      <c r="F269">
        <v>39</v>
      </c>
      <c r="G269" t="str">
        <f t="shared" si="12"/>
        <v>September</v>
      </c>
      <c r="H269" t="str">
        <f t="shared" si="13"/>
        <v>Q3</v>
      </c>
      <c r="I269">
        <f t="shared" si="14"/>
        <v>2025</v>
      </c>
    </row>
    <row r="270" spans="1:9" x14ac:dyDescent="0.3">
      <c r="A270" s="1">
        <v>45926</v>
      </c>
      <c r="B270">
        <v>9</v>
      </c>
      <c r="C270" t="s">
        <v>4338</v>
      </c>
      <c r="D270">
        <v>2025</v>
      </c>
      <c r="E270" t="s">
        <v>4341</v>
      </c>
      <c r="F270">
        <v>39</v>
      </c>
      <c r="G270" t="str">
        <f t="shared" si="12"/>
        <v>September</v>
      </c>
      <c r="H270" t="str">
        <f t="shared" si="13"/>
        <v>Q3</v>
      </c>
      <c r="I270">
        <f t="shared" si="14"/>
        <v>2025</v>
      </c>
    </row>
    <row r="271" spans="1:9" x14ac:dyDescent="0.3">
      <c r="A271" s="1">
        <v>45927</v>
      </c>
      <c r="B271">
        <v>9</v>
      </c>
      <c r="C271" t="s">
        <v>4338</v>
      </c>
      <c r="D271">
        <v>2025</v>
      </c>
      <c r="E271" t="s">
        <v>4341</v>
      </c>
      <c r="F271">
        <v>39</v>
      </c>
      <c r="G271" t="str">
        <f t="shared" si="12"/>
        <v>September</v>
      </c>
      <c r="H271" t="str">
        <f t="shared" si="13"/>
        <v>Q3</v>
      </c>
      <c r="I271">
        <f t="shared" si="14"/>
        <v>2025</v>
      </c>
    </row>
    <row r="272" spans="1:9" x14ac:dyDescent="0.3">
      <c r="A272" s="1">
        <v>45928</v>
      </c>
      <c r="B272">
        <v>9</v>
      </c>
      <c r="C272" t="s">
        <v>4338</v>
      </c>
      <c r="D272">
        <v>2025</v>
      </c>
      <c r="E272" t="s">
        <v>4341</v>
      </c>
      <c r="F272">
        <v>39</v>
      </c>
      <c r="G272" t="str">
        <f t="shared" si="12"/>
        <v>September</v>
      </c>
      <c r="H272" t="str">
        <f t="shared" si="13"/>
        <v>Q3</v>
      </c>
      <c r="I272">
        <f t="shared" si="14"/>
        <v>2025</v>
      </c>
    </row>
    <row r="273" spans="1:9" x14ac:dyDescent="0.3">
      <c r="A273" s="1">
        <v>45929</v>
      </c>
      <c r="B273">
        <v>9</v>
      </c>
      <c r="C273" t="s">
        <v>4338</v>
      </c>
      <c r="D273">
        <v>2025</v>
      </c>
      <c r="E273" t="s">
        <v>4341</v>
      </c>
      <c r="F273">
        <v>40</v>
      </c>
      <c r="G273" t="str">
        <f t="shared" si="12"/>
        <v>September</v>
      </c>
      <c r="H273" t="str">
        <f t="shared" si="13"/>
        <v>Q3</v>
      </c>
      <c r="I273">
        <f t="shared" si="14"/>
        <v>2025</v>
      </c>
    </row>
    <row r="274" spans="1:9" x14ac:dyDescent="0.3">
      <c r="A274" s="1">
        <v>45930</v>
      </c>
      <c r="B274">
        <v>9</v>
      </c>
      <c r="C274" t="s">
        <v>4338</v>
      </c>
      <c r="D274">
        <v>2025</v>
      </c>
      <c r="E274" t="s">
        <v>4341</v>
      </c>
      <c r="F274">
        <v>40</v>
      </c>
      <c r="G274" t="str">
        <f t="shared" si="12"/>
        <v>September</v>
      </c>
      <c r="H274" t="str">
        <f t="shared" si="13"/>
        <v>Q3</v>
      </c>
      <c r="I274">
        <f t="shared" si="14"/>
        <v>2025</v>
      </c>
    </row>
    <row r="275" spans="1:9" x14ac:dyDescent="0.3">
      <c r="A275" s="1">
        <v>45931</v>
      </c>
      <c r="B275">
        <v>10</v>
      </c>
      <c r="C275" t="s">
        <v>4342</v>
      </c>
      <c r="D275">
        <v>2025</v>
      </c>
      <c r="E275" t="s">
        <v>4343</v>
      </c>
      <c r="F275">
        <v>40</v>
      </c>
      <c r="G275" t="str">
        <f t="shared" si="12"/>
        <v>October</v>
      </c>
      <c r="H275" t="str">
        <f t="shared" si="13"/>
        <v>Q4</v>
      </c>
      <c r="I275">
        <f t="shared" si="14"/>
        <v>2025</v>
      </c>
    </row>
    <row r="276" spans="1:9" x14ac:dyDescent="0.3">
      <c r="A276" s="1">
        <v>45932</v>
      </c>
      <c r="B276">
        <v>10</v>
      </c>
      <c r="C276" t="s">
        <v>4342</v>
      </c>
      <c r="D276">
        <v>2025</v>
      </c>
      <c r="E276" t="s">
        <v>4343</v>
      </c>
      <c r="F276">
        <v>40</v>
      </c>
      <c r="G276" t="str">
        <f t="shared" si="12"/>
        <v>October</v>
      </c>
      <c r="H276" t="str">
        <f t="shared" si="13"/>
        <v>Q4</v>
      </c>
      <c r="I276">
        <f t="shared" si="14"/>
        <v>2025</v>
      </c>
    </row>
    <row r="277" spans="1:9" x14ac:dyDescent="0.3">
      <c r="A277" s="1">
        <v>45933</v>
      </c>
      <c r="B277">
        <v>10</v>
      </c>
      <c r="C277" t="s">
        <v>4342</v>
      </c>
      <c r="D277">
        <v>2025</v>
      </c>
      <c r="E277" t="s">
        <v>4343</v>
      </c>
      <c r="F277">
        <v>40</v>
      </c>
      <c r="G277" t="str">
        <f t="shared" si="12"/>
        <v>October</v>
      </c>
      <c r="H277" t="str">
        <f t="shared" si="13"/>
        <v>Q4</v>
      </c>
      <c r="I277">
        <f t="shared" si="14"/>
        <v>2025</v>
      </c>
    </row>
    <row r="278" spans="1:9" x14ac:dyDescent="0.3">
      <c r="A278" s="1">
        <v>45934</v>
      </c>
      <c r="B278">
        <v>10</v>
      </c>
      <c r="C278" t="s">
        <v>4342</v>
      </c>
      <c r="D278">
        <v>2025</v>
      </c>
      <c r="E278" t="s">
        <v>4343</v>
      </c>
      <c r="F278">
        <v>40</v>
      </c>
      <c r="G278" t="str">
        <f t="shared" si="12"/>
        <v>October</v>
      </c>
      <c r="H278" t="str">
        <f t="shared" si="13"/>
        <v>Q4</v>
      </c>
      <c r="I278">
        <f t="shared" si="14"/>
        <v>2025</v>
      </c>
    </row>
    <row r="279" spans="1:9" x14ac:dyDescent="0.3">
      <c r="A279" s="1">
        <v>45935</v>
      </c>
      <c r="B279">
        <v>10</v>
      </c>
      <c r="C279" t="s">
        <v>4342</v>
      </c>
      <c r="D279">
        <v>2025</v>
      </c>
      <c r="E279" t="s">
        <v>4343</v>
      </c>
      <c r="F279">
        <v>40</v>
      </c>
      <c r="G279" t="str">
        <f t="shared" si="12"/>
        <v>October</v>
      </c>
      <c r="H279" t="str">
        <f t="shared" si="13"/>
        <v>Q4</v>
      </c>
      <c r="I279">
        <f t="shared" si="14"/>
        <v>2025</v>
      </c>
    </row>
    <row r="280" spans="1:9" x14ac:dyDescent="0.3">
      <c r="A280" s="1">
        <v>45936</v>
      </c>
      <c r="B280">
        <v>10</v>
      </c>
      <c r="C280" t="s">
        <v>4342</v>
      </c>
      <c r="D280">
        <v>2025</v>
      </c>
      <c r="E280" t="s">
        <v>4343</v>
      </c>
      <c r="F280">
        <v>41</v>
      </c>
      <c r="G280" t="str">
        <f t="shared" si="12"/>
        <v>October</v>
      </c>
      <c r="H280" t="str">
        <f t="shared" si="13"/>
        <v>Q4</v>
      </c>
      <c r="I280">
        <f t="shared" si="14"/>
        <v>2025</v>
      </c>
    </row>
    <row r="281" spans="1:9" x14ac:dyDescent="0.3">
      <c r="A281" s="1">
        <v>45937</v>
      </c>
      <c r="B281">
        <v>10</v>
      </c>
      <c r="C281" t="s">
        <v>4342</v>
      </c>
      <c r="D281">
        <v>2025</v>
      </c>
      <c r="E281" t="s">
        <v>4343</v>
      </c>
      <c r="F281">
        <v>41</v>
      </c>
      <c r="G281" t="str">
        <f t="shared" si="12"/>
        <v>October</v>
      </c>
      <c r="H281" t="str">
        <f t="shared" si="13"/>
        <v>Q4</v>
      </c>
      <c r="I281">
        <f t="shared" si="14"/>
        <v>2025</v>
      </c>
    </row>
    <row r="282" spans="1:9" x14ac:dyDescent="0.3">
      <c r="A282" s="1">
        <v>45938</v>
      </c>
      <c r="B282">
        <v>10</v>
      </c>
      <c r="C282" t="s">
        <v>4342</v>
      </c>
      <c r="D282">
        <v>2025</v>
      </c>
      <c r="E282" t="s">
        <v>4343</v>
      </c>
      <c r="F282">
        <v>41</v>
      </c>
      <c r="G282" t="str">
        <f t="shared" si="12"/>
        <v>October</v>
      </c>
      <c r="H282" t="str">
        <f t="shared" si="13"/>
        <v>Q4</v>
      </c>
      <c r="I282">
        <f t="shared" si="14"/>
        <v>2025</v>
      </c>
    </row>
    <row r="283" spans="1:9" x14ac:dyDescent="0.3">
      <c r="A283" s="1">
        <v>45939</v>
      </c>
      <c r="B283">
        <v>10</v>
      </c>
      <c r="C283" t="s">
        <v>4342</v>
      </c>
      <c r="D283">
        <v>2025</v>
      </c>
      <c r="E283" t="s">
        <v>4343</v>
      </c>
      <c r="F283">
        <v>41</v>
      </c>
      <c r="G283" t="str">
        <f t="shared" si="12"/>
        <v>October</v>
      </c>
      <c r="H283" t="str">
        <f t="shared" si="13"/>
        <v>Q4</v>
      </c>
      <c r="I283">
        <f t="shared" si="14"/>
        <v>2025</v>
      </c>
    </row>
    <row r="284" spans="1:9" x14ac:dyDescent="0.3">
      <c r="A284" s="1">
        <v>45940</v>
      </c>
      <c r="B284">
        <v>10</v>
      </c>
      <c r="C284" t="s">
        <v>4342</v>
      </c>
      <c r="D284">
        <v>2025</v>
      </c>
      <c r="E284" t="s">
        <v>4343</v>
      </c>
      <c r="F284">
        <v>41</v>
      </c>
      <c r="G284" t="str">
        <f t="shared" si="12"/>
        <v>October</v>
      </c>
      <c r="H284" t="str">
        <f t="shared" si="13"/>
        <v>Q4</v>
      </c>
      <c r="I284">
        <f t="shared" si="14"/>
        <v>2025</v>
      </c>
    </row>
    <row r="285" spans="1:9" x14ac:dyDescent="0.3">
      <c r="A285" s="1">
        <v>45941</v>
      </c>
      <c r="B285">
        <v>10</v>
      </c>
      <c r="C285" t="s">
        <v>4342</v>
      </c>
      <c r="D285">
        <v>2025</v>
      </c>
      <c r="E285" t="s">
        <v>4343</v>
      </c>
      <c r="F285">
        <v>41</v>
      </c>
      <c r="G285" t="str">
        <f t="shared" si="12"/>
        <v>October</v>
      </c>
      <c r="H285" t="str">
        <f t="shared" si="13"/>
        <v>Q4</v>
      </c>
      <c r="I285">
        <f t="shared" si="14"/>
        <v>2025</v>
      </c>
    </row>
    <row r="286" spans="1:9" x14ac:dyDescent="0.3">
      <c r="A286" s="1">
        <v>45942</v>
      </c>
      <c r="B286">
        <v>10</v>
      </c>
      <c r="C286" t="s">
        <v>4342</v>
      </c>
      <c r="D286">
        <v>2025</v>
      </c>
      <c r="E286" t="s">
        <v>4343</v>
      </c>
      <c r="F286">
        <v>41</v>
      </c>
      <c r="G286" t="str">
        <f t="shared" si="12"/>
        <v>October</v>
      </c>
      <c r="H286" t="str">
        <f t="shared" si="13"/>
        <v>Q4</v>
      </c>
      <c r="I286">
        <f t="shared" si="14"/>
        <v>2025</v>
      </c>
    </row>
    <row r="287" spans="1:9" x14ac:dyDescent="0.3">
      <c r="A287" s="1">
        <v>45943</v>
      </c>
      <c r="B287">
        <v>10</v>
      </c>
      <c r="C287" t="s">
        <v>4342</v>
      </c>
      <c r="D287">
        <v>2025</v>
      </c>
      <c r="E287" t="s">
        <v>4343</v>
      </c>
      <c r="F287">
        <v>42</v>
      </c>
      <c r="G287" t="str">
        <f t="shared" si="12"/>
        <v>October</v>
      </c>
      <c r="H287" t="str">
        <f t="shared" si="13"/>
        <v>Q4</v>
      </c>
      <c r="I287">
        <f t="shared" si="14"/>
        <v>2025</v>
      </c>
    </row>
    <row r="288" spans="1:9" x14ac:dyDescent="0.3">
      <c r="A288" s="1">
        <v>45944</v>
      </c>
      <c r="B288">
        <v>10</v>
      </c>
      <c r="C288" t="s">
        <v>4342</v>
      </c>
      <c r="D288">
        <v>2025</v>
      </c>
      <c r="E288" t="s">
        <v>4343</v>
      </c>
      <c r="F288">
        <v>42</v>
      </c>
      <c r="G288" t="str">
        <f t="shared" si="12"/>
        <v>October</v>
      </c>
      <c r="H288" t="str">
        <f t="shared" si="13"/>
        <v>Q4</v>
      </c>
      <c r="I288">
        <f t="shared" si="14"/>
        <v>2025</v>
      </c>
    </row>
    <row r="289" spans="1:9" x14ac:dyDescent="0.3">
      <c r="A289" s="1">
        <v>45945</v>
      </c>
      <c r="B289">
        <v>10</v>
      </c>
      <c r="C289" t="s">
        <v>4342</v>
      </c>
      <c r="D289">
        <v>2025</v>
      </c>
      <c r="E289" t="s">
        <v>4343</v>
      </c>
      <c r="F289">
        <v>42</v>
      </c>
      <c r="G289" t="str">
        <f t="shared" si="12"/>
        <v>October</v>
      </c>
      <c r="H289" t="str">
        <f t="shared" si="13"/>
        <v>Q4</v>
      </c>
      <c r="I289">
        <f t="shared" si="14"/>
        <v>2025</v>
      </c>
    </row>
    <row r="290" spans="1:9" x14ac:dyDescent="0.3">
      <c r="A290" s="1">
        <v>45946</v>
      </c>
      <c r="B290">
        <v>10</v>
      </c>
      <c r="C290" t="s">
        <v>4342</v>
      </c>
      <c r="D290">
        <v>2025</v>
      </c>
      <c r="E290" t="s">
        <v>4343</v>
      </c>
      <c r="F290">
        <v>42</v>
      </c>
      <c r="G290" t="str">
        <f t="shared" si="12"/>
        <v>October</v>
      </c>
      <c r="H290" t="str">
        <f t="shared" si="13"/>
        <v>Q4</v>
      </c>
      <c r="I290">
        <f t="shared" si="14"/>
        <v>2025</v>
      </c>
    </row>
    <row r="291" spans="1:9" x14ac:dyDescent="0.3">
      <c r="A291" s="1">
        <v>45947</v>
      </c>
      <c r="B291">
        <v>10</v>
      </c>
      <c r="C291" t="s">
        <v>4342</v>
      </c>
      <c r="D291">
        <v>2025</v>
      </c>
      <c r="E291" t="s">
        <v>4343</v>
      </c>
      <c r="F291">
        <v>42</v>
      </c>
      <c r="G291" t="str">
        <f t="shared" si="12"/>
        <v>October</v>
      </c>
      <c r="H291" t="str">
        <f t="shared" si="13"/>
        <v>Q4</v>
      </c>
      <c r="I291">
        <f t="shared" si="14"/>
        <v>2025</v>
      </c>
    </row>
    <row r="292" spans="1:9" x14ac:dyDescent="0.3">
      <c r="A292" s="1">
        <v>45948</v>
      </c>
      <c r="B292">
        <v>10</v>
      </c>
      <c r="C292" t="s">
        <v>4342</v>
      </c>
      <c r="D292">
        <v>2025</v>
      </c>
      <c r="E292" t="s">
        <v>4343</v>
      </c>
      <c r="F292">
        <v>42</v>
      </c>
      <c r="G292" t="str">
        <f t="shared" si="12"/>
        <v>October</v>
      </c>
      <c r="H292" t="str">
        <f t="shared" si="13"/>
        <v>Q4</v>
      </c>
      <c r="I292">
        <f t="shared" si="14"/>
        <v>2025</v>
      </c>
    </row>
    <row r="293" spans="1:9" x14ac:dyDescent="0.3">
      <c r="A293" s="1">
        <v>45949</v>
      </c>
      <c r="B293">
        <v>10</v>
      </c>
      <c r="C293" t="s">
        <v>4342</v>
      </c>
      <c r="D293">
        <v>2025</v>
      </c>
      <c r="E293" t="s">
        <v>4343</v>
      </c>
      <c r="F293">
        <v>42</v>
      </c>
      <c r="G293" t="str">
        <f t="shared" si="12"/>
        <v>October</v>
      </c>
      <c r="H293" t="str">
        <f t="shared" si="13"/>
        <v>Q4</v>
      </c>
      <c r="I293">
        <f t="shared" si="14"/>
        <v>2025</v>
      </c>
    </row>
    <row r="294" spans="1:9" x14ac:dyDescent="0.3">
      <c r="A294" s="1">
        <v>45950</v>
      </c>
      <c r="B294">
        <v>10</v>
      </c>
      <c r="C294" t="s">
        <v>4342</v>
      </c>
      <c r="D294">
        <v>2025</v>
      </c>
      <c r="E294" t="s">
        <v>4343</v>
      </c>
      <c r="F294">
        <v>43</v>
      </c>
      <c r="G294" t="str">
        <f t="shared" si="12"/>
        <v>October</v>
      </c>
      <c r="H294" t="str">
        <f t="shared" si="13"/>
        <v>Q4</v>
      </c>
      <c r="I294">
        <f t="shared" si="14"/>
        <v>2025</v>
      </c>
    </row>
    <row r="295" spans="1:9" x14ac:dyDescent="0.3">
      <c r="A295" s="1">
        <v>45951</v>
      </c>
      <c r="B295">
        <v>10</v>
      </c>
      <c r="C295" t="s">
        <v>4342</v>
      </c>
      <c r="D295">
        <v>2025</v>
      </c>
      <c r="E295" t="s">
        <v>4343</v>
      </c>
      <c r="F295">
        <v>43</v>
      </c>
      <c r="G295" t="str">
        <f t="shared" si="12"/>
        <v>October</v>
      </c>
      <c r="H295" t="str">
        <f t="shared" si="13"/>
        <v>Q4</v>
      </c>
      <c r="I295">
        <f t="shared" si="14"/>
        <v>2025</v>
      </c>
    </row>
    <row r="296" spans="1:9" x14ac:dyDescent="0.3">
      <c r="A296" s="1">
        <v>45952</v>
      </c>
      <c r="B296">
        <v>10</v>
      </c>
      <c r="C296" t="s">
        <v>4342</v>
      </c>
      <c r="D296">
        <v>2025</v>
      </c>
      <c r="E296" t="s">
        <v>4343</v>
      </c>
      <c r="F296">
        <v>43</v>
      </c>
      <c r="G296" t="str">
        <f t="shared" si="12"/>
        <v>October</v>
      </c>
      <c r="H296" t="str">
        <f t="shared" si="13"/>
        <v>Q4</v>
      </c>
      <c r="I296">
        <f t="shared" si="14"/>
        <v>2025</v>
      </c>
    </row>
    <row r="297" spans="1:9" x14ac:dyDescent="0.3">
      <c r="A297" s="1">
        <v>45953</v>
      </c>
      <c r="B297">
        <v>10</v>
      </c>
      <c r="C297" t="s">
        <v>4342</v>
      </c>
      <c r="D297">
        <v>2025</v>
      </c>
      <c r="E297" t="s">
        <v>4343</v>
      </c>
      <c r="F297">
        <v>43</v>
      </c>
      <c r="G297" t="str">
        <f t="shared" si="12"/>
        <v>October</v>
      </c>
      <c r="H297" t="str">
        <f t="shared" si="13"/>
        <v>Q4</v>
      </c>
      <c r="I297">
        <f t="shared" si="14"/>
        <v>2025</v>
      </c>
    </row>
    <row r="298" spans="1:9" x14ac:dyDescent="0.3">
      <c r="A298" s="1">
        <v>45954</v>
      </c>
      <c r="B298">
        <v>10</v>
      </c>
      <c r="C298" t="s">
        <v>4342</v>
      </c>
      <c r="D298">
        <v>2025</v>
      </c>
      <c r="E298" t="s">
        <v>4343</v>
      </c>
      <c r="F298">
        <v>43</v>
      </c>
      <c r="G298" t="str">
        <f t="shared" si="12"/>
        <v>October</v>
      </c>
      <c r="H298" t="str">
        <f t="shared" si="13"/>
        <v>Q4</v>
      </c>
      <c r="I298">
        <f t="shared" si="14"/>
        <v>2025</v>
      </c>
    </row>
    <row r="299" spans="1:9" x14ac:dyDescent="0.3">
      <c r="A299" s="1">
        <v>45955</v>
      </c>
      <c r="B299">
        <v>10</v>
      </c>
      <c r="C299" t="s">
        <v>4342</v>
      </c>
      <c r="D299">
        <v>2025</v>
      </c>
      <c r="E299" t="s">
        <v>4343</v>
      </c>
      <c r="F299">
        <v>43</v>
      </c>
      <c r="G299" t="str">
        <f t="shared" si="12"/>
        <v>October</v>
      </c>
      <c r="H299" t="str">
        <f t="shared" si="13"/>
        <v>Q4</v>
      </c>
      <c r="I299">
        <f t="shared" si="14"/>
        <v>2025</v>
      </c>
    </row>
    <row r="300" spans="1:9" x14ac:dyDescent="0.3">
      <c r="A300" s="1">
        <v>45956</v>
      </c>
      <c r="B300">
        <v>10</v>
      </c>
      <c r="C300" t="s">
        <v>4342</v>
      </c>
      <c r="D300">
        <v>2025</v>
      </c>
      <c r="E300" t="s">
        <v>4343</v>
      </c>
      <c r="F300">
        <v>43</v>
      </c>
      <c r="G300" t="str">
        <f t="shared" si="12"/>
        <v>October</v>
      </c>
      <c r="H300" t="str">
        <f t="shared" si="13"/>
        <v>Q4</v>
      </c>
      <c r="I300">
        <f t="shared" si="14"/>
        <v>2025</v>
      </c>
    </row>
    <row r="301" spans="1:9" x14ac:dyDescent="0.3">
      <c r="A301" s="1">
        <v>45957</v>
      </c>
      <c r="B301">
        <v>10</v>
      </c>
      <c r="C301" t="s">
        <v>4342</v>
      </c>
      <c r="D301">
        <v>2025</v>
      </c>
      <c r="E301" t="s">
        <v>4343</v>
      </c>
      <c r="F301">
        <v>44</v>
      </c>
      <c r="G301" t="str">
        <f t="shared" si="12"/>
        <v>October</v>
      </c>
      <c r="H301" t="str">
        <f t="shared" si="13"/>
        <v>Q4</v>
      </c>
      <c r="I301">
        <f t="shared" si="14"/>
        <v>2025</v>
      </c>
    </row>
    <row r="302" spans="1:9" x14ac:dyDescent="0.3">
      <c r="A302" s="1">
        <v>45958</v>
      </c>
      <c r="B302">
        <v>10</v>
      </c>
      <c r="C302" t="s">
        <v>4342</v>
      </c>
      <c r="D302">
        <v>2025</v>
      </c>
      <c r="E302" t="s">
        <v>4343</v>
      </c>
      <c r="F302">
        <v>44</v>
      </c>
      <c r="G302" t="str">
        <f t="shared" si="12"/>
        <v>October</v>
      </c>
      <c r="H302" t="str">
        <f t="shared" si="13"/>
        <v>Q4</v>
      </c>
      <c r="I302">
        <f t="shared" si="14"/>
        <v>2025</v>
      </c>
    </row>
    <row r="303" spans="1:9" x14ac:dyDescent="0.3">
      <c r="A303" s="1">
        <v>45959</v>
      </c>
      <c r="B303">
        <v>10</v>
      </c>
      <c r="C303" t="s">
        <v>4342</v>
      </c>
      <c r="D303">
        <v>2025</v>
      </c>
      <c r="E303" t="s">
        <v>4343</v>
      </c>
      <c r="F303">
        <v>44</v>
      </c>
      <c r="G303" t="str">
        <f t="shared" si="12"/>
        <v>October</v>
      </c>
      <c r="H303" t="str">
        <f t="shared" si="13"/>
        <v>Q4</v>
      </c>
      <c r="I303">
        <f t="shared" si="14"/>
        <v>2025</v>
      </c>
    </row>
    <row r="304" spans="1:9" x14ac:dyDescent="0.3">
      <c r="A304" s="1">
        <v>45960</v>
      </c>
      <c r="B304">
        <v>10</v>
      </c>
      <c r="C304" t="s">
        <v>4342</v>
      </c>
      <c r="D304">
        <v>2025</v>
      </c>
      <c r="E304" t="s">
        <v>4343</v>
      </c>
      <c r="F304">
        <v>44</v>
      </c>
      <c r="G304" t="str">
        <f t="shared" si="12"/>
        <v>October</v>
      </c>
      <c r="H304" t="str">
        <f t="shared" si="13"/>
        <v>Q4</v>
      </c>
      <c r="I304">
        <f t="shared" si="14"/>
        <v>2025</v>
      </c>
    </row>
    <row r="305" spans="1:9" x14ac:dyDescent="0.3">
      <c r="A305" s="1">
        <v>45961</v>
      </c>
      <c r="B305">
        <v>10</v>
      </c>
      <c r="C305" t="s">
        <v>4342</v>
      </c>
      <c r="D305">
        <v>2025</v>
      </c>
      <c r="E305" t="s">
        <v>4343</v>
      </c>
      <c r="F305">
        <v>44</v>
      </c>
      <c r="G305" t="str">
        <f t="shared" si="12"/>
        <v>October</v>
      </c>
      <c r="H305" t="str">
        <f t="shared" si="13"/>
        <v>Q4</v>
      </c>
      <c r="I305">
        <f t="shared" si="14"/>
        <v>2025</v>
      </c>
    </row>
    <row r="306" spans="1:9" x14ac:dyDescent="0.3">
      <c r="A306" s="1">
        <v>45962</v>
      </c>
      <c r="B306">
        <v>11</v>
      </c>
      <c r="C306" t="s">
        <v>4342</v>
      </c>
      <c r="D306">
        <v>2025</v>
      </c>
      <c r="E306" t="s">
        <v>4344</v>
      </c>
      <c r="F306">
        <v>44</v>
      </c>
      <c r="G306" t="str">
        <f t="shared" si="12"/>
        <v>November</v>
      </c>
      <c r="H306" t="str">
        <f t="shared" si="13"/>
        <v>Q4</v>
      </c>
      <c r="I306">
        <f t="shared" si="14"/>
        <v>2025</v>
      </c>
    </row>
    <row r="307" spans="1:9" x14ac:dyDescent="0.3">
      <c r="A307" s="1">
        <v>45963</v>
      </c>
      <c r="B307">
        <v>11</v>
      </c>
      <c r="C307" t="s">
        <v>4342</v>
      </c>
      <c r="D307">
        <v>2025</v>
      </c>
      <c r="E307" t="s">
        <v>4344</v>
      </c>
      <c r="F307">
        <v>44</v>
      </c>
      <c r="G307" t="str">
        <f t="shared" si="12"/>
        <v>November</v>
      </c>
      <c r="H307" t="str">
        <f t="shared" si="13"/>
        <v>Q4</v>
      </c>
      <c r="I307">
        <f t="shared" si="14"/>
        <v>2025</v>
      </c>
    </row>
    <row r="308" spans="1:9" x14ac:dyDescent="0.3">
      <c r="A308" s="1">
        <v>45964</v>
      </c>
      <c r="B308">
        <v>11</v>
      </c>
      <c r="C308" t="s">
        <v>4342</v>
      </c>
      <c r="D308">
        <v>2025</v>
      </c>
      <c r="E308" t="s">
        <v>4344</v>
      </c>
      <c r="F308">
        <v>45</v>
      </c>
      <c r="G308" t="str">
        <f t="shared" si="12"/>
        <v>November</v>
      </c>
      <c r="H308" t="str">
        <f t="shared" si="13"/>
        <v>Q4</v>
      </c>
      <c r="I308">
        <f t="shared" si="14"/>
        <v>2025</v>
      </c>
    </row>
    <row r="309" spans="1:9" x14ac:dyDescent="0.3">
      <c r="A309" s="1">
        <v>45965</v>
      </c>
      <c r="B309">
        <v>11</v>
      </c>
      <c r="C309" t="s">
        <v>4342</v>
      </c>
      <c r="D309">
        <v>2025</v>
      </c>
      <c r="E309" t="s">
        <v>4344</v>
      </c>
      <c r="F309">
        <v>45</v>
      </c>
      <c r="G309" t="str">
        <f t="shared" si="12"/>
        <v>November</v>
      </c>
      <c r="H309" t="str">
        <f t="shared" si="13"/>
        <v>Q4</v>
      </c>
      <c r="I309">
        <f t="shared" si="14"/>
        <v>2025</v>
      </c>
    </row>
    <row r="310" spans="1:9" x14ac:dyDescent="0.3">
      <c r="A310" s="1">
        <v>45966</v>
      </c>
      <c r="B310">
        <v>11</v>
      </c>
      <c r="C310" t="s">
        <v>4342</v>
      </c>
      <c r="D310">
        <v>2025</v>
      </c>
      <c r="E310" t="s">
        <v>4344</v>
      </c>
      <c r="F310">
        <v>45</v>
      </c>
      <c r="G310" t="str">
        <f t="shared" si="12"/>
        <v>November</v>
      </c>
      <c r="H310" t="str">
        <f t="shared" si="13"/>
        <v>Q4</v>
      </c>
      <c r="I310">
        <f t="shared" si="14"/>
        <v>2025</v>
      </c>
    </row>
    <row r="311" spans="1:9" x14ac:dyDescent="0.3">
      <c r="A311" s="1">
        <v>45967</v>
      </c>
      <c r="B311">
        <v>11</v>
      </c>
      <c r="C311" t="s">
        <v>4342</v>
      </c>
      <c r="D311">
        <v>2025</v>
      </c>
      <c r="E311" t="s">
        <v>4344</v>
      </c>
      <c r="F311">
        <v>45</v>
      </c>
      <c r="G311" t="str">
        <f t="shared" si="12"/>
        <v>November</v>
      </c>
      <c r="H311" t="str">
        <f t="shared" si="13"/>
        <v>Q4</v>
      </c>
      <c r="I311">
        <f t="shared" si="14"/>
        <v>2025</v>
      </c>
    </row>
    <row r="312" spans="1:9" x14ac:dyDescent="0.3">
      <c r="A312" s="1">
        <v>45968</v>
      </c>
      <c r="B312">
        <v>11</v>
      </c>
      <c r="C312" t="s">
        <v>4342</v>
      </c>
      <c r="D312">
        <v>2025</v>
      </c>
      <c r="E312" t="s">
        <v>4344</v>
      </c>
      <c r="F312">
        <v>45</v>
      </c>
      <c r="G312" t="str">
        <f t="shared" si="12"/>
        <v>November</v>
      </c>
      <c r="H312" t="str">
        <f t="shared" si="13"/>
        <v>Q4</v>
      </c>
      <c r="I312">
        <f t="shared" si="14"/>
        <v>2025</v>
      </c>
    </row>
    <row r="313" spans="1:9" x14ac:dyDescent="0.3">
      <c r="A313" s="1">
        <v>45969</v>
      </c>
      <c r="B313">
        <v>11</v>
      </c>
      <c r="C313" t="s">
        <v>4342</v>
      </c>
      <c r="D313">
        <v>2025</v>
      </c>
      <c r="E313" t="s">
        <v>4344</v>
      </c>
      <c r="F313">
        <v>45</v>
      </c>
      <c r="G313" t="str">
        <f t="shared" si="12"/>
        <v>November</v>
      </c>
      <c r="H313" t="str">
        <f t="shared" si="13"/>
        <v>Q4</v>
      </c>
      <c r="I313">
        <f t="shared" si="14"/>
        <v>2025</v>
      </c>
    </row>
    <row r="314" spans="1:9" x14ac:dyDescent="0.3">
      <c r="A314" s="1">
        <v>45970</v>
      </c>
      <c r="B314">
        <v>11</v>
      </c>
      <c r="C314" t="s">
        <v>4342</v>
      </c>
      <c r="D314">
        <v>2025</v>
      </c>
      <c r="E314" t="s">
        <v>4344</v>
      </c>
      <c r="F314">
        <v>45</v>
      </c>
      <c r="G314" t="str">
        <f t="shared" si="12"/>
        <v>November</v>
      </c>
      <c r="H314" t="str">
        <f t="shared" si="13"/>
        <v>Q4</v>
      </c>
      <c r="I314">
        <f t="shared" si="14"/>
        <v>2025</v>
      </c>
    </row>
    <row r="315" spans="1:9" x14ac:dyDescent="0.3">
      <c r="A315" s="1">
        <v>45971</v>
      </c>
      <c r="B315">
        <v>11</v>
      </c>
      <c r="C315" t="s">
        <v>4342</v>
      </c>
      <c r="D315">
        <v>2025</v>
      </c>
      <c r="E315" t="s">
        <v>4344</v>
      </c>
      <c r="F315">
        <v>46</v>
      </c>
      <c r="G315" t="str">
        <f t="shared" si="12"/>
        <v>November</v>
      </c>
      <c r="H315" t="str">
        <f t="shared" si="13"/>
        <v>Q4</v>
      </c>
      <c r="I315">
        <f t="shared" si="14"/>
        <v>2025</v>
      </c>
    </row>
    <row r="316" spans="1:9" x14ac:dyDescent="0.3">
      <c r="A316" s="1">
        <v>45972</v>
      </c>
      <c r="B316">
        <v>11</v>
      </c>
      <c r="C316" t="s">
        <v>4342</v>
      </c>
      <c r="D316">
        <v>2025</v>
      </c>
      <c r="E316" t="s">
        <v>4344</v>
      </c>
      <c r="F316">
        <v>46</v>
      </c>
      <c r="G316" t="str">
        <f t="shared" si="12"/>
        <v>November</v>
      </c>
      <c r="H316" t="str">
        <f t="shared" si="13"/>
        <v>Q4</v>
      </c>
      <c r="I316">
        <f t="shared" si="14"/>
        <v>2025</v>
      </c>
    </row>
    <row r="317" spans="1:9" x14ac:dyDescent="0.3">
      <c r="A317" s="1">
        <v>45973</v>
      </c>
      <c r="B317">
        <v>11</v>
      </c>
      <c r="C317" t="s">
        <v>4342</v>
      </c>
      <c r="D317">
        <v>2025</v>
      </c>
      <c r="E317" t="s">
        <v>4344</v>
      </c>
      <c r="F317">
        <v>46</v>
      </c>
      <c r="G317" t="str">
        <f t="shared" si="12"/>
        <v>November</v>
      </c>
      <c r="H317" t="str">
        <f t="shared" si="13"/>
        <v>Q4</v>
      </c>
      <c r="I317">
        <f t="shared" si="14"/>
        <v>2025</v>
      </c>
    </row>
    <row r="318" spans="1:9" x14ac:dyDescent="0.3">
      <c r="A318" s="1">
        <v>45974</v>
      </c>
      <c r="B318">
        <v>11</v>
      </c>
      <c r="C318" t="s">
        <v>4342</v>
      </c>
      <c r="D318">
        <v>2025</v>
      </c>
      <c r="E318" t="s">
        <v>4344</v>
      </c>
      <c r="F318">
        <v>46</v>
      </c>
      <c r="G318" t="str">
        <f t="shared" si="12"/>
        <v>November</v>
      </c>
      <c r="H318" t="str">
        <f t="shared" si="13"/>
        <v>Q4</v>
      </c>
      <c r="I318">
        <f t="shared" si="14"/>
        <v>2025</v>
      </c>
    </row>
    <row r="319" spans="1:9" x14ac:dyDescent="0.3">
      <c r="A319" s="1">
        <v>45975</v>
      </c>
      <c r="B319">
        <v>11</v>
      </c>
      <c r="C319" t="s">
        <v>4342</v>
      </c>
      <c r="D319">
        <v>2025</v>
      </c>
      <c r="E319" t="s">
        <v>4344</v>
      </c>
      <c r="F319">
        <v>46</v>
      </c>
      <c r="G319" t="str">
        <f t="shared" si="12"/>
        <v>November</v>
      </c>
      <c r="H319" t="str">
        <f t="shared" si="13"/>
        <v>Q4</v>
      </c>
      <c r="I319">
        <f t="shared" si="14"/>
        <v>2025</v>
      </c>
    </row>
    <row r="320" spans="1:9" x14ac:dyDescent="0.3">
      <c r="A320" s="1">
        <v>45976</v>
      </c>
      <c r="B320">
        <v>11</v>
      </c>
      <c r="C320" t="s">
        <v>4342</v>
      </c>
      <c r="D320">
        <v>2025</v>
      </c>
      <c r="E320" t="s">
        <v>4344</v>
      </c>
      <c r="F320">
        <v>46</v>
      </c>
      <c r="G320" t="str">
        <f t="shared" si="12"/>
        <v>November</v>
      </c>
      <c r="H320" t="str">
        <f t="shared" si="13"/>
        <v>Q4</v>
      </c>
      <c r="I320">
        <f t="shared" si="14"/>
        <v>2025</v>
      </c>
    </row>
    <row r="321" spans="1:9" x14ac:dyDescent="0.3">
      <c r="A321" s="1">
        <v>45977</v>
      </c>
      <c r="B321">
        <v>11</v>
      </c>
      <c r="C321" t="s">
        <v>4342</v>
      </c>
      <c r="D321">
        <v>2025</v>
      </c>
      <c r="E321" t="s">
        <v>4344</v>
      </c>
      <c r="F321">
        <v>46</v>
      </c>
      <c r="G321" t="str">
        <f t="shared" si="12"/>
        <v>November</v>
      </c>
      <c r="H321" t="str">
        <f t="shared" si="13"/>
        <v>Q4</v>
      </c>
      <c r="I321">
        <f t="shared" si="14"/>
        <v>2025</v>
      </c>
    </row>
    <row r="322" spans="1:9" x14ac:dyDescent="0.3">
      <c r="A322" s="1">
        <v>45978</v>
      </c>
      <c r="B322">
        <v>11</v>
      </c>
      <c r="C322" t="s">
        <v>4342</v>
      </c>
      <c r="D322">
        <v>2025</v>
      </c>
      <c r="E322" t="s">
        <v>4344</v>
      </c>
      <c r="F322">
        <v>47</v>
      </c>
      <c r="G322" t="str">
        <f t="shared" ref="G322:G366" si="15">TEXT(A322,"mmmm")</f>
        <v>November</v>
      </c>
      <c r="H322" t="str">
        <f t="shared" ref="H322:H366" si="16">"Q"&amp;ROUNDUP(MONTH(A322)/3,0)</f>
        <v>Q4</v>
      </c>
      <c r="I322">
        <f t="shared" ref="I322:I366" si="17">YEAR(A322)</f>
        <v>2025</v>
      </c>
    </row>
    <row r="323" spans="1:9" x14ac:dyDescent="0.3">
      <c r="A323" s="1">
        <v>45979</v>
      </c>
      <c r="B323">
        <v>11</v>
      </c>
      <c r="C323" t="s">
        <v>4342</v>
      </c>
      <c r="D323">
        <v>2025</v>
      </c>
      <c r="E323" t="s">
        <v>4344</v>
      </c>
      <c r="F323">
        <v>47</v>
      </c>
      <c r="G323" t="str">
        <f t="shared" si="15"/>
        <v>November</v>
      </c>
      <c r="H323" t="str">
        <f t="shared" si="16"/>
        <v>Q4</v>
      </c>
      <c r="I323">
        <f t="shared" si="17"/>
        <v>2025</v>
      </c>
    </row>
    <row r="324" spans="1:9" x14ac:dyDescent="0.3">
      <c r="A324" s="1">
        <v>45980</v>
      </c>
      <c r="B324">
        <v>11</v>
      </c>
      <c r="C324" t="s">
        <v>4342</v>
      </c>
      <c r="D324">
        <v>2025</v>
      </c>
      <c r="E324" t="s">
        <v>4344</v>
      </c>
      <c r="F324">
        <v>47</v>
      </c>
      <c r="G324" t="str">
        <f t="shared" si="15"/>
        <v>November</v>
      </c>
      <c r="H324" t="str">
        <f t="shared" si="16"/>
        <v>Q4</v>
      </c>
      <c r="I324">
        <f t="shared" si="17"/>
        <v>2025</v>
      </c>
    </row>
    <row r="325" spans="1:9" x14ac:dyDescent="0.3">
      <c r="A325" s="1">
        <v>45981</v>
      </c>
      <c r="B325">
        <v>11</v>
      </c>
      <c r="C325" t="s">
        <v>4342</v>
      </c>
      <c r="D325">
        <v>2025</v>
      </c>
      <c r="E325" t="s">
        <v>4344</v>
      </c>
      <c r="F325">
        <v>47</v>
      </c>
      <c r="G325" t="str">
        <f t="shared" si="15"/>
        <v>November</v>
      </c>
      <c r="H325" t="str">
        <f t="shared" si="16"/>
        <v>Q4</v>
      </c>
      <c r="I325">
        <f t="shared" si="17"/>
        <v>2025</v>
      </c>
    </row>
    <row r="326" spans="1:9" x14ac:dyDescent="0.3">
      <c r="A326" s="1">
        <v>45982</v>
      </c>
      <c r="B326">
        <v>11</v>
      </c>
      <c r="C326" t="s">
        <v>4342</v>
      </c>
      <c r="D326">
        <v>2025</v>
      </c>
      <c r="E326" t="s">
        <v>4344</v>
      </c>
      <c r="F326">
        <v>47</v>
      </c>
      <c r="G326" t="str">
        <f t="shared" si="15"/>
        <v>November</v>
      </c>
      <c r="H326" t="str">
        <f t="shared" si="16"/>
        <v>Q4</v>
      </c>
      <c r="I326">
        <f t="shared" si="17"/>
        <v>2025</v>
      </c>
    </row>
    <row r="327" spans="1:9" x14ac:dyDescent="0.3">
      <c r="A327" s="1">
        <v>45983</v>
      </c>
      <c r="B327">
        <v>11</v>
      </c>
      <c r="C327" t="s">
        <v>4342</v>
      </c>
      <c r="D327">
        <v>2025</v>
      </c>
      <c r="E327" t="s">
        <v>4344</v>
      </c>
      <c r="F327">
        <v>47</v>
      </c>
      <c r="G327" t="str">
        <f t="shared" si="15"/>
        <v>November</v>
      </c>
      <c r="H327" t="str">
        <f t="shared" si="16"/>
        <v>Q4</v>
      </c>
      <c r="I327">
        <f t="shared" si="17"/>
        <v>2025</v>
      </c>
    </row>
    <row r="328" spans="1:9" x14ac:dyDescent="0.3">
      <c r="A328" s="1">
        <v>45984</v>
      </c>
      <c r="B328">
        <v>11</v>
      </c>
      <c r="C328" t="s">
        <v>4342</v>
      </c>
      <c r="D328">
        <v>2025</v>
      </c>
      <c r="E328" t="s">
        <v>4344</v>
      </c>
      <c r="F328">
        <v>47</v>
      </c>
      <c r="G328" t="str">
        <f t="shared" si="15"/>
        <v>November</v>
      </c>
      <c r="H328" t="str">
        <f t="shared" si="16"/>
        <v>Q4</v>
      </c>
      <c r="I328">
        <f t="shared" si="17"/>
        <v>2025</v>
      </c>
    </row>
    <row r="329" spans="1:9" x14ac:dyDescent="0.3">
      <c r="A329" s="1">
        <v>45985</v>
      </c>
      <c r="B329">
        <v>11</v>
      </c>
      <c r="C329" t="s">
        <v>4342</v>
      </c>
      <c r="D329">
        <v>2025</v>
      </c>
      <c r="E329" t="s">
        <v>4344</v>
      </c>
      <c r="F329">
        <v>48</v>
      </c>
      <c r="G329" t="str">
        <f t="shared" si="15"/>
        <v>November</v>
      </c>
      <c r="H329" t="str">
        <f t="shared" si="16"/>
        <v>Q4</v>
      </c>
      <c r="I329">
        <f t="shared" si="17"/>
        <v>2025</v>
      </c>
    </row>
    <row r="330" spans="1:9" x14ac:dyDescent="0.3">
      <c r="A330" s="1">
        <v>45986</v>
      </c>
      <c r="B330">
        <v>11</v>
      </c>
      <c r="C330" t="s">
        <v>4342</v>
      </c>
      <c r="D330">
        <v>2025</v>
      </c>
      <c r="E330" t="s">
        <v>4344</v>
      </c>
      <c r="F330">
        <v>48</v>
      </c>
      <c r="G330" t="str">
        <f t="shared" si="15"/>
        <v>November</v>
      </c>
      <c r="H330" t="str">
        <f t="shared" si="16"/>
        <v>Q4</v>
      </c>
      <c r="I330">
        <f t="shared" si="17"/>
        <v>2025</v>
      </c>
    </row>
    <row r="331" spans="1:9" x14ac:dyDescent="0.3">
      <c r="A331" s="1">
        <v>45987</v>
      </c>
      <c r="B331">
        <v>11</v>
      </c>
      <c r="C331" t="s">
        <v>4342</v>
      </c>
      <c r="D331">
        <v>2025</v>
      </c>
      <c r="E331" t="s">
        <v>4344</v>
      </c>
      <c r="F331">
        <v>48</v>
      </c>
      <c r="G331" t="str">
        <f t="shared" si="15"/>
        <v>November</v>
      </c>
      <c r="H331" t="str">
        <f t="shared" si="16"/>
        <v>Q4</v>
      </c>
      <c r="I331">
        <f t="shared" si="17"/>
        <v>2025</v>
      </c>
    </row>
    <row r="332" spans="1:9" x14ac:dyDescent="0.3">
      <c r="A332" s="1">
        <v>45988</v>
      </c>
      <c r="B332">
        <v>11</v>
      </c>
      <c r="C332" t="s">
        <v>4342</v>
      </c>
      <c r="D332">
        <v>2025</v>
      </c>
      <c r="E332" t="s">
        <v>4344</v>
      </c>
      <c r="F332">
        <v>48</v>
      </c>
      <c r="G332" t="str">
        <f t="shared" si="15"/>
        <v>November</v>
      </c>
      <c r="H332" t="str">
        <f t="shared" si="16"/>
        <v>Q4</v>
      </c>
      <c r="I332">
        <f t="shared" si="17"/>
        <v>2025</v>
      </c>
    </row>
    <row r="333" spans="1:9" x14ac:dyDescent="0.3">
      <c r="A333" s="1">
        <v>45989</v>
      </c>
      <c r="B333">
        <v>11</v>
      </c>
      <c r="C333" t="s">
        <v>4342</v>
      </c>
      <c r="D333">
        <v>2025</v>
      </c>
      <c r="E333" t="s">
        <v>4344</v>
      </c>
      <c r="F333">
        <v>48</v>
      </c>
      <c r="G333" t="str">
        <f t="shared" si="15"/>
        <v>November</v>
      </c>
      <c r="H333" t="str">
        <f t="shared" si="16"/>
        <v>Q4</v>
      </c>
      <c r="I333">
        <f t="shared" si="17"/>
        <v>2025</v>
      </c>
    </row>
    <row r="334" spans="1:9" x14ac:dyDescent="0.3">
      <c r="A334" s="1">
        <v>45990</v>
      </c>
      <c r="B334">
        <v>11</v>
      </c>
      <c r="C334" t="s">
        <v>4342</v>
      </c>
      <c r="D334">
        <v>2025</v>
      </c>
      <c r="E334" t="s">
        <v>4344</v>
      </c>
      <c r="F334">
        <v>48</v>
      </c>
      <c r="G334" t="str">
        <f t="shared" si="15"/>
        <v>November</v>
      </c>
      <c r="H334" t="str">
        <f t="shared" si="16"/>
        <v>Q4</v>
      </c>
      <c r="I334">
        <f t="shared" si="17"/>
        <v>2025</v>
      </c>
    </row>
    <row r="335" spans="1:9" x14ac:dyDescent="0.3">
      <c r="A335" s="1">
        <v>45991</v>
      </c>
      <c r="B335">
        <v>11</v>
      </c>
      <c r="C335" t="s">
        <v>4342</v>
      </c>
      <c r="D335">
        <v>2025</v>
      </c>
      <c r="E335" t="s">
        <v>4344</v>
      </c>
      <c r="F335">
        <v>48</v>
      </c>
      <c r="G335" t="str">
        <f t="shared" si="15"/>
        <v>November</v>
      </c>
      <c r="H335" t="str">
        <f t="shared" si="16"/>
        <v>Q4</v>
      </c>
      <c r="I335">
        <f t="shared" si="17"/>
        <v>2025</v>
      </c>
    </row>
    <row r="336" spans="1:9" x14ac:dyDescent="0.3">
      <c r="A336" s="1">
        <v>45992</v>
      </c>
      <c r="B336">
        <v>12</v>
      </c>
      <c r="C336" t="s">
        <v>4342</v>
      </c>
      <c r="D336">
        <v>2025</v>
      </c>
      <c r="E336" t="s">
        <v>4345</v>
      </c>
      <c r="F336">
        <v>49</v>
      </c>
      <c r="G336" t="str">
        <f t="shared" si="15"/>
        <v>December</v>
      </c>
      <c r="H336" t="str">
        <f t="shared" si="16"/>
        <v>Q4</v>
      </c>
      <c r="I336">
        <f t="shared" si="17"/>
        <v>2025</v>
      </c>
    </row>
    <row r="337" spans="1:9" x14ac:dyDescent="0.3">
      <c r="A337" s="1">
        <v>45993</v>
      </c>
      <c r="B337">
        <v>12</v>
      </c>
      <c r="C337" t="s">
        <v>4342</v>
      </c>
      <c r="D337">
        <v>2025</v>
      </c>
      <c r="E337" t="s">
        <v>4345</v>
      </c>
      <c r="F337">
        <v>49</v>
      </c>
      <c r="G337" t="str">
        <f t="shared" si="15"/>
        <v>December</v>
      </c>
      <c r="H337" t="str">
        <f t="shared" si="16"/>
        <v>Q4</v>
      </c>
      <c r="I337">
        <f t="shared" si="17"/>
        <v>2025</v>
      </c>
    </row>
    <row r="338" spans="1:9" x14ac:dyDescent="0.3">
      <c r="A338" s="1">
        <v>45994</v>
      </c>
      <c r="B338">
        <v>12</v>
      </c>
      <c r="C338" t="s">
        <v>4342</v>
      </c>
      <c r="D338">
        <v>2025</v>
      </c>
      <c r="E338" t="s">
        <v>4345</v>
      </c>
      <c r="F338">
        <v>49</v>
      </c>
      <c r="G338" t="str">
        <f t="shared" si="15"/>
        <v>December</v>
      </c>
      <c r="H338" t="str">
        <f t="shared" si="16"/>
        <v>Q4</v>
      </c>
      <c r="I338">
        <f t="shared" si="17"/>
        <v>2025</v>
      </c>
    </row>
    <row r="339" spans="1:9" x14ac:dyDescent="0.3">
      <c r="A339" s="1">
        <v>45995</v>
      </c>
      <c r="B339">
        <v>12</v>
      </c>
      <c r="C339" t="s">
        <v>4342</v>
      </c>
      <c r="D339">
        <v>2025</v>
      </c>
      <c r="E339" t="s">
        <v>4345</v>
      </c>
      <c r="F339">
        <v>49</v>
      </c>
      <c r="G339" t="str">
        <f t="shared" si="15"/>
        <v>December</v>
      </c>
      <c r="H339" t="str">
        <f t="shared" si="16"/>
        <v>Q4</v>
      </c>
      <c r="I339">
        <f t="shared" si="17"/>
        <v>2025</v>
      </c>
    </row>
    <row r="340" spans="1:9" x14ac:dyDescent="0.3">
      <c r="A340" s="1">
        <v>45996</v>
      </c>
      <c r="B340">
        <v>12</v>
      </c>
      <c r="C340" t="s">
        <v>4342</v>
      </c>
      <c r="D340">
        <v>2025</v>
      </c>
      <c r="E340" t="s">
        <v>4345</v>
      </c>
      <c r="F340">
        <v>49</v>
      </c>
      <c r="G340" t="str">
        <f t="shared" si="15"/>
        <v>December</v>
      </c>
      <c r="H340" t="str">
        <f t="shared" si="16"/>
        <v>Q4</v>
      </c>
      <c r="I340">
        <f t="shared" si="17"/>
        <v>2025</v>
      </c>
    </row>
    <row r="341" spans="1:9" x14ac:dyDescent="0.3">
      <c r="A341" s="1">
        <v>45997</v>
      </c>
      <c r="B341">
        <v>12</v>
      </c>
      <c r="C341" t="s">
        <v>4342</v>
      </c>
      <c r="D341">
        <v>2025</v>
      </c>
      <c r="E341" t="s">
        <v>4345</v>
      </c>
      <c r="F341">
        <v>49</v>
      </c>
      <c r="G341" t="str">
        <f t="shared" si="15"/>
        <v>December</v>
      </c>
      <c r="H341" t="str">
        <f t="shared" si="16"/>
        <v>Q4</v>
      </c>
      <c r="I341">
        <f t="shared" si="17"/>
        <v>2025</v>
      </c>
    </row>
    <row r="342" spans="1:9" x14ac:dyDescent="0.3">
      <c r="A342" s="1">
        <v>45998</v>
      </c>
      <c r="B342">
        <v>12</v>
      </c>
      <c r="C342" t="s">
        <v>4342</v>
      </c>
      <c r="D342">
        <v>2025</v>
      </c>
      <c r="E342" t="s">
        <v>4345</v>
      </c>
      <c r="F342">
        <v>49</v>
      </c>
      <c r="G342" t="str">
        <f t="shared" si="15"/>
        <v>December</v>
      </c>
      <c r="H342" t="str">
        <f t="shared" si="16"/>
        <v>Q4</v>
      </c>
      <c r="I342">
        <f t="shared" si="17"/>
        <v>2025</v>
      </c>
    </row>
    <row r="343" spans="1:9" x14ac:dyDescent="0.3">
      <c r="A343" s="1">
        <v>45999</v>
      </c>
      <c r="B343">
        <v>12</v>
      </c>
      <c r="C343" t="s">
        <v>4342</v>
      </c>
      <c r="D343">
        <v>2025</v>
      </c>
      <c r="E343" t="s">
        <v>4345</v>
      </c>
      <c r="F343">
        <v>50</v>
      </c>
      <c r="G343" t="str">
        <f t="shared" si="15"/>
        <v>December</v>
      </c>
      <c r="H343" t="str">
        <f t="shared" si="16"/>
        <v>Q4</v>
      </c>
      <c r="I343">
        <f t="shared" si="17"/>
        <v>2025</v>
      </c>
    </row>
    <row r="344" spans="1:9" x14ac:dyDescent="0.3">
      <c r="A344" s="1">
        <v>46000</v>
      </c>
      <c r="B344">
        <v>12</v>
      </c>
      <c r="C344" t="s">
        <v>4342</v>
      </c>
      <c r="D344">
        <v>2025</v>
      </c>
      <c r="E344" t="s">
        <v>4345</v>
      </c>
      <c r="F344">
        <v>50</v>
      </c>
      <c r="G344" t="str">
        <f t="shared" si="15"/>
        <v>December</v>
      </c>
      <c r="H344" t="str">
        <f t="shared" si="16"/>
        <v>Q4</v>
      </c>
      <c r="I344">
        <f t="shared" si="17"/>
        <v>2025</v>
      </c>
    </row>
    <row r="345" spans="1:9" x14ac:dyDescent="0.3">
      <c r="A345" s="1">
        <v>46001</v>
      </c>
      <c r="B345">
        <v>12</v>
      </c>
      <c r="C345" t="s">
        <v>4342</v>
      </c>
      <c r="D345">
        <v>2025</v>
      </c>
      <c r="E345" t="s">
        <v>4345</v>
      </c>
      <c r="F345">
        <v>50</v>
      </c>
      <c r="G345" t="str">
        <f t="shared" si="15"/>
        <v>December</v>
      </c>
      <c r="H345" t="str">
        <f t="shared" si="16"/>
        <v>Q4</v>
      </c>
      <c r="I345">
        <f t="shared" si="17"/>
        <v>2025</v>
      </c>
    </row>
    <row r="346" spans="1:9" x14ac:dyDescent="0.3">
      <c r="A346" s="1">
        <v>46002</v>
      </c>
      <c r="B346">
        <v>12</v>
      </c>
      <c r="C346" t="s">
        <v>4342</v>
      </c>
      <c r="D346">
        <v>2025</v>
      </c>
      <c r="E346" t="s">
        <v>4345</v>
      </c>
      <c r="F346">
        <v>50</v>
      </c>
      <c r="G346" t="str">
        <f t="shared" si="15"/>
        <v>December</v>
      </c>
      <c r="H346" t="str">
        <f t="shared" si="16"/>
        <v>Q4</v>
      </c>
      <c r="I346">
        <f t="shared" si="17"/>
        <v>2025</v>
      </c>
    </row>
    <row r="347" spans="1:9" x14ac:dyDescent="0.3">
      <c r="A347" s="1">
        <v>46003</v>
      </c>
      <c r="B347">
        <v>12</v>
      </c>
      <c r="C347" t="s">
        <v>4342</v>
      </c>
      <c r="D347">
        <v>2025</v>
      </c>
      <c r="E347" t="s">
        <v>4345</v>
      </c>
      <c r="F347">
        <v>50</v>
      </c>
      <c r="G347" t="str">
        <f t="shared" si="15"/>
        <v>December</v>
      </c>
      <c r="H347" t="str">
        <f t="shared" si="16"/>
        <v>Q4</v>
      </c>
      <c r="I347">
        <f t="shared" si="17"/>
        <v>2025</v>
      </c>
    </row>
    <row r="348" spans="1:9" x14ac:dyDescent="0.3">
      <c r="A348" s="1">
        <v>46004</v>
      </c>
      <c r="B348">
        <v>12</v>
      </c>
      <c r="C348" t="s">
        <v>4342</v>
      </c>
      <c r="D348">
        <v>2025</v>
      </c>
      <c r="E348" t="s">
        <v>4345</v>
      </c>
      <c r="F348">
        <v>50</v>
      </c>
      <c r="G348" t="str">
        <f t="shared" si="15"/>
        <v>December</v>
      </c>
      <c r="H348" t="str">
        <f t="shared" si="16"/>
        <v>Q4</v>
      </c>
      <c r="I348">
        <f t="shared" si="17"/>
        <v>2025</v>
      </c>
    </row>
    <row r="349" spans="1:9" x14ac:dyDescent="0.3">
      <c r="A349" s="1">
        <v>46005</v>
      </c>
      <c r="B349">
        <v>12</v>
      </c>
      <c r="C349" t="s">
        <v>4342</v>
      </c>
      <c r="D349">
        <v>2025</v>
      </c>
      <c r="E349" t="s">
        <v>4345</v>
      </c>
      <c r="F349">
        <v>50</v>
      </c>
      <c r="G349" t="str">
        <f t="shared" si="15"/>
        <v>December</v>
      </c>
      <c r="H349" t="str">
        <f t="shared" si="16"/>
        <v>Q4</v>
      </c>
      <c r="I349">
        <f t="shared" si="17"/>
        <v>2025</v>
      </c>
    </row>
    <row r="350" spans="1:9" x14ac:dyDescent="0.3">
      <c r="A350" s="1">
        <v>46006</v>
      </c>
      <c r="B350">
        <v>12</v>
      </c>
      <c r="C350" t="s">
        <v>4342</v>
      </c>
      <c r="D350">
        <v>2025</v>
      </c>
      <c r="E350" t="s">
        <v>4345</v>
      </c>
      <c r="F350">
        <v>51</v>
      </c>
      <c r="G350" t="str">
        <f t="shared" si="15"/>
        <v>December</v>
      </c>
      <c r="H350" t="str">
        <f t="shared" si="16"/>
        <v>Q4</v>
      </c>
      <c r="I350">
        <f t="shared" si="17"/>
        <v>2025</v>
      </c>
    </row>
    <row r="351" spans="1:9" x14ac:dyDescent="0.3">
      <c r="A351" s="1">
        <v>46007</v>
      </c>
      <c r="B351">
        <v>12</v>
      </c>
      <c r="C351" t="s">
        <v>4342</v>
      </c>
      <c r="D351">
        <v>2025</v>
      </c>
      <c r="E351" t="s">
        <v>4345</v>
      </c>
      <c r="F351">
        <v>51</v>
      </c>
      <c r="G351" t="str">
        <f t="shared" si="15"/>
        <v>December</v>
      </c>
      <c r="H351" t="str">
        <f t="shared" si="16"/>
        <v>Q4</v>
      </c>
      <c r="I351">
        <f t="shared" si="17"/>
        <v>2025</v>
      </c>
    </row>
    <row r="352" spans="1:9" x14ac:dyDescent="0.3">
      <c r="A352" s="1">
        <v>46008</v>
      </c>
      <c r="B352">
        <v>12</v>
      </c>
      <c r="C352" t="s">
        <v>4342</v>
      </c>
      <c r="D352">
        <v>2025</v>
      </c>
      <c r="E352" t="s">
        <v>4345</v>
      </c>
      <c r="F352">
        <v>51</v>
      </c>
      <c r="G352" t="str">
        <f t="shared" si="15"/>
        <v>December</v>
      </c>
      <c r="H352" t="str">
        <f t="shared" si="16"/>
        <v>Q4</v>
      </c>
      <c r="I352">
        <f t="shared" si="17"/>
        <v>2025</v>
      </c>
    </row>
    <row r="353" spans="1:9" x14ac:dyDescent="0.3">
      <c r="A353" s="1">
        <v>46009</v>
      </c>
      <c r="B353">
        <v>12</v>
      </c>
      <c r="C353" t="s">
        <v>4342</v>
      </c>
      <c r="D353">
        <v>2025</v>
      </c>
      <c r="E353" t="s">
        <v>4345</v>
      </c>
      <c r="F353">
        <v>51</v>
      </c>
      <c r="G353" t="str">
        <f t="shared" si="15"/>
        <v>December</v>
      </c>
      <c r="H353" t="str">
        <f t="shared" si="16"/>
        <v>Q4</v>
      </c>
      <c r="I353">
        <f t="shared" si="17"/>
        <v>2025</v>
      </c>
    </row>
    <row r="354" spans="1:9" x14ac:dyDescent="0.3">
      <c r="A354" s="1">
        <v>46010</v>
      </c>
      <c r="B354">
        <v>12</v>
      </c>
      <c r="C354" t="s">
        <v>4342</v>
      </c>
      <c r="D354">
        <v>2025</v>
      </c>
      <c r="E354" t="s">
        <v>4345</v>
      </c>
      <c r="F354">
        <v>51</v>
      </c>
      <c r="G354" t="str">
        <f t="shared" si="15"/>
        <v>December</v>
      </c>
      <c r="H354" t="str">
        <f t="shared" si="16"/>
        <v>Q4</v>
      </c>
      <c r="I354">
        <f t="shared" si="17"/>
        <v>2025</v>
      </c>
    </row>
    <row r="355" spans="1:9" x14ac:dyDescent="0.3">
      <c r="A355" s="1">
        <v>46011</v>
      </c>
      <c r="B355">
        <v>12</v>
      </c>
      <c r="C355" t="s">
        <v>4342</v>
      </c>
      <c r="D355">
        <v>2025</v>
      </c>
      <c r="E355" t="s">
        <v>4345</v>
      </c>
      <c r="F355">
        <v>51</v>
      </c>
      <c r="G355" t="str">
        <f t="shared" si="15"/>
        <v>December</v>
      </c>
      <c r="H355" t="str">
        <f t="shared" si="16"/>
        <v>Q4</v>
      </c>
      <c r="I355">
        <f t="shared" si="17"/>
        <v>2025</v>
      </c>
    </row>
    <row r="356" spans="1:9" x14ac:dyDescent="0.3">
      <c r="A356" s="1">
        <v>46012</v>
      </c>
      <c r="B356">
        <v>12</v>
      </c>
      <c r="C356" t="s">
        <v>4342</v>
      </c>
      <c r="D356">
        <v>2025</v>
      </c>
      <c r="E356" t="s">
        <v>4345</v>
      </c>
      <c r="F356">
        <v>51</v>
      </c>
      <c r="G356" t="str">
        <f t="shared" si="15"/>
        <v>December</v>
      </c>
      <c r="H356" t="str">
        <f t="shared" si="16"/>
        <v>Q4</v>
      </c>
      <c r="I356">
        <f t="shared" si="17"/>
        <v>2025</v>
      </c>
    </row>
    <row r="357" spans="1:9" x14ac:dyDescent="0.3">
      <c r="A357" s="1">
        <v>46013</v>
      </c>
      <c r="B357">
        <v>12</v>
      </c>
      <c r="C357" t="s">
        <v>4342</v>
      </c>
      <c r="D357">
        <v>2025</v>
      </c>
      <c r="E357" t="s">
        <v>4345</v>
      </c>
      <c r="F357">
        <v>52</v>
      </c>
      <c r="G357" t="str">
        <f t="shared" si="15"/>
        <v>December</v>
      </c>
      <c r="H357" t="str">
        <f t="shared" si="16"/>
        <v>Q4</v>
      </c>
      <c r="I357">
        <f t="shared" si="17"/>
        <v>2025</v>
      </c>
    </row>
    <row r="358" spans="1:9" x14ac:dyDescent="0.3">
      <c r="A358" s="1">
        <v>46014</v>
      </c>
      <c r="B358">
        <v>12</v>
      </c>
      <c r="C358" t="s">
        <v>4342</v>
      </c>
      <c r="D358">
        <v>2025</v>
      </c>
      <c r="E358" t="s">
        <v>4345</v>
      </c>
      <c r="F358">
        <v>52</v>
      </c>
      <c r="G358" t="str">
        <f t="shared" si="15"/>
        <v>December</v>
      </c>
      <c r="H358" t="str">
        <f t="shared" si="16"/>
        <v>Q4</v>
      </c>
      <c r="I358">
        <f t="shared" si="17"/>
        <v>2025</v>
      </c>
    </row>
    <row r="359" spans="1:9" x14ac:dyDescent="0.3">
      <c r="A359" s="1">
        <v>46015</v>
      </c>
      <c r="B359">
        <v>12</v>
      </c>
      <c r="C359" t="s">
        <v>4342</v>
      </c>
      <c r="D359">
        <v>2025</v>
      </c>
      <c r="E359" t="s">
        <v>4345</v>
      </c>
      <c r="F359">
        <v>52</v>
      </c>
      <c r="G359" t="str">
        <f t="shared" si="15"/>
        <v>December</v>
      </c>
      <c r="H359" t="str">
        <f t="shared" si="16"/>
        <v>Q4</v>
      </c>
      <c r="I359">
        <f t="shared" si="17"/>
        <v>2025</v>
      </c>
    </row>
    <row r="360" spans="1:9" x14ac:dyDescent="0.3">
      <c r="A360" s="1">
        <v>46016</v>
      </c>
      <c r="B360">
        <v>12</v>
      </c>
      <c r="C360" t="s">
        <v>4342</v>
      </c>
      <c r="D360">
        <v>2025</v>
      </c>
      <c r="E360" t="s">
        <v>4345</v>
      </c>
      <c r="F360">
        <v>52</v>
      </c>
      <c r="G360" t="str">
        <f t="shared" si="15"/>
        <v>December</v>
      </c>
      <c r="H360" t="str">
        <f t="shared" si="16"/>
        <v>Q4</v>
      </c>
      <c r="I360">
        <f t="shared" si="17"/>
        <v>2025</v>
      </c>
    </row>
    <row r="361" spans="1:9" x14ac:dyDescent="0.3">
      <c r="A361" s="1">
        <v>46017</v>
      </c>
      <c r="B361">
        <v>12</v>
      </c>
      <c r="C361" t="s">
        <v>4342</v>
      </c>
      <c r="D361">
        <v>2025</v>
      </c>
      <c r="E361" t="s">
        <v>4345</v>
      </c>
      <c r="F361">
        <v>52</v>
      </c>
      <c r="G361" t="str">
        <f t="shared" si="15"/>
        <v>December</v>
      </c>
      <c r="H361" t="str">
        <f t="shared" si="16"/>
        <v>Q4</v>
      </c>
      <c r="I361">
        <f t="shared" si="17"/>
        <v>2025</v>
      </c>
    </row>
    <row r="362" spans="1:9" x14ac:dyDescent="0.3">
      <c r="A362" s="1">
        <v>46018</v>
      </c>
      <c r="B362">
        <v>12</v>
      </c>
      <c r="C362" t="s">
        <v>4342</v>
      </c>
      <c r="D362">
        <v>2025</v>
      </c>
      <c r="E362" t="s">
        <v>4345</v>
      </c>
      <c r="F362">
        <v>52</v>
      </c>
      <c r="G362" t="str">
        <f t="shared" si="15"/>
        <v>December</v>
      </c>
      <c r="H362" t="str">
        <f t="shared" si="16"/>
        <v>Q4</v>
      </c>
      <c r="I362">
        <f t="shared" si="17"/>
        <v>2025</v>
      </c>
    </row>
    <row r="363" spans="1:9" x14ac:dyDescent="0.3">
      <c r="A363" s="1">
        <v>46019</v>
      </c>
      <c r="B363">
        <v>12</v>
      </c>
      <c r="C363" t="s">
        <v>4342</v>
      </c>
      <c r="D363">
        <v>2025</v>
      </c>
      <c r="E363" t="s">
        <v>4345</v>
      </c>
      <c r="F363">
        <v>52</v>
      </c>
      <c r="G363" t="str">
        <f t="shared" si="15"/>
        <v>December</v>
      </c>
      <c r="H363" t="str">
        <f t="shared" si="16"/>
        <v>Q4</v>
      </c>
      <c r="I363">
        <f t="shared" si="17"/>
        <v>2025</v>
      </c>
    </row>
    <row r="364" spans="1:9" x14ac:dyDescent="0.3">
      <c r="A364" s="1">
        <v>46020</v>
      </c>
      <c r="B364">
        <v>12</v>
      </c>
      <c r="C364" t="s">
        <v>4342</v>
      </c>
      <c r="D364">
        <v>2025</v>
      </c>
      <c r="E364" t="s">
        <v>4345</v>
      </c>
      <c r="F364">
        <v>1</v>
      </c>
      <c r="G364" t="str">
        <f t="shared" si="15"/>
        <v>December</v>
      </c>
      <c r="H364" t="str">
        <f t="shared" si="16"/>
        <v>Q4</v>
      </c>
      <c r="I364">
        <f t="shared" si="17"/>
        <v>2025</v>
      </c>
    </row>
    <row r="365" spans="1:9" x14ac:dyDescent="0.3">
      <c r="A365" s="1">
        <v>46021</v>
      </c>
      <c r="B365">
        <v>12</v>
      </c>
      <c r="C365" t="s">
        <v>4342</v>
      </c>
      <c r="D365">
        <v>2025</v>
      </c>
      <c r="E365" t="s">
        <v>4345</v>
      </c>
      <c r="F365">
        <v>1</v>
      </c>
      <c r="G365" t="str">
        <f t="shared" si="15"/>
        <v>December</v>
      </c>
      <c r="H365" t="str">
        <f t="shared" si="16"/>
        <v>Q4</v>
      </c>
      <c r="I365">
        <f t="shared" si="17"/>
        <v>2025</v>
      </c>
    </row>
    <row r="366" spans="1:9" x14ac:dyDescent="0.3">
      <c r="A366" s="1">
        <v>46022</v>
      </c>
      <c r="B366">
        <v>12</v>
      </c>
      <c r="C366" t="s">
        <v>4342</v>
      </c>
      <c r="D366">
        <v>2025</v>
      </c>
      <c r="E366" t="s">
        <v>4345</v>
      </c>
      <c r="F366">
        <v>1</v>
      </c>
      <c r="G366" t="str">
        <f t="shared" si="15"/>
        <v>December</v>
      </c>
      <c r="H366" t="str">
        <f t="shared" si="16"/>
        <v>Q4</v>
      </c>
      <c r="I366">
        <f t="shared" si="17"/>
        <v>2025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E3D9-0D0A-4555-8A9B-EE1B2A0DA544}">
  <dimension ref="A1:U1201"/>
  <sheetViews>
    <sheetView topLeftCell="A2" workbookViewId="0">
      <selection activeCell="O16" sqref="O16"/>
    </sheetView>
  </sheetViews>
  <sheetFormatPr defaultRowHeight="14.4" x14ac:dyDescent="0.3"/>
  <cols>
    <col min="1" max="1" width="14.109375" customWidth="1"/>
    <col min="2" max="2" width="12.44140625" customWidth="1"/>
    <col min="3" max="3" width="12.109375" customWidth="1"/>
    <col min="4" max="4" width="9" customWidth="1"/>
    <col min="10" max="10" width="18.33203125" customWidth="1"/>
    <col min="11" max="11" width="17.44140625" customWidth="1"/>
    <col min="12" max="12" width="13.21875" customWidth="1"/>
    <col min="13" max="13" width="14.77734375" customWidth="1"/>
    <col min="14" max="14" width="14.6640625" customWidth="1"/>
    <col min="16" max="16" width="14.109375" customWidth="1"/>
  </cols>
  <sheetData>
    <row r="1" spans="1:21" x14ac:dyDescent="0.3">
      <c r="A1" t="s">
        <v>1</v>
      </c>
      <c r="B1" t="s">
        <v>4346</v>
      </c>
      <c r="C1" t="s">
        <v>4347</v>
      </c>
      <c r="D1" t="s">
        <v>4348</v>
      </c>
      <c r="E1" t="s">
        <v>4349</v>
      </c>
      <c r="F1" t="s">
        <v>4350</v>
      </c>
      <c r="G1" t="s">
        <v>4351</v>
      </c>
      <c r="H1" t="s">
        <v>4352</v>
      </c>
      <c r="I1" t="s">
        <v>4353</v>
      </c>
      <c r="J1" t="s">
        <v>4354</v>
      </c>
      <c r="K1" t="s">
        <v>4355</v>
      </c>
      <c r="L1" t="s">
        <v>4356</v>
      </c>
      <c r="M1" t="s">
        <v>4357</v>
      </c>
      <c r="N1" t="s">
        <v>4358</v>
      </c>
      <c r="O1" t="s">
        <v>4359</v>
      </c>
      <c r="P1" t="s">
        <v>4360</v>
      </c>
      <c r="Q1" t="s">
        <v>6617</v>
      </c>
      <c r="R1" t="s">
        <v>6618</v>
      </c>
      <c r="S1" t="s">
        <v>6619</v>
      </c>
      <c r="T1" t="s">
        <v>6620</v>
      </c>
      <c r="U1" t="s">
        <v>6621</v>
      </c>
    </row>
    <row r="2" spans="1:21" x14ac:dyDescent="0.3">
      <c r="A2" t="s">
        <v>2784</v>
      </c>
      <c r="B2" t="s">
        <v>4361</v>
      </c>
      <c r="C2" t="s">
        <v>4362</v>
      </c>
      <c r="D2" t="s">
        <v>4363</v>
      </c>
      <c r="E2">
        <v>21</v>
      </c>
      <c r="F2" t="s">
        <v>4364</v>
      </c>
      <c r="G2">
        <v>9447391878</v>
      </c>
      <c r="H2" t="s">
        <v>4365</v>
      </c>
      <c r="I2" t="s">
        <v>4366</v>
      </c>
      <c r="J2" t="s">
        <v>4367</v>
      </c>
      <c r="K2">
        <v>1.3</v>
      </c>
      <c r="L2">
        <v>14.6</v>
      </c>
      <c r="M2">
        <v>20.6</v>
      </c>
      <c r="N2" t="s">
        <v>4368</v>
      </c>
      <c r="O2" t="s">
        <v>4369</v>
      </c>
      <c r="P2" s="1">
        <v>45829</v>
      </c>
      <c r="Q2" t="str">
        <f t="shared" ref="Q2:Q65" si="0">IF(P2&lt;=2,"0-2 Years",IF(P2&lt;=5,"3-5 Years",IF(P2&lt;=10,"6-10 Years","10+ Years")))</f>
        <v>10+ Years</v>
      </c>
      <c r="R2" t="str">
        <f>IF(Table7[[#This Row],[Age]]&lt;=25,"20-25",IF(Table7[[#This Row],[Age]]&lt;=30,"26-30",IF(Table7[[#This Row],[Age]]&lt;=35,"31-35","36+")))</f>
        <v>20-25</v>
      </c>
      <c r="S2" t="str">
        <f t="shared" ref="S2:S65" si="1">TEXT(P2,"mmmm")</f>
        <v>June</v>
      </c>
      <c r="T2" t="str">
        <f t="shared" ref="T2:T65" si="2">"Q"&amp;ROUNDUP(MONTH(P2)/3,0)</f>
        <v>Q2</v>
      </c>
      <c r="U2">
        <f t="shared" ref="U2:U65" si="3">YEAR(P2)</f>
        <v>2025</v>
      </c>
    </row>
    <row r="3" spans="1:21" x14ac:dyDescent="0.3">
      <c r="A3" t="s">
        <v>712</v>
      </c>
      <c r="B3" t="s">
        <v>4370</v>
      </c>
      <c r="C3" t="s">
        <v>4371</v>
      </c>
      <c r="D3" t="s">
        <v>4372</v>
      </c>
      <c r="E3">
        <v>29</v>
      </c>
      <c r="F3" t="s">
        <v>4373</v>
      </c>
      <c r="G3">
        <v>9399497598</v>
      </c>
      <c r="H3" t="s">
        <v>4374</v>
      </c>
      <c r="I3" t="s">
        <v>4375</v>
      </c>
      <c r="J3" t="s">
        <v>4376</v>
      </c>
      <c r="K3">
        <v>3.7</v>
      </c>
      <c r="L3">
        <v>8.5</v>
      </c>
      <c r="M3">
        <v>10.199999999999999</v>
      </c>
      <c r="N3" t="s">
        <v>4377</v>
      </c>
      <c r="O3" t="s">
        <v>4369</v>
      </c>
      <c r="P3" s="1">
        <v>45703</v>
      </c>
      <c r="Q3" t="str">
        <f>IF(P3&lt;=2,"0-2 Years",IF(P3&lt;=5,"3-5 Years",IF(P3&lt;=10,"6-10 Years","10+ Years")))</f>
        <v>10+ Years</v>
      </c>
      <c r="R3" t="str">
        <f>IF(Table7[[#This Row],[Age]]&lt;=25,"20-25",IF(Table7[[#This Row],[Age]]&lt;=30,"26-30",IF(Table7[[#This Row],[Age]]&lt;=35,"31-35","36+")))</f>
        <v>26-30</v>
      </c>
      <c r="S3" t="str">
        <f t="shared" si="1"/>
        <v>February</v>
      </c>
      <c r="T3" s="2" t="str">
        <f t="shared" si="2"/>
        <v>Q1</v>
      </c>
      <c r="U3" s="2">
        <f t="shared" si="3"/>
        <v>2025</v>
      </c>
    </row>
    <row r="4" spans="1:21" x14ac:dyDescent="0.3">
      <c r="A4" t="s">
        <v>3372</v>
      </c>
      <c r="B4" t="s">
        <v>4378</v>
      </c>
      <c r="C4" t="s">
        <v>4379</v>
      </c>
      <c r="D4" t="s">
        <v>4372</v>
      </c>
      <c r="E4">
        <v>21</v>
      </c>
      <c r="F4" t="s">
        <v>4380</v>
      </c>
      <c r="G4">
        <v>9144739552</v>
      </c>
      <c r="H4" t="s">
        <v>4381</v>
      </c>
      <c r="I4" t="s">
        <v>4382</v>
      </c>
      <c r="J4" t="s">
        <v>4367</v>
      </c>
      <c r="K4">
        <v>3.9</v>
      </c>
      <c r="L4">
        <v>14.8</v>
      </c>
      <c r="M4">
        <v>18.100000000000001</v>
      </c>
      <c r="N4" t="s">
        <v>4368</v>
      </c>
      <c r="O4" t="s">
        <v>4383</v>
      </c>
      <c r="P4" s="1">
        <v>45928</v>
      </c>
      <c r="Q4" t="str">
        <f t="shared" si="0"/>
        <v>10+ Years</v>
      </c>
      <c r="R4" t="str">
        <f>IF(Table7[[#This Row],[Age]]&lt;=25,"20-25",IF(Table7[[#This Row],[Age]]&lt;=30,"26-30",IF(Table7[[#This Row],[Age]]&lt;=35,"31-35","36+")))</f>
        <v>20-25</v>
      </c>
      <c r="S4" t="str">
        <f t="shared" si="1"/>
        <v>September</v>
      </c>
      <c r="T4" s="2" t="str">
        <f t="shared" si="2"/>
        <v>Q3</v>
      </c>
      <c r="U4" s="2">
        <f t="shared" si="3"/>
        <v>2025</v>
      </c>
    </row>
    <row r="5" spans="1:21" x14ac:dyDescent="0.3">
      <c r="A5" t="s">
        <v>499</v>
      </c>
      <c r="B5" t="s">
        <v>4384</v>
      </c>
      <c r="C5" t="s">
        <v>4385</v>
      </c>
      <c r="D5" t="s">
        <v>4363</v>
      </c>
      <c r="E5">
        <v>27</v>
      </c>
      <c r="F5" t="s">
        <v>4386</v>
      </c>
      <c r="G5">
        <v>9806032141</v>
      </c>
      <c r="H5" t="s">
        <v>4387</v>
      </c>
      <c r="I5" t="s">
        <v>4388</v>
      </c>
      <c r="J5" t="s">
        <v>4389</v>
      </c>
      <c r="K5">
        <v>4</v>
      </c>
      <c r="L5">
        <v>10.4</v>
      </c>
      <c r="M5">
        <v>14.7</v>
      </c>
      <c r="N5" t="s">
        <v>4390</v>
      </c>
      <c r="O5" t="s">
        <v>4391</v>
      </c>
      <c r="P5" s="1">
        <v>45911</v>
      </c>
      <c r="Q5" t="str">
        <f t="shared" si="0"/>
        <v>10+ Years</v>
      </c>
      <c r="R5" t="str">
        <f>IF(Table7[[#This Row],[Age]]&lt;=25,"20-25",IF(Table7[[#This Row],[Age]]&lt;=30,"26-30",IF(Table7[[#This Row],[Age]]&lt;=35,"31-35","36+")))</f>
        <v>26-30</v>
      </c>
      <c r="S5" t="str">
        <f t="shared" si="1"/>
        <v>September</v>
      </c>
      <c r="T5" s="2" t="str">
        <f t="shared" si="2"/>
        <v>Q3</v>
      </c>
      <c r="U5" s="2">
        <f t="shared" si="3"/>
        <v>2025</v>
      </c>
    </row>
    <row r="6" spans="1:21" x14ac:dyDescent="0.3">
      <c r="A6" t="s">
        <v>1150</v>
      </c>
      <c r="B6" t="s">
        <v>4392</v>
      </c>
      <c r="C6" t="s">
        <v>4393</v>
      </c>
      <c r="D6" t="s">
        <v>4372</v>
      </c>
      <c r="E6">
        <v>38</v>
      </c>
      <c r="F6" t="s">
        <v>4394</v>
      </c>
      <c r="G6">
        <v>9764331765</v>
      </c>
      <c r="H6" t="s">
        <v>4395</v>
      </c>
      <c r="I6" t="s">
        <v>4396</v>
      </c>
      <c r="J6" t="s">
        <v>4367</v>
      </c>
      <c r="K6">
        <v>10.8</v>
      </c>
      <c r="L6">
        <v>19.7</v>
      </c>
      <c r="M6">
        <v>27.4</v>
      </c>
      <c r="N6" t="s">
        <v>4390</v>
      </c>
      <c r="O6" t="s">
        <v>4383</v>
      </c>
      <c r="P6" s="1">
        <v>45877</v>
      </c>
      <c r="Q6" t="str">
        <f t="shared" si="0"/>
        <v>10+ Years</v>
      </c>
      <c r="R6" t="str">
        <f>IF(Table7[[#This Row],[Age]]&lt;=25,"20-25",IF(Table7[[#This Row],[Age]]&lt;=30,"26-30",IF(Table7[[#This Row],[Age]]&lt;=35,"31-35","36+")))</f>
        <v>36+</v>
      </c>
      <c r="S6" t="str">
        <f t="shared" si="1"/>
        <v>August</v>
      </c>
      <c r="T6" s="2" t="str">
        <f t="shared" si="2"/>
        <v>Q3</v>
      </c>
      <c r="U6" s="2">
        <f t="shared" si="3"/>
        <v>2025</v>
      </c>
    </row>
    <row r="7" spans="1:21" x14ac:dyDescent="0.3">
      <c r="A7" t="s">
        <v>4397</v>
      </c>
      <c r="B7" t="s">
        <v>4370</v>
      </c>
      <c r="C7" t="s">
        <v>4398</v>
      </c>
      <c r="D7" t="s">
        <v>4363</v>
      </c>
      <c r="E7">
        <v>23</v>
      </c>
      <c r="F7" t="s">
        <v>4399</v>
      </c>
      <c r="G7">
        <v>9249580406</v>
      </c>
      <c r="H7" t="s">
        <v>4387</v>
      </c>
      <c r="I7" t="s">
        <v>4388</v>
      </c>
      <c r="J7" t="s">
        <v>4376</v>
      </c>
      <c r="K7">
        <v>2.9</v>
      </c>
      <c r="L7">
        <v>15.3</v>
      </c>
      <c r="M7">
        <v>19.7</v>
      </c>
      <c r="N7" t="s">
        <v>4377</v>
      </c>
      <c r="O7" t="s">
        <v>4400</v>
      </c>
      <c r="P7" s="1">
        <v>46009</v>
      </c>
      <c r="Q7" t="str">
        <f t="shared" si="0"/>
        <v>10+ Years</v>
      </c>
      <c r="R7" t="str">
        <f>IF(Table7[[#This Row],[Age]]&lt;=25,"20-25",IF(Table7[[#This Row],[Age]]&lt;=30,"26-30",IF(Table7[[#This Row],[Age]]&lt;=35,"31-35","36+")))</f>
        <v>20-25</v>
      </c>
      <c r="S7" t="str">
        <f t="shared" si="1"/>
        <v>December</v>
      </c>
      <c r="T7" s="2" t="str">
        <f t="shared" si="2"/>
        <v>Q4</v>
      </c>
      <c r="U7" s="2">
        <f t="shared" si="3"/>
        <v>2025</v>
      </c>
    </row>
    <row r="8" spans="1:21" x14ac:dyDescent="0.3">
      <c r="A8" t="s">
        <v>1822</v>
      </c>
      <c r="B8" t="s">
        <v>4401</v>
      </c>
      <c r="C8" t="s">
        <v>4402</v>
      </c>
      <c r="D8" t="s">
        <v>4363</v>
      </c>
      <c r="E8">
        <v>25</v>
      </c>
      <c r="F8" t="s">
        <v>4403</v>
      </c>
      <c r="G8">
        <v>9833253315</v>
      </c>
      <c r="H8" t="s">
        <v>4404</v>
      </c>
      <c r="I8" t="s">
        <v>4405</v>
      </c>
      <c r="J8" t="s">
        <v>4376</v>
      </c>
      <c r="K8">
        <v>3.8</v>
      </c>
      <c r="L8">
        <v>10.7</v>
      </c>
      <c r="M8">
        <v>12.3</v>
      </c>
      <c r="N8" t="s">
        <v>4406</v>
      </c>
      <c r="O8" t="s">
        <v>4383</v>
      </c>
      <c r="P8" s="1">
        <v>45711</v>
      </c>
      <c r="Q8" t="str">
        <f t="shared" si="0"/>
        <v>10+ Years</v>
      </c>
      <c r="R8" t="str">
        <f>IF(Table7[[#This Row],[Age]]&lt;=25,"20-25",IF(Table7[[#This Row],[Age]]&lt;=30,"26-30",IF(Table7[[#This Row],[Age]]&lt;=35,"31-35","36+")))</f>
        <v>20-25</v>
      </c>
      <c r="S8" t="str">
        <f t="shared" si="1"/>
        <v>February</v>
      </c>
      <c r="T8" s="2" t="str">
        <f t="shared" si="2"/>
        <v>Q1</v>
      </c>
      <c r="U8" s="2">
        <f t="shared" si="3"/>
        <v>2025</v>
      </c>
    </row>
    <row r="9" spans="1:21" x14ac:dyDescent="0.3">
      <c r="A9" t="s">
        <v>279</v>
      </c>
      <c r="B9" t="s">
        <v>4407</v>
      </c>
      <c r="C9" t="s">
        <v>4408</v>
      </c>
      <c r="D9" t="s">
        <v>4372</v>
      </c>
      <c r="E9">
        <v>35</v>
      </c>
      <c r="F9" t="s">
        <v>4409</v>
      </c>
      <c r="G9">
        <v>9699714064</v>
      </c>
      <c r="H9" t="s">
        <v>4410</v>
      </c>
      <c r="I9" t="s">
        <v>4411</v>
      </c>
      <c r="J9" t="s">
        <v>4376</v>
      </c>
      <c r="K9">
        <v>0.1</v>
      </c>
      <c r="L9">
        <v>11.1</v>
      </c>
      <c r="M9">
        <v>14.7</v>
      </c>
      <c r="N9" t="s">
        <v>4390</v>
      </c>
      <c r="O9" t="s">
        <v>4391</v>
      </c>
      <c r="P9" s="1">
        <v>45659</v>
      </c>
      <c r="Q9" t="str">
        <f t="shared" si="0"/>
        <v>10+ Years</v>
      </c>
      <c r="R9" t="str">
        <f>IF(Table7[[#This Row],[Age]]&lt;=25,"20-25",IF(Table7[[#This Row],[Age]]&lt;=30,"26-30",IF(Table7[[#This Row],[Age]]&lt;=35,"31-35","36+")))</f>
        <v>31-35</v>
      </c>
      <c r="S9" t="str">
        <f t="shared" si="1"/>
        <v>January</v>
      </c>
      <c r="T9" s="2" t="str">
        <f t="shared" si="2"/>
        <v>Q1</v>
      </c>
      <c r="U9" s="2">
        <f t="shared" si="3"/>
        <v>2025</v>
      </c>
    </row>
    <row r="10" spans="1:21" x14ac:dyDescent="0.3">
      <c r="A10" t="s">
        <v>1683</v>
      </c>
      <c r="B10" t="s">
        <v>4412</v>
      </c>
      <c r="C10" t="s">
        <v>4413</v>
      </c>
      <c r="D10" t="s">
        <v>4372</v>
      </c>
      <c r="E10">
        <v>24</v>
      </c>
      <c r="F10" t="s">
        <v>4414</v>
      </c>
      <c r="G10">
        <v>9903443818</v>
      </c>
      <c r="H10" t="s">
        <v>4387</v>
      </c>
      <c r="I10" t="s">
        <v>4388</v>
      </c>
      <c r="J10" t="s">
        <v>4415</v>
      </c>
      <c r="K10">
        <v>2.4</v>
      </c>
      <c r="L10">
        <v>12.7</v>
      </c>
      <c r="M10">
        <v>16.5</v>
      </c>
      <c r="N10" t="s">
        <v>4390</v>
      </c>
      <c r="O10" t="s">
        <v>4369</v>
      </c>
      <c r="P10" s="1">
        <v>45900</v>
      </c>
      <c r="Q10" t="str">
        <f t="shared" si="0"/>
        <v>10+ Years</v>
      </c>
      <c r="R10" t="str">
        <f>IF(Table7[[#This Row],[Age]]&lt;=25,"20-25",IF(Table7[[#This Row],[Age]]&lt;=30,"26-30",IF(Table7[[#This Row],[Age]]&lt;=35,"31-35","36+")))</f>
        <v>20-25</v>
      </c>
      <c r="S10" t="str">
        <f t="shared" si="1"/>
        <v>August</v>
      </c>
      <c r="T10" s="2" t="str">
        <f t="shared" si="2"/>
        <v>Q3</v>
      </c>
      <c r="U10" s="2">
        <f t="shared" si="3"/>
        <v>2025</v>
      </c>
    </row>
    <row r="11" spans="1:21" x14ac:dyDescent="0.3">
      <c r="A11" t="s">
        <v>1716</v>
      </c>
      <c r="B11" t="s">
        <v>4416</v>
      </c>
      <c r="C11" t="s">
        <v>4417</v>
      </c>
      <c r="D11" t="s">
        <v>4372</v>
      </c>
      <c r="E11">
        <v>26</v>
      </c>
      <c r="F11" t="s">
        <v>4418</v>
      </c>
      <c r="G11">
        <v>9385140975</v>
      </c>
      <c r="H11" t="s">
        <v>4365</v>
      </c>
      <c r="I11" t="s">
        <v>4366</v>
      </c>
      <c r="J11" t="s">
        <v>4389</v>
      </c>
      <c r="K11">
        <v>10.6</v>
      </c>
      <c r="L11">
        <v>18.600000000000001</v>
      </c>
      <c r="M11">
        <v>22.1</v>
      </c>
      <c r="N11" t="s">
        <v>4390</v>
      </c>
      <c r="O11" t="s">
        <v>4419</v>
      </c>
      <c r="P11" s="1">
        <v>45910</v>
      </c>
      <c r="Q11" t="str">
        <f t="shared" si="0"/>
        <v>10+ Years</v>
      </c>
      <c r="R11" t="str">
        <f>IF(Table7[[#This Row],[Age]]&lt;=25,"20-25",IF(Table7[[#This Row],[Age]]&lt;=30,"26-30",IF(Table7[[#This Row],[Age]]&lt;=35,"31-35","36+")))</f>
        <v>26-30</v>
      </c>
      <c r="S11" t="str">
        <f t="shared" si="1"/>
        <v>September</v>
      </c>
      <c r="T11" s="2" t="str">
        <f t="shared" si="2"/>
        <v>Q3</v>
      </c>
      <c r="U11" s="2">
        <f t="shared" si="3"/>
        <v>2025</v>
      </c>
    </row>
    <row r="12" spans="1:21" x14ac:dyDescent="0.3">
      <c r="A12" t="s">
        <v>95</v>
      </c>
      <c r="B12" t="s">
        <v>4420</v>
      </c>
      <c r="C12" t="s">
        <v>4421</v>
      </c>
      <c r="D12" t="s">
        <v>4363</v>
      </c>
      <c r="E12">
        <v>21</v>
      </c>
      <c r="F12" t="s">
        <v>4422</v>
      </c>
      <c r="G12">
        <v>9614333244</v>
      </c>
      <c r="H12" t="s">
        <v>4387</v>
      </c>
      <c r="I12" t="s">
        <v>4388</v>
      </c>
      <c r="J12" t="s">
        <v>4389</v>
      </c>
      <c r="K12">
        <v>7.1</v>
      </c>
      <c r="L12">
        <v>11.2</v>
      </c>
      <c r="M12">
        <v>15.4</v>
      </c>
      <c r="N12" t="s">
        <v>4390</v>
      </c>
      <c r="O12" t="s">
        <v>4383</v>
      </c>
      <c r="P12" s="1">
        <v>45697</v>
      </c>
      <c r="Q12" t="str">
        <f t="shared" si="0"/>
        <v>10+ Years</v>
      </c>
      <c r="R12" t="str">
        <f>IF(Table7[[#This Row],[Age]]&lt;=25,"20-25",IF(Table7[[#This Row],[Age]]&lt;=30,"26-30",IF(Table7[[#This Row],[Age]]&lt;=35,"31-35","36+")))</f>
        <v>20-25</v>
      </c>
      <c r="S12" t="str">
        <f t="shared" si="1"/>
        <v>February</v>
      </c>
      <c r="T12" s="2" t="str">
        <f t="shared" si="2"/>
        <v>Q1</v>
      </c>
      <c r="U12" s="2">
        <f t="shared" si="3"/>
        <v>2025</v>
      </c>
    </row>
    <row r="13" spans="1:21" x14ac:dyDescent="0.3">
      <c r="A13" t="s">
        <v>1945</v>
      </c>
      <c r="B13" t="s">
        <v>4423</v>
      </c>
      <c r="C13" t="s">
        <v>4424</v>
      </c>
      <c r="D13" t="s">
        <v>4363</v>
      </c>
      <c r="E13">
        <v>28</v>
      </c>
      <c r="F13" t="s">
        <v>4425</v>
      </c>
      <c r="G13">
        <v>9372666299</v>
      </c>
      <c r="H13" t="s">
        <v>4395</v>
      </c>
      <c r="I13" t="s">
        <v>4396</v>
      </c>
      <c r="J13" t="s">
        <v>4389</v>
      </c>
      <c r="K13">
        <v>5.6</v>
      </c>
      <c r="L13">
        <v>8.1999999999999993</v>
      </c>
      <c r="M13">
        <v>10</v>
      </c>
      <c r="N13" t="s">
        <v>4390</v>
      </c>
      <c r="O13" t="s">
        <v>4369</v>
      </c>
      <c r="P13" s="1">
        <v>45689</v>
      </c>
      <c r="Q13" t="str">
        <f t="shared" si="0"/>
        <v>10+ Years</v>
      </c>
      <c r="R13" t="str">
        <f>IF(Table7[[#This Row],[Age]]&lt;=25,"20-25",IF(Table7[[#This Row],[Age]]&lt;=30,"26-30",IF(Table7[[#This Row],[Age]]&lt;=35,"31-35","36+")))</f>
        <v>26-30</v>
      </c>
      <c r="S13" t="str">
        <f t="shared" si="1"/>
        <v>February</v>
      </c>
      <c r="T13" s="2" t="str">
        <f t="shared" si="2"/>
        <v>Q1</v>
      </c>
      <c r="U13" s="2">
        <f t="shared" si="3"/>
        <v>2025</v>
      </c>
    </row>
    <row r="14" spans="1:21" x14ac:dyDescent="0.3">
      <c r="A14" t="s">
        <v>213</v>
      </c>
      <c r="B14" t="s">
        <v>4426</v>
      </c>
      <c r="C14" t="s">
        <v>4427</v>
      </c>
      <c r="D14" t="s">
        <v>4372</v>
      </c>
      <c r="E14">
        <v>28</v>
      </c>
      <c r="F14" t="s">
        <v>4428</v>
      </c>
      <c r="G14">
        <v>9206857784</v>
      </c>
      <c r="H14" t="s">
        <v>4404</v>
      </c>
      <c r="I14" t="s">
        <v>4405</v>
      </c>
      <c r="J14" t="s">
        <v>4367</v>
      </c>
      <c r="K14">
        <v>7.3</v>
      </c>
      <c r="L14">
        <v>11.7</v>
      </c>
      <c r="M14">
        <v>15</v>
      </c>
      <c r="N14" t="s">
        <v>4390</v>
      </c>
      <c r="O14" t="s">
        <v>4391</v>
      </c>
      <c r="P14" s="1">
        <v>45896</v>
      </c>
      <c r="Q14" t="str">
        <f t="shared" si="0"/>
        <v>10+ Years</v>
      </c>
      <c r="R14" t="str">
        <f>IF(Table7[[#This Row],[Age]]&lt;=25,"20-25",IF(Table7[[#This Row],[Age]]&lt;=30,"26-30",IF(Table7[[#This Row],[Age]]&lt;=35,"31-35","36+")))</f>
        <v>26-30</v>
      </c>
      <c r="S14" t="str">
        <f t="shared" si="1"/>
        <v>August</v>
      </c>
      <c r="T14" s="2" t="str">
        <f t="shared" si="2"/>
        <v>Q3</v>
      </c>
      <c r="U14" s="2">
        <f t="shared" si="3"/>
        <v>2025</v>
      </c>
    </row>
    <row r="15" spans="1:21" x14ac:dyDescent="0.3">
      <c r="A15" t="s">
        <v>3284</v>
      </c>
      <c r="B15" t="s">
        <v>4429</v>
      </c>
      <c r="C15" t="s">
        <v>4430</v>
      </c>
      <c r="D15" t="s">
        <v>4372</v>
      </c>
      <c r="E15">
        <v>24</v>
      </c>
      <c r="F15" t="s">
        <v>4431</v>
      </c>
      <c r="G15">
        <v>9689566415</v>
      </c>
      <c r="H15" t="s">
        <v>4365</v>
      </c>
      <c r="I15" t="s">
        <v>4366</v>
      </c>
      <c r="J15" t="s">
        <v>4432</v>
      </c>
      <c r="K15">
        <v>1.6</v>
      </c>
      <c r="L15">
        <v>3.8</v>
      </c>
      <c r="M15">
        <v>4.4000000000000004</v>
      </c>
      <c r="N15" t="s">
        <v>4390</v>
      </c>
      <c r="O15" t="s">
        <v>4391</v>
      </c>
      <c r="P15" s="1">
        <v>45697</v>
      </c>
      <c r="Q15" t="str">
        <f t="shared" si="0"/>
        <v>10+ Years</v>
      </c>
      <c r="R15" t="str">
        <f>IF(Table7[[#This Row],[Age]]&lt;=25,"20-25",IF(Table7[[#This Row],[Age]]&lt;=30,"26-30",IF(Table7[[#This Row],[Age]]&lt;=35,"31-35","36+")))</f>
        <v>20-25</v>
      </c>
      <c r="S15" t="str">
        <f t="shared" si="1"/>
        <v>February</v>
      </c>
      <c r="T15" s="2" t="str">
        <f t="shared" si="2"/>
        <v>Q1</v>
      </c>
      <c r="U15" s="2">
        <f t="shared" si="3"/>
        <v>2025</v>
      </c>
    </row>
    <row r="16" spans="1:21" x14ac:dyDescent="0.3">
      <c r="A16" t="s">
        <v>2164</v>
      </c>
      <c r="B16" t="s">
        <v>4433</v>
      </c>
      <c r="C16" t="s">
        <v>4434</v>
      </c>
      <c r="D16" t="s">
        <v>4363</v>
      </c>
      <c r="E16">
        <v>25</v>
      </c>
      <c r="F16" t="s">
        <v>4435</v>
      </c>
      <c r="G16">
        <v>9388468517</v>
      </c>
      <c r="H16" t="s">
        <v>4381</v>
      </c>
      <c r="I16" t="s">
        <v>4382</v>
      </c>
      <c r="J16" t="s">
        <v>4367</v>
      </c>
      <c r="K16">
        <v>0.7</v>
      </c>
      <c r="L16">
        <v>10.199999999999999</v>
      </c>
      <c r="M16">
        <v>14.6</v>
      </c>
      <c r="N16" t="s">
        <v>4368</v>
      </c>
      <c r="O16" t="s">
        <v>4383</v>
      </c>
      <c r="P16" s="1">
        <v>45730</v>
      </c>
      <c r="Q16" t="str">
        <f t="shared" si="0"/>
        <v>10+ Years</v>
      </c>
      <c r="R16" t="str">
        <f>IF(Table7[[#This Row],[Age]]&lt;=25,"20-25",IF(Table7[[#This Row],[Age]]&lt;=30,"26-30",IF(Table7[[#This Row],[Age]]&lt;=35,"31-35","36+")))</f>
        <v>20-25</v>
      </c>
      <c r="S16" t="str">
        <f t="shared" si="1"/>
        <v>March</v>
      </c>
      <c r="T16" s="2" t="str">
        <f t="shared" si="2"/>
        <v>Q1</v>
      </c>
      <c r="U16" s="2">
        <f t="shared" si="3"/>
        <v>2025</v>
      </c>
    </row>
    <row r="17" spans="1:21" x14ac:dyDescent="0.3">
      <c r="A17" t="s">
        <v>2918</v>
      </c>
      <c r="B17" t="s">
        <v>4436</v>
      </c>
      <c r="C17" t="s">
        <v>4437</v>
      </c>
      <c r="D17" t="s">
        <v>4363</v>
      </c>
      <c r="E17">
        <v>27</v>
      </c>
      <c r="F17" t="s">
        <v>4438</v>
      </c>
      <c r="G17">
        <v>9486067715</v>
      </c>
      <c r="H17" t="s">
        <v>4395</v>
      </c>
      <c r="I17" t="s">
        <v>4396</v>
      </c>
      <c r="J17" t="s">
        <v>4376</v>
      </c>
      <c r="K17">
        <v>5.4</v>
      </c>
      <c r="M17">
        <v>15.9</v>
      </c>
      <c r="N17" t="s">
        <v>4368</v>
      </c>
      <c r="O17" t="s">
        <v>4369</v>
      </c>
      <c r="P17" s="1">
        <v>45844</v>
      </c>
      <c r="Q17" t="str">
        <f t="shared" si="0"/>
        <v>10+ Years</v>
      </c>
      <c r="R17" t="str">
        <f>IF(Table7[[#This Row],[Age]]&lt;=25,"20-25",IF(Table7[[#This Row],[Age]]&lt;=30,"26-30",IF(Table7[[#This Row],[Age]]&lt;=35,"31-35","36+")))</f>
        <v>26-30</v>
      </c>
      <c r="S17" t="str">
        <f t="shared" si="1"/>
        <v>July</v>
      </c>
      <c r="T17" s="2" t="str">
        <f t="shared" si="2"/>
        <v>Q3</v>
      </c>
      <c r="U17" s="2">
        <f t="shared" si="3"/>
        <v>2025</v>
      </c>
    </row>
    <row r="18" spans="1:21" x14ac:dyDescent="0.3">
      <c r="A18" t="s">
        <v>1949</v>
      </c>
      <c r="B18" t="s">
        <v>4439</v>
      </c>
      <c r="C18" t="s">
        <v>4440</v>
      </c>
      <c r="D18" t="s">
        <v>4372</v>
      </c>
      <c r="E18">
        <v>41</v>
      </c>
      <c r="F18" t="s">
        <v>4441</v>
      </c>
      <c r="G18">
        <v>9523140736</v>
      </c>
      <c r="H18" t="s">
        <v>4410</v>
      </c>
      <c r="I18" t="s">
        <v>4411</v>
      </c>
      <c r="J18" t="s">
        <v>4367</v>
      </c>
      <c r="K18">
        <v>2.2000000000000002</v>
      </c>
      <c r="L18">
        <v>10.6</v>
      </c>
      <c r="M18">
        <v>15.2</v>
      </c>
      <c r="N18" t="s">
        <v>4390</v>
      </c>
      <c r="O18" t="s">
        <v>4391</v>
      </c>
      <c r="P18" s="1">
        <v>45730</v>
      </c>
      <c r="Q18" t="str">
        <f t="shared" si="0"/>
        <v>10+ Years</v>
      </c>
      <c r="R18" t="str">
        <f>IF(Table7[[#This Row],[Age]]&lt;=25,"20-25",IF(Table7[[#This Row],[Age]]&lt;=30,"26-30",IF(Table7[[#This Row],[Age]]&lt;=35,"31-35","36+")))</f>
        <v>36+</v>
      </c>
      <c r="S18" t="str">
        <f t="shared" si="1"/>
        <v>March</v>
      </c>
      <c r="T18" s="2" t="str">
        <f t="shared" si="2"/>
        <v>Q1</v>
      </c>
      <c r="U18" s="2">
        <f t="shared" si="3"/>
        <v>2025</v>
      </c>
    </row>
    <row r="19" spans="1:21" x14ac:dyDescent="0.3">
      <c r="A19" t="s">
        <v>2586</v>
      </c>
      <c r="B19" t="s">
        <v>4442</v>
      </c>
      <c r="C19" t="s">
        <v>4443</v>
      </c>
      <c r="D19" t="s">
        <v>4372</v>
      </c>
      <c r="E19">
        <v>28</v>
      </c>
      <c r="F19" t="s">
        <v>4444</v>
      </c>
      <c r="G19">
        <v>9439386217</v>
      </c>
      <c r="H19" t="s">
        <v>4445</v>
      </c>
      <c r="I19" t="s">
        <v>4396</v>
      </c>
      <c r="J19" t="s">
        <v>4446</v>
      </c>
      <c r="K19">
        <v>4.7</v>
      </c>
      <c r="L19">
        <v>7.4</v>
      </c>
      <c r="M19">
        <v>8.3000000000000007</v>
      </c>
      <c r="N19" t="s">
        <v>4377</v>
      </c>
      <c r="O19" t="s">
        <v>4400</v>
      </c>
      <c r="P19" s="1">
        <v>45719</v>
      </c>
      <c r="Q19" t="str">
        <f t="shared" si="0"/>
        <v>10+ Years</v>
      </c>
      <c r="R19" t="str">
        <f>IF(Table7[[#This Row],[Age]]&lt;=25,"20-25",IF(Table7[[#This Row],[Age]]&lt;=30,"26-30",IF(Table7[[#This Row],[Age]]&lt;=35,"31-35","36+")))</f>
        <v>26-30</v>
      </c>
      <c r="S19" t="str">
        <f t="shared" si="1"/>
        <v>March</v>
      </c>
      <c r="T19" s="2" t="str">
        <f t="shared" si="2"/>
        <v>Q1</v>
      </c>
      <c r="U19" s="2">
        <f t="shared" si="3"/>
        <v>2025</v>
      </c>
    </row>
    <row r="20" spans="1:21" x14ac:dyDescent="0.3">
      <c r="A20" t="s">
        <v>773</v>
      </c>
      <c r="B20" t="s">
        <v>4447</v>
      </c>
      <c r="C20" t="s">
        <v>4448</v>
      </c>
      <c r="D20" t="s">
        <v>4363</v>
      </c>
      <c r="E20">
        <v>29</v>
      </c>
      <c r="F20" t="s">
        <v>4449</v>
      </c>
      <c r="G20">
        <v>9865603224</v>
      </c>
      <c r="H20" t="s">
        <v>4410</v>
      </c>
      <c r="I20" t="s">
        <v>4411</v>
      </c>
      <c r="J20" t="s">
        <v>4450</v>
      </c>
      <c r="K20">
        <v>1.7</v>
      </c>
      <c r="L20">
        <v>6.8</v>
      </c>
      <c r="M20">
        <v>8.3000000000000007</v>
      </c>
      <c r="N20" t="s">
        <v>4390</v>
      </c>
      <c r="O20" t="s">
        <v>4391</v>
      </c>
      <c r="P20" s="1">
        <v>45959</v>
      </c>
      <c r="Q20" t="str">
        <f t="shared" si="0"/>
        <v>10+ Years</v>
      </c>
      <c r="R20" t="str">
        <f>IF(Table7[[#This Row],[Age]]&lt;=25,"20-25",IF(Table7[[#This Row],[Age]]&lt;=30,"26-30",IF(Table7[[#This Row],[Age]]&lt;=35,"31-35","36+")))</f>
        <v>26-30</v>
      </c>
      <c r="S20" t="str">
        <f t="shared" si="1"/>
        <v>October</v>
      </c>
      <c r="T20" s="2" t="str">
        <f t="shared" si="2"/>
        <v>Q4</v>
      </c>
      <c r="U20" s="2">
        <f t="shared" si="3"/>
        <v>2025</v>
      </c>
    </row>
    <row r="21" spans="1:21" x14ac:dyDescent="0.3">
      <c r="A21" t="s">
        <v>1313</v>
      </c>
      <c r="B21" t="s">
        <v>4451</v>
      </c>
      <c r="C21" t="s">
        <v>4452</v>
      </c>
      <c r="D21" t="s">
        <v>4372</v>
      </c>
      <c r="E21">
        <v>35</v>
      </c>
      <c r="F21" t="s">
        <v>4453</v>
      </c>
      <c r="G21">
        <v>9911379878</v>
      </c>
      <c r="H21" t="s">
        <v>4454</v>
      </c>
      <c r="I21" t="s">
        <v>4455</v>
      </c>
      <c r="J21" t="s">
        <v>4446</v>
      </c>
      <c r="K21">
        <v>3.1</v>
      </c>
      <c r="L21">
        <v>11</v>
      </c>
      <c r="M21">
        <v>13.3</v>
      </c>
      <c r="N21" t="s">
        <v>4406</v>
      </c>
      <c r="O21" t="s">
        <v>4456</v>
      </c>
      <c r="P21" s="1">
        <v>45983</v>
      </c>
      <c r="Q21" t="str">
        <f t="shared" si="0"/>
        <v>10+ Years</v>
      </c>
      <c r="R21" t="str">
        <f>IF(Table7[[#This Row],[Age]]&lt;=25,"20-25",IF(Table7[[#This Row],[Age]]&lt;=30,"26-30",IF(Table7[[#This Row],[Age]]&lt;=35,"31-35","36+")))</f>
        <v>31-35</v>
      </c>
      <c r="S21" t="str">
        <f t="shared" si="1"/>
        <v>November</v>
      </c>
      <c r="T21" s="2" t="str">
        <f t="shared" si="2"/>
        <v>Q4</v>
      </c>
      <c r="U21" s="2">
        <f t="shared" si="3"/>
        <v>2025</v>
      </c>
    </row>
    <row r="22" spans="1:21" x14ac:dyDescent="0.3">
      <c r="A22" t="s">
        <v>3876</v>
      </c>
      <c r="B22" t="s">
        <v>4457</v>
      </c>
      <c r="C22" t="s">
        <v>4458</v>
      </c>
      <c r="D22" t="s">
        <v>4363</v>
      </c>
      <c r="E22">
        <v>26</v>
      </c>
      <c r="F22" t="s">
        <v>4459</v>
      </c>
      <c r="G22">
        <v>9385323284</v>
      </c>
      <c r="H22" t="s">
        <v>4381</v>
      </c>
      <c r="I22" t="s">
        <v>4382</v>
      </c>
      <c r="K22">
        <v>3</v>
      </c>
      <c r="L22">
        <v>13.6</v>
      </c>
      <c r="M22">
        <v>16.100000000000001</v>
      </c>
      <c r="N22" t="s">
        <v>4390</v>
      </c>
      <c r="O22" t="s">
        <v>4419</v>
      </c>
      <c r="P22" s="1">
        <v>45672</v>
      </c>
      <c r="Q22" t="str">
        <f t="shared" si="0"/>
        <v>10+ Years</v>
      </c>
      <c r="R22" t="str">
        <f>IF(Table7[[#This Row],[Age]]&lt;=25,"20-25",IF(Table7[[#This Row],[Age]]&lt;=30,"26-30",IF(Table7[[#This Row],[Age]]&lt;=35,"31-35","36+")))</f>
        <v>26-30</v>
      </c>
      <c r="S22" t="str">
        <f t="shared" si="1"/>
        <v>January</v>
      </c>
      <c r="T22" s="2" t="str">
        <f t="shared" si="2"/>
        <v>Q1</v>
      </c>
      <c r="U22" s="2">
        <f t="shared" si="3"/>
        <v>2025</v>
      </c>
    </row>
    <row r="23" spans="1:21" x14ac:dyDescent="0.3">
      <c r="A23" t="s">
        <v>382</v>
      </c>
      <c r="B23" t="s">
        <v>4460</v>
      </c>
      <c r="C23" t="s">
        <v>4461</v>
      </c>
      <c r="D23" t="s">
        <v>4363</v>
      </c>
      <c r="E23">
        <v>27</v>
      </c>
      <c r="F23" t="s">
        <v>4462</v>
      </c>
      <c r="G23">
        <v>9529541462</v>
      </c>
      <c r="H23" t="s">
        <v>4387</v>
      </c>
      <c r="I23" t="s">
        <v>4388</v>
      </c>
      <c r="J23" t="s">
        <v>4446</v>
      </c>
      <c r="K23">
        <v>2.8</v>
      </c>
      <c r="L23">
        <v>8.3000000000000007</v>
      </c>
      <c r="M23">
        <v>10.8</v>
      </c>
      <c r="N23" t="s">
        <v>4368</v>
      </c>
      <c r="O23" t="s">
        <v>4369</v>
      </c>
      <c r="P23" s="1">
        <v>45868</v>
      </c>
      <c r="Q23" t="str">
        <f t="shared" si="0"/>
        <v>10+ Years</v>
      </c>
      <c r="R23" t="str">
        <f>IF(Table7[[#This Row],[Age]]&lt;=25,"20-25",IF(Table7[[#This Row],[Age]]&lt;=30,"26-30",IF(Table7[[#This Row],[Age]]&lt;=35,"31-35","36+")))</f>
        <v>26-30</v>
      </c>
      <c r="S23" t="str">
        <f t="shared" si="1"/>
        <v>July</v>
      </c>
      <c r="T23" s="2" t="str">
        <f t="shared" si="2"/>
        <v>Q3</v>
      </c>
      <c r="U23" s="2">
        <f t="shared" si="3"/>
        <v>2025</v>
      </c>
    </row>
    <row r="24" spans="1:21" x14ac:dyDescent="0.3">
      <c r="A24" t="s">
        <v>835</v>
      </c>
      <c r="B24" t="s">
        <v>4370</v>
      </c>
      <c r="C24" t="s">
        <v>4463</v>
      </c>
      <c r="D24" t="s">
        <v>4372</v>
      </c>
      <c r="E24">
        <v>28</v>
      </c>
      <c r="F24" t="s">
        <v>4464</v>
      </c>
      <c r="G24">
        <v>9248791121</v>
      </c>
      <c r="H24" t="s">
        <v>4395</v>
      </c>
      <c r="I24" t="s">
        <v>4396</v>
      </c>
      <c r="J24" t="s">
        <v>4446</v>
      </c>
      <c r="K24">
        <v>4</v>
      </c>
      <c r="L24">
        <v>6</v>
      </c>
      <c r="M24">
        <v>7.7</v>
      </c>
      <c r="N24" t="s">
        <v>4377</v>
      </c>
      <c r="O24" t="s">
        <v>4383</v>
      </c>
      <c r="P24" s="1">
        <v>45745</v>
      </c>
      <c r="Q24" t="str">
        <f t="shared" si="0"/>
        <v>10+ Years</v>
      </c>
      <c r="R24" t="str">
        <f>IF(Table7[[#This Row],[Age]]&lt;=25,"20-25",IF(Table7[[#This Row],[Age]]&lt;=30,"26-30",IF(Table7[[#This Row],[Age]]&lt;=35,"31-35","36+")))</f>
        <v>26-30</v>
      </c>
      <c r="S24" t="str">
        <f t="shared" si="1"/>
        <v>March</v>
      </c>
      <c r="T24" s="2" t="str">
        <f t="shared" si="2"/>
        <v>Q1</v>
      </c>
      <c r="U24" s="2">
        <f t="shared" si="3"/>
        <v>2025</v>
      </c>
    </row>
    <row r="25" spans="1:21" x14ac:dyDescent="0.3">
      <c r="A25" t="s">
        <v>3800</v>
      </c>
      <c r="B25" t="s">
        <v>4465</v>
      </c>
      <c r="C25" t="s">
        <v>4461</v>
      </c>
      <c r="D25" t="s">
        <v>4372</v>
      </c>
      <c r="E25">
        <v>28</v>
      </c>
      <c r="F25" t="s">
        <v>4466</v>
      </c>
      <c r="G25">
        <v>9402522508</v>
      </c>
      <c r="H25" t="s">
        <v>4454</v>
      </c>
      <c r="I25" t="s">
        <v>4455</v>
      </c>
      <c r="J25" t="s">
        <v>4432</v>
      </c>
      <c r="K25">
        <v>2.8</v>
      </c>
      <c r="L25">
        <v>4.2</v>
      </c>
      <c r="M25">
        <v>5.7</v>
      </c>
      <c r="N25" t="s">
        <v>4390</v>
      </c>
      <c r="O25" t="s">
        <v>4391</v>
      </c>
      <c r="P25" s="1">
        <v>45780</v>
      </c>
      <c r="Q25" t="str">
        <f t="shared" si="0"/>
        <v>10+ Years</v>
      </c>
      <c r="R25" t="str">
        <f>IF(Table7[[#This Row],[Age]]&lt;=25,"20-25",IF(Table7[[#This Row],[Age]]&lt;=30,"26-30",IF(Table7[[#This Row],[Age]]&lt;=35,"31-35","36+")))</f>
        <v>26-30</v>
      </c>
      <c r="S25" t="str">
        <f t="shared" si="1"/>
        <v>May</v>
      </c>
      <c r="T25" s="2" t="str">
        <f t="shared" si="2"/>
        <v>Q2</v>
      </c>
      <c r="U25" s="2">
        <f t="shared" si="3"/>
        <v>2025</v>
      </c>
    </row>
    <row r="26" spans="1:21" x14ac:dyDescent="0.3">
      <c r="A26" t="s">
        <v>3400</v>
      </c>
      <c r="B26" t="s">
        <v>4467</v>
      </c>
      <c r="C26" t="s">
        <v>4468</v>
      </c>
      <c r="D26" t="s">
        <v>4372</v>
      </c>
      <c r="E26">
        <v>45</v>
      </c>
      <c r="F26" t="s">
        <v>4469</v>
      </c>
      <c r="G26">
        <v>9818200127</v>
      </c>
      <c r="H26" t="s">
        <v>4381</v>
      </c>
      <c r="I26" t="s">
        <v>4382</v>
      </c>
      <c r="J26" t="s">
        <v>4367</v>
      </c>
      <c r="K26">
        <v>1.1000000000000001</v>
      </c>
      <c r="L26">
        <v>8.3000000000000007</v>
      </c>
      <c r="M26">
        <v>11.1</v>
      </c>
      <c r="N26" t="s">
        <v>4406</v>
      </c>
      <c r="O26" t="s">
        <v>4383</v>
      </c>
      <c r="P26" s="1">
        <v>45912</v>
      </c>
      <c r="Q26" t="str">
        <f t="shared" si="0"/>
        <v>10+ Years</v>
      </c>
      <c r="R26" t="str">
        <f>IF(Table7[[#This Row],[Age]]&lt;=25,"20-25",IF(Table7[[#This Row],[Age]]&lt;=30,"26-30",IF(Table7[[#This Row],[Age]]&lt;=35,"31-35","36+")))</f>
        <v>36+</v>
      </c>
      <c r="S26" t="str">
        <f t="shared" si="1"/>
        <v>September</v>
      </c>
      <c r="T26" s="2" t="str">
        <f t="shared" si="2"/>
        <v>Q3</v>
      </c>
      <c r="U26" s="2">
        <f t="shared" si="3"/>
        <v>2025</v>
      </c>
    </row>
    <row r="27" spans="1:21" x14ac:dyDescent="0.3">
      <c r="A27" t="s">
        <v>325</v>
      </c>
      <c r="B27" t="s">
        <v>4470</v>
      </c>
      <c r="C27" t="s">
        <v>4471</v>
      </c>
      <c r="D27" t="s">
        <v>4363</v>
      </c>
      <c r="E27">
        <v>29</v>
      </c>
      <c r="F27" t="s">
        <v>4472</v>
      </c>
      <c r="G27">
        <v>9457378061</v>
      </c>
      <c r="H27" t="s">
        <v>4473</v>
      </c>
      <c r="I27" t="s">
        <v>4473</v>
      </c>
      <c r="J27" t="s">
        <v>4415</v>
      </c>
      <c r="K27">
        <v>3.4</v>
      </c>
      <c r="L27">
        <v>12.1</v>
      </c>
      <c r="M27">
        <v>14.1</v>
      </c>
      <c r="N27" t="s">
        <v>4368</v>
      </c>
      <c r="O27" t="s">
        <v>4369</v>
      </c>
      <c r="P27" s="1">
        <v>45833</v>
      </c>
      <c r="Q27" t="str">
        <f t="shared" si="0"/>
        <v>10+ Years</v>
      </c>
      <c r="R27" t="str">
        <f>IF(Table7[[#This Row],[Age]]&lt;=25,"20-25",IF(Table7[[#This Row],[Age]]&lt;=30,"26-30",IF(Table7[[#This Row],[Age]]&lt;=35,"31-35","36+")))</f>
        <v>26-30</v>
      </c>
      <c r="S27" t="str">
        <f t="shared" si="1"/>
        <v>June</v>
      </c>
      <c r="T27" s="2" t="str">
        <f t="shared" si="2"/>
        <v>Q2</v>
      </c>
      <c r="U27" s="2">
        <f t="shared" si="3"/>
        <v>2025</v>
      </c>
    </row>
    <row r="28" spans="1:21" x14ac:dyDescent="0.3">
      <c r="A28" t="s">
        <v>91</v>
      </c>
      <c r="B28" t="s">
        <v>4474</v>
      </c>
      <c r="C28" t="s">
        <v>4408</v>
      </c>
      <c r="D28" t="s">
        <v>4363</v>
      </c>
      <c r="E28">
        <v>30</v>
      </c>
      <c r="F28" t="s">
        <v>4475</v>
      </c>
      <c r="G28">
        <v>9356760208</v>
      </c>
      <c r="H28" t="s">
        <v>4476</v>
      </c>
      <c r="I28" t="s">
        <v>4477</v>
      </c>
      <c r="J28" t="s">
        <v>4432</v>
      </c>
      <c r="K28">
        <v>11.5</v>
      </c>
      <c r="L28">
        <v>15.7</v>
      </c>
      <c r="M28">
        <v>20.5</v>
      </c>
      <c r="N28" t="s">
        <v>4377</v>
      </c>
      <c r="O28" t="s">
        <v>4400</v>
      </c>
      <c r="P28" s="1">
        <v>45869</v>
      </c>
      <c r="Q28" t="str">
        <f t="shared" si="0"/>
        <v>10+ Years</v>
      </c>
      <c r="R28" t="str">
        <f>IF(Table7[[#This Row],[Age]]&lt;=25,"20-25",IF(Table7[[#This Row],[Age]]&lt;=30,"26-30",IF(Table7[[#This Row],[Age]]&lt;=35,"31-35","36+")))</f>
        <v>26-30</v>
      </c>
      <c r="S28" t="str">
        <f t="shared" si="1"/>
        <v>July</v>
      </c>
      <c r="T28" s="2" t="str">
        <f t="shared" si="2"/>
        <v>Q3</v>
      </c>
      <c r="U28" s="2">
        <f t="shared" si="3"/>
        <v>2025</v>
      </c>
    </row>
    <row r="29" spans="1:21" x14ac:dyDescent="0.3">
      <c r="A29" t="s">
        <v>4478</v>
      </c>
      <c r="B29" t="s">
        <v>4479</v>
      </c>
      <c r="C29" t="s">
        <v>4480</v>
      </c>
      <c r="D29" t="s">
        <v>4372</v>
      </c>
      <c r="E29">
        <v>30</v>
      </c>
      <c r="F29" t="s">
        <v>4481</v>
      </c>
      <c r="G29">
        <v>9662821260</v>
      </c>
      <c r="H29" t="s">
        <v>4365</v>
      </c>
      <c r="I29" t="s">
        <v>4366</v>
      </c>
      <c r="J29" t="s">
        <v>4482</v>
      </c>
      <c r="K29">
        <v>1.7</v>
      </c>
      <c r="L29">
        <v>7.5</v>
      </c>
      <c r="M29">
        <v>9.1999999999999993</v>
      </c>
      <c r="N29" t="s">
        <v>4406</v>
      </c>
      <c r="O29" t="s">
        <v>4369</v>
      </c>
      <c r="P29" s="1">
        <v>45842</v>
      </c>
      <c r="Q29" t="str">
        <f t="shared" si="0"/>
        <v>10+ Years</v>
      </c>
      <c r="R29" t="str">
        <f>IF(Table7[[#This Row],[Age]]&lt;=25,"20-25",IF(Table7[[#This Row],[Age]]&lt;=30,"26-30",IF(Table7[[#This Row],[Age]]&lt;=35,"31-35","36+")))</f>
        <v>26-30</v>
      </c>
      <c r="S29" t="str">
        <f t="shared" si="1"/>
        <v>July</v>
      </c>
      <c r="T29" s="2" t="str">
        <f t="shared" si="2"/>
        <v>Q3</v>
      </c>
      <c r="U29" s="2">
        <f t="shared" si="3"/>
        <v>2025</v>
      </c>
    </row>
    <row r="30" spans="1:21" x14ac:dyDescent="0.3">
      <c r="A30" t="s">
        <v>1383</v>
      </c>
      <c r="B30" t="s">
        <v>4451</v>
      </c>
      <c r="C30" t="s">
        <v>4483</v>
      </c>
      <c r="D30" t="s">
        <v>4372</v>
      </c>
      <c r="E30">
        <v>31</v>
      </c>
      <c r="F30" t="s">
        <v>4484</v>
      </c>
      <c r="G30">
        <v>9668251762</v>
      </c>
      <c r="H30" t="s">
        <v>4395</v>
      </c>
      <c r="I30" t="s">
        <v>4396</v>
      </c>
      <c r="K30">
        <v>4.3</v>
      </c>
      <c r="L30">
        <v>4.0999999999999996</v>
      </c>
      <c r="M30">
        <v>5.7</v>
      </c>
      <c r="N30" t="s">
        <v>4406</v>
      </c>
      <c r="O30" t="s">
        <v>4485</v>
      </c>
      <c r="P30" s="1">
        <v>45854</v>
      </c>
      <c r="Q30" t="str">
        <f t="shared" si="0"/>
        <v>10+ Years</v>
      </c>
      <c r="R30" t="str">
        <f>IF(Table7[[#This Row],[Age]]&lt;=25,"20-25",IF(Table7[[#This Row],[Age]]&lt;=30,"26-30",IF(Table7[[#This Row],[Age]]&lt;=35,"31-35","36+")))</f>
        <v>31-35</v>
      </c>
      <c r="S30" t="str">
        <f t="shared" si="1"/>
        <v>July</v>
      </c>
      <c r="T30" s="2" t="str">
        <f t="shared" si="2"/>
        <v>Q3</v>
      </c>
      <c r="U30" s="2">
        <f t="shared" si="3"/>
        <v>2025</v>
      </c>
    </row>
    <row r="31" spans="1:21" x14ac:dyDescent="0.3">
      <c r="A31" t="s">
        <v>1556</v>
      </c>
      <c r="B31" t="s">
        <v>4407</v>
      </c>
      <c r="C31" t="s">
        <v>4486</v>
      </c>
      <c r="D31" t="s">
        <v>4372</v>
      </c>
      <c r="E31">
        <v>24</v>
      </c>
      <c r="F31" t="s">
        <v>4487</v>
      </c>
      <c r="G31">
        <v>9563681107</v>
      </c>
      <c r="H31" t="s">
        <v>4454</v>
      </c>
      <c r="I31" t="s">
        <v>4455</v>
      </c>
      <c r="J31" t="s">
        <v>4446</v>
      </c>
      <c r="K31">
        <v>2.6</v>
      </c>
      <c r="L31">
        <v>10.4</v>
      </c>
      <c r="M31">
        <v>14.6</v>
      </c>
      <c r="N31" t="s">
        <v>4406</v>
      </c>
      <c r="O31" t="s">
        <v>4369</v>
      </c>
      <c r="P31" s="1">
        <v>46021</v>
      </c>
      <c r="Q31" t="str">
        <f t="shared" si="0"/>
        <v>10+ Years</v>
      </c>
      <c r="R31" t="str">
        <f>IF(Table7[[#This Row],[Age]]&lt;=25,"20-25",IF(Table7[[#This Row],[Age]]&lt;=30,"26-30",IF(Table7[[#This Row],[Age]]&lt;=35,"31-35","36+")))</f>
        <v>20-25</v>
      </c>
      <c r="S31" t="str">
        <f t="shared" si="1"/>
        <v>December</v>
      </c>
      <c r="T31" s="2" t="str">
        <f t="shared" si="2"/>
        <v>Q4</v>
      </c>
      <c r="U31" s="2">
        <f t="shared" si="3"/>
        <v>2025</v>
      </c>
    </row>
    <row r="32" spans="1:21" x14ac:dyDescent="0.3">
      <c r="A32" t="s">
        <v>2791</v>
      </c>
      <c r="B32" t="s">
        <v>4488</v>
      </c>
      <c r="C32" t="s">
        <v>4489</v>
      </c>
      <c r="D32" t="s">
        <v>4363</v>
      </c>
      <c r="E32">
        <v>35</v>
      </c>
      <c r="F32" t="s">
        <v>4490</v>
      </c>
      <c r="G32">
        <v>9730475957</v>
      </c>
      <c r="H32" t="s">
        <v>4491</v>
      </c>
      <c r="I32" t="s">
        <v>4491</v>
      </c>
      <c r="J32" t="s">
        <v>4367</v>
      </c>
      <c r="K32">
        <v>7</v>
      </c>
      <c r="L32">
        <v>7.9</v>
      </c>
      <c r="M32">
        <v>9.9</v>
      </c>
      <c r="N32" t="s">
        <v>4377</v>
      </c>
      <c r="O32" t="s">
        <v>4400</v>
      </c>
      <c r="P32" s="1">
        <v>45897</v>
      </c>
      <c r="Q32" t="str">
        <f t="shared" si="0"/>
        <v>10+ Years</v>
      </c>
      <c r="R32" t="str">
        <f>IF(Table7[[#This Row],[Age]]&lt;=25,"20-25",IF(Table7[[#This Row],[Age]]&lt;=30,"26-30",IF(Table7[[#This Row],[Age]]&lt;=35,"31-35","36+")))</f>
        <v>31-35</v>
      </c>
      <c r="S32" t="str">
        <f t="shared" si="1"/>
        <v>August</v>
      </c>
      <c r="T32" s="2" t="str">
        <f t="shared" si="2"/>
        <v>Q3</v>
      </c>
      <c r="U32" s="2">
        <f t="shared" si="3"/>
        <v>2025</v>
      </c>
    </row>
    <row r="33" spans="1:21" x14ac:dyDescent="0.3">
      <c r="A33" t="s">
        <v>3407</v>
      </c>
      <c r="B33" t="s">
        <v>4436</v>
      </c>
      <c r="C33" t="s">
        <v>4492</v>
      </c>
      <c r="D33" t="s">
        <v>4363</v>
      </c>
      <c r="E33">
        <v>30</v>
      </c>
      <c r="F33" t="s">
        <v>4493</v>
      </c>
      <c r="G33">
        <v>9940854936</v>
      </c>
      <c r="H33" t="s">
        <v>4445</v>
      </c>
      <c r="I33" t="s">
        <v>4396</v>
      </c>
      <c r="J33" t="s">
        <v>4432</v>
      </c>
      <c r="K33">
        <v>0.4</v>
      </c>
      <c r="L33">
        <v>2.5</v>
      </c>
      <c r="M33">
        <v>2.9</v>
      </c>
      <c r="N33" t="s">
        <v>4494</v>
      </c>
      <c r="O33" t="s">
        <v>4369</v>
      </c>
      <c r="P33" s="1">
        <v>46016</v>
      </c>
      <c r="Q33" t="str">
        <f t="shared" si="0"/>
        <v>10+ Years</v>
      </c>
      <c r="R33" t="str">
        <f>IF(Table7[[#This Row],[Age]]&lt;=25,"20-25",IF(Table7[[#This Row],[Age]]&lt;=30,"26-30",IF(Table7[[#This Row],[Age]]&lt;=35,"31-35","36+")))</f>
        <v>26-30</v>
      </c>
      <c r="S33" t="str">
        <f t="shared" si="1"/>
        <v>December</v>
      </c>
      <c r="T33" s="2" t="str">
        <f t="shared" si="2"/>
        <v>Q4</v>
      </c>
      <c r="U33" s="2">
        <f t="shared" si="3"/>
        <v>2025</v>
      </c>
    </row>
    <row r="34" spans="1:21" x14ac:dyDescent="0.3">
      <c r="A34" t="s">
        <v>635</v>
      </c>
      <c r="B34" t="s">
        <v>4495</v>
      </c>
      <c r="C34" t="s">
        <v>4496</v>
      </c>
      <c r="D34" t="s">
        <v>4363</v>
      </c>
      <c r="E34">
        <v>30</v>
      </c>
      <c r="F34" t="s">
        <v>4497</v>
      </c>
      <c r="G34">
        <v>9591049025</v>
      </c>
      <c r="H34" t="s">
        <v>4445</v>
      </c>
      <c r="I34" t="s">
        <v>4396</v>
      </c>
      <c r="J34" t="s">
        <v>4376</v>
      </c>
      <c r="K34">
        <v>0</v>
      </c>
      <c r="M34">
        <v>6.9</v>
      </c>
      <c r="N34" t="s">
        <v>4377</v>
      </c>
      <c r="O34" t="s">
        <v>4369</v>
      </c>
      <c r="P34" s="1">
        <v>45677</v>
      </c>
      <c r="Q34" t="str">
        <f t="shared" si="0"/>
        <v>10+ Years</v>
      </c>
      <c r="R34" t="str">
        <f>IF(Table7[[#This Row],[Age]]&lt;=25,"20-25",IF(Table7[[#This Row],[Age]]&lt;=30,"26-30",IF(Table7[[#This Row],[Age]]&lt;=35,"31-35","36+")))</f>
        <v>26-30</v>
      </c>
      <c r="S34" t="str">
        <f t="shared" si="1"/>
        <v>January</v>
      </c>
      <c r="T34" s="2" t="str">
        <f t="shared" si="2"/>
        <v>Q1</v>
      </c>
      <c r="U34" s="2">
        <f t="shared" si="3"/>
        <v>2025</v>
      </c>
    </row>
    <row r="35" spans="1:21" x14ac:dyDescent="0.3">
      <c r="A35" t="s">
        <v>203</v>
      </c>
      <c r="B35" t="s">
        <v>4498</v>
      </c>
      <c r="C35" t="s">
        <v>4434</v>
      </c>
      <c r="D35" t="s">
        <v>4363</v>
      </c>
      <c r="E35">
        <v>31</v>
      </c>
      <c r="F35" t="s">
        <v>4499</v>
      </c>
      <c r="G35">
        <v>9237403356</v>
      </c>
      <c r="H35" t="s">
        <v>4395</v>
      </c>
      <c r="I35" t="s">
        <v>4396</v>
      </c>
      <c r="J35" t="s">
        <v>4432</v>
      </c>
      <c r="K35">
        <v>0.3</v>
      </c>
      <c r="L35">
        <v>2.7</v>
      </c>
      <c r="M35">
        <v>3.6</v>
      </c>
      <c r="N35" t="s">
        <v>4390</v>
      </c>
      <c r="O35" t="s">
        <v>4369</v>
      </c>
      <c r="P35" s="1">
        <v>45694</v>
      </c>
      <c r="Q35" t="str">
        <f t="shared" si="0"/>
        <v>10+ Years</v>
      </c>
      <c r="R35" t="str">
        <f>IF(Table7[[#This Row],[Age]]&lt;=25,"20-25",IF(Table7[[#This Row],[Age]]&lt;=30,"26-30",IF(Table7[[#This Row],[Age]]&lt;=35,"31-35","36+")))</f>
        <v>31-35</v>
      </c>
      <c r="S35" t="str">
        <f t="shared" si="1"/>
        <v>February</v>
      </c>
      <c r="T35" s="2" t="str">
        <f t="shared" si="2"/>
        <v>Q1</v>
      </c>
      <c r="U35" s="2">
        <f t="shared" si="3"/>
        <v>2025</v>
      </c>
    </row>
    <row r="36" spans="1:21" x14ac:dyDescent="0.3">
      <c r="A36" t="s">
        <v>2141</v>
      </c>
      <c r="B36" t="s">
        <v>4500</v>
      </c>
      <c r="C36" t="s">
        <v>4501</v>
      </c>
      <c r="D36" t="s">
        <v>4372</v>
      </c>
      <c r="E36">
        <v>24</v>
      </c>
      <c r="F36" t="s">
        <v>4502</v>
      </c>
      <c r="G36">
        <v>9305838202</v>
      </c>
      <c r="H36" t="s">
        <v>4381</v>
      </c>
      <c r="I36" t="s">
        <v>4382</v>
      </c>
      <c r="J36" t="s">
        <v>4432</v>
      </c>
      <c r="K36">
        <v>0.4</v>
      </c>
      <c r="L36">
        <v>4.4000000000000004</v>
      </c>
      <c r="M36">
        <v>6.1</v>
      </c>
      <c r="N36" t="s">
        <v>4406</v>
      </c>
      <c r="O36" t="s">
        <v>4383</v>
      </c>
      <c r="P36" s="1">
        <v>45893</v>
      </c>
      <c r="Q36" t="str">
        <f t="shared" si="0"/>
        <v>10+ Years</v>
      </c>
      <c r="R36" t="str">
        <f>IF(Table7[[#This Row],[Age]]&lt;=25,"20-25",IF(Table7[[#This Row],[Age]]&lt;=30,"26-30",IF(Table7[[#This Row],[Age]]&lt;=35,"31-35","36+")))</f>
        <v>20-25</v>
      </c>
      <c r="S36" t="str">
        <f t="shared" si="1"/>
        <v>August</v>
      </c>
      <c r="T36" s="2" t="str">
        <f t="shared" si="2"/>
        <v>Q3</v>
      </c>
      <c r="U36" s="2">
        <f t="shared" si="3"/>
        <v>2025</v>
      </c>
    </row>
    <row r="37" spans="1:21" x14ac:dyDescent="0.3">
      <c r="A37" t="s">
        <v>2210</v>
      </c>
      <c r="B37" t="s">
        <v>4503</v>
      </c>
      <c r="C37" t="s">
        <v>4504</v>
      </c>
      <c r="D37" t="s">
        <v>4372</v>
      </c>
      <c r="E37">
        <v>35</v>
      </c>
      <c r="F37" t="s">
        <v>4505</v>
      </c>
      <c r="G37">
        <v>9792107818</v>
      </c>
      <c r="H37" t="s">
        <v>4506</v>
      </c>
      <c r="I37" t="s">
        <v>4507</v>
      </c>
      <c r="J37" t="s">
        <v>4450</v>
      </c>
      <c r="K37">
        <v>0.7</v>
      </c>
      <c r="L37">
        <v>9.9</v>
      </c>
      <c r="M37">
        <v>12.6</v>
      </c>
      <c r="N37" t="s">
        <v>4368</v>
      </c>
      <c r="O37" t="s">
        <v>4369</v>
      </c>
      <c r="P37" s="1">
        <v>45868</v>
      </c>
      <c r="Q37" t="str">
        <f t="shared" si="0"/>
        <v>10+ Years</v>
      </c>
      <c r="R37" t="str">
        <f>IF(Table7[[#This Row],[Age]]&lt;=25,"20-25",IF(Table7[[#This Row],[Age]]&lt;=30,"26-30",IF(Table7[[#This Row],[Age]]&lt;=35,"31-35","36+")))</f>
        <v>31-35</v>
      </c>
      <c r="S37" t="str">
        <f t="shared" si="1"/>
        <v>July</v>
      </c>
      <c r="T37" s="2" t="str">
        <f t="shared" si="2"/>
        <v>Q3</v>
      </c>
      <c r="U37" s="2">
        <f t="shared" si="3"/>
        <v>2025</v>
      </c>
    </row>
    <row r="38" spans="1:21" x14ac:dyDescent="0.3">
      <c r="A38" t="s">
        <v>347</v>
      </c>
      <c r="B38" t="s">
        <v>4508</v>
      </c>
      <c r="C38" t="s">
        <v>4509</v>
      </c>
      <c r="D38" t="s">
        <v>4363</v>
      </c>
      <c r="E38">
        <v>21</v>
      </c>
      <c r="F38" t="s">
        <v>4510</v>
      </c>
      <c r="G38">
        <v>9159387283</v>
      </c>
      <c r="H38" t="s">
        <v>4410</v>
      </c>
      <c r="I38" t="s">
        <v>4411</v>
      </c>
      <c r="J38" t="s">
        <v>4367</v>
      </c>
      <c r="K38">
        <v>2.1</v>
      </c>
      <c r="L38">
        <v>5.4</v>
      </c>
      <c r="M38">
        <v>7.6</v>
      </c>
      <c r="N38" t="s">
        <v>4390</v>
      </c>
      <c r="O38" t="s">
        <v>4369</v>
      </c>
      <c r="P38" s="1">
        <v>45774</v>
      </c>
      <c r="Q38" t="str">
        <f t="shared" si="0"/>
        <v>10+ Years</v>
      </c>
      <c r="R38" t="str">
        <f>IF(Table7[[#This Row],[Age]]&lt;=25,"20-25",IF(Table7[[#This Row],[Age]]&lt;=30,"26-30",IF(Table7[[#This Row],[Age]]&lt;=35,"31-35","36+")))</f>
        <v>20-25</v>
      </c>
      <c r="S38" t="str">
        <f t="shared" si="1"/>
        <v>April</v>
      </c>
      <c r="T38" s="2" t="str">
        <f t="shared" si="2"/>
        <v>Q2</v>
      </c>
      <c r="U38" s="2">
        <f t="shared" si="3"/>
        <v>2025</v>
      </c>
    </row>
    <row r="39" spans="1:21" x14ac:dyDescent="0.3">
      <c r="A39" t="s">
        <v>479</v>
      </c>
      <c r="B39" t="s">
        <v>4511</v>
      </c>
      <c r="C39" t="s">
        <v>4512</v>
      </c>
      <c r="D39" t="s">
        <v>4363</v>
      </c>
      <c r="E39">
        <v>32</v>
      </c>
      <c r="F39" t="s">
        <v>4513</v>
      </c>
      <c r="G39">
        <v>9343509688</v>
      </c>
      <c r="H39" t="s">
        <v>4491</v>
      </c>
      <c r="I39" t="s">
        <v>4491</v>
      </c>
      <c r="J39" t="s">
        <v>4367</v>
      </c>
      <c r="K39">
        <v>1.4</v>
      </c>
      <c r="L39">
        <v>5.3</v>
      </c>
      <c r="M39">
        <v>6.5</v>
      </c>
      <c r="N39" t="s">
        <v>4390</v>
      </c>
      <c r="O39" t="s">
        <v>4456</v>
      </c>
      <c r="P39" s="1">
        <v>45759</v>
      </c>
      <c r="Q39" t="str">
        <f t="shared" si="0"/>
        <v>10+ Years</v>
      </c>
      <c r="R39" t="str">
        <f>IF(Table7[[#This Row],[Age]]&lt;=25,"20-25",IF(Table7[[#This Row],[Age]]&lt;=30,"26-30",IF(Table7[[#This Row],[Age]]&lt;=35,"31-35","36+")))</f>
        <v>31-35</v>
      </c>
      <c r="S39" t="str">
        <f t="shared" si="1"/>
        <v>April</v>
      </c>
      <c r="T39" s="2" t="str">
        <f t="shared" si="2"/>
        <v>Q2</v>
      </c>
      <c r="U39" s="2">
        <f t="shared" si="3"/>
        <v>2025</v>
      </c>
    </row>
    <row r="40" spans="1:21" x14ac:dyDescent="0.3">
      <c r="A40" t="s">
        <v>3847</v>
      </c>
      <c r="B40" t="s">
        <v>4514</v>
      </c>
      <c r="C40" t="s">
        <v>4515</v>
      </c>
      <c r="D40" t="s">
        <v>4372</v>
      </c>
      <c r="E40">
        <v>32</v>
      </c>
      <c r="F40" t="s">
        <v>4516</v>
      </c>
      <c r="G40">
        <v>9893633959</v>
      </c>
      <c r="H40" t="s">
        <v>4506</v>
      </c>
      <c r="I40" t="s">
        <v>4507</v>
      </c>
      <c r="J40" t="s">
        <v>4415</v>
      </c>
      <c r="K40">
        <v>4.2</v>
      </c>
      <c r="L40">
        <v>6.6</v>
      </c>
      <c r="M40">
        <v>7.8</v>
      </c>
      <c r="N40" t="s">
        <v>4494</v>
      </c>
      <c r="O40" t="s">
        <v>4391</v>
      </c>
      <c r="P40" s="1">
        <v>45757</v>
      </c>
      <c r="Q40" t="str">
        <f t="shared" si="0"/>
        <v>10+ Years</v>
      </c>
      <c r="R40" t="str">
        <f>IF(Table7[[#This Row],[Age]]&lt;=25,"20-25",IF(Table7[[#This Row],[Age]]&lt;=30,"26-30",IF(Table7[[#This Row],[Age]]&lt;=35,"31-35","36+")))</f>
        <v>31-35</v>
      </c>
      <c r="S40" t="str">
        <f t="shared" si="1"/>
        <v>April</v>
      </c>
      <c r="T40" s="2" t="str">
        <f t="shared" si="2"/>
        <v>Q2</v>
      </c>
      <c r="U40" s="2">
        <f t="shared" si="3"/>
        <v>2025</v>
      </c>
    </row>
    <row r="41" spans="1:21" x14ac:dyDescent="0.3">
      <c r="A41" t="s">
        <v>945</v>
      </c>
      <c r="B41" t="s">
        <v>4517</v>
      </c>
      <c r="C41" t="s">
        <v>4379</v>
      </c>
      <c r="D41" t="s">
        <v>4372</v>
      </c>
      <c r="E41">
        <v>29</v>
      </c>
      <c r="F41" t="s">
        <v>4518</v>
      </c>
      <c r="G41">
        <v>9384565157</v>
      </c>
      <c r="H41" t="s">
        <v>4473</v>
      </c>
      <c r="I41" t="s">
        <v>4473</v>
      </c>
      <c r="J41" t="s">
        <v>4450</v>
      </c>
      <c r="K41">
        <v>3.7</v>
      </c>
      <c r="L41">
        <v>16.2</v>
      </c>
      <c r="M41">
        <v>18.7</v>
      </c>
      <c r="N41" t="s">
        <v>4390</v>
      </c>
      <c r="O41" t="s">
        <v>4383</v>
      </c>
      <c r="P41" s="1">
        <v>45772</v>
      </c>
      <c r="Q41" t="str">
        <f t="shared" si="0"/>
        <v>10+ Years</v>
      </c>
      <c r="R41" t="str">
        <f>IF(Table7[[#This Row],[Age]]&lt;=25,"20-25",IF(Table7[[#This Row],[Age]]&lt;=30,"26-30",IF(Table7[[#This Row],[Age]]&lt;=35,"31-35","36+")))</f>
        <v>26-30</v>
      </c>
      <c r="S41" t="str">
        <f t="shared" si="1"/>
        <v>April</v>
      </c>
      <c r="T41" s="2" t="str">
        <f t="shared" si="2"/>
        <v>Q2</v>
      </c>
      <c r="U41" s="2">
        <f t="shared" si="3"/>
        <v>2025</v>
      </c>
    </row>
    <row r="42" spans="1:21" x14ac:dyDescent="0.3">
      <c r="A42" t="s">
        <v>3351</v>
      </c>
      <c r="B42" t="s">
        <v>4439</v>
      </c>
      <c r="C42" t="s">
        <v>4519</v>
      </c>
      <c r="D42" t="s">
        <v>4372</v>
      </c>
      <c r="E42">
        <v>29</v>
      </c>
      <c r="F42" t="s">
        <v>4520</v>
      </c>
      <c r="G42">
        <v>9160577374</v>
      </c>
      <c r="H42" t="s">
        <v>4521</v>
      </c>
      <c r="I42" t="s">
        <v>4522</v>
      </c>
      <c r="J42" t="s">
        <v>4367</v>
      </c>
      <c r="K42">
        <v>3</v>
      </c>
      <c r="L42">
        <v>7.8</v>
      </c>
      <c r="M42">
        <v>9.6999999999999993</v>
      </c>
      <c r="N42" t="s">
        <v>4368</v>
      </c>
      <c r="O42" t="s">
        <v>4419</v>
      </c>
      <c r="P42" s="1">
        <v>45730</v>
      </c>
      <c r="Q42" t="str">
        <f t="shared" si="0"/>
        <v>10+ Years</v>
      </c>
      <c r="R42" t="str">
        <f>IF(Table7[[#This Row],[Age]]&lt;=25,"20-25",IF(Table7[[#This Row],[Age]]&lt;=30,"26-30",IF(Table7[[#This Row],[Age]]&lt;=35,"31-35","36+")))</f>
        <v>26-30</v>
      </c>
      <c r="S42" t="str">
        <f t="shared" si="1"/>
        <v>March</v>
      </c>
      <c r="T42" s="2" t="str">
        <f t="shared" si="2"/>
        <v>Q1</v>
      </c>
      <c r="U42" s="2">
        <f t="shared" si="3"/>
        <v>2025</v>
      </c>
    </row>
    <row r="43" spans="1:21" x14ac:dyDescent="0.3">
      <c r="A43" t="s">
        <v>3156</v>
      </c>
      <c r="B43" t="s">
        <v>4523</v>
      </c>
      <c r="C43" t="s">
        <v>4524</v>
      </c>
      <c r="D43" t="s">
        <v>4372</v>
      </c>
      <c r="E43">
        <v>36</v>
      </c>
      <c r="F43" t="s">
        <v>4525</v>
      </c>
      <c r="G43">
        <v>9164569742</v>
      </c>
      <c r="H43" t="s">
        <v>4395</v>
      </c>
      <c r="I43" t="s">
        <v>4396</v>
      </c>
      <c r="J43" t="s">
        <v>4482</v>
      </c>
      <c r="K43">
        <v>11.1</v>
      </c>
      <c r="L43">
        <v>23.2</v>
      </c>
      <c r="M43">
        <v>32.9</v>
      </c>
      <c r="N43" t="s">
        <v>4377</v>
      </c>
      <c r="O43" t="s">
        <v>4400</v>
      </c>
      <c r="P43" s="1">
        <v>45698</v>
      </c>
      <c r="Q43" t="str">
        <f t="shared" si="0"/>
        <v>10+ Years</v>
      </c>
      <c r="R43" t="str">
        <f>IF(Table7[[#This Row],[Age]]&lt;=25,"20-25",IF(Table7[[#This Row],[Age]]&lt;=30,"26-30",IF(Table7[[#This Row],[Age]]&lt;=35,"31-35","36+")))</f>
        <v>36+</v>
      </c>
      <c r="S43" t="str">
        <f t="shared" si="1"/>
        <v>February</v>
      </c>
      <c r="T43" s="2" t="str">
        <f t="shared" si="2"/>
        <v>Q1</v>
      </c>
      <c r="U43" s="2">
        <f t="shared" si="3"/>
        <v>2025</v>
      </c>
    </row>
    <row r="44" spans="1:21" x14ac:dyDescent="0.3">
      <c r="A44" t="s">
        <v>36</v>
      </c>
      <c r="B44" t="s">
        <v>4526</v>
      </c>
      <c r="C44" t="s">
        <v>4398</v>
      </c>
      <c r="D44" t="s">
        <v>4363</v>
      </c>
      <c r="E44">
        <v>28</v>
      </c>
      <c r="F44" t="s">
        <v>4527</v>
      </c>
      <c r="G44">
        <v>9304744878</v>
      </c>
      <c r="H44" t="s">
        <v>4395</v>
      </c>
      <c r="I44" t="s">
        <v>4396</v>
      </c>
      <c r="J44" t="s">
        <v>4376</v>
      </c>
      <c r="K44">
        <v>0.5</v>
      </c>
      <c r="L44">
        <v>5</v>
      </c>
      <c r="M44">
        <v>6.5</v>
      </c>
      <c r="N44" t="s">
        <v>4390</v>
      </c>
      <c r="O44" t="s">
        <v>4391</v>
      </c>
      <c r="P44" s="1">
        <v>45851</v>
      </c>
      <c r="Q44" t="str">
        <f t="shared" si="0"/>
        <v>10+ Years</v>
      </c>
      <c r="R44" t="str">
        <f>IF(Table7[[#This Row],[Age]]&lt;=25,"20-25",IF(Table7[[#This Row],[Age]]&lt;=30,"26-30",IF(Table7[[#This Row],[Age]]&lt;=35,"31-35","36+")))</f>
        <v>26-30</v>
      </c>
      <c r="S44" t="str">
        <f t="shared" si="1"/>
        <v>July</v>
      </c>
      <c r="T44" s="2" t="str">
        <f t="shared" si="2"/>
        <v>Q3</v>
      </c>
      <c r="U44" s="2">
        <f t="shared" si="3"/>
        <v>2025</v>
      </c>
    </row>
    <row r="45" spans="1:21" x14ac:dyDescent="0.3">
      <c r="A45" t="s">
        <v>3945</v>
      </c>
      <c r="B45" t="s">
        <v>4528</v>
      </c>
      <c r="C45" t="s">
        <v>4529</v>
      </c>
      <c r="D45" t="s">
        <v>4363</v>
      </c>
      <c r="E45">
        <v>32</v>
      </c>
      <c r="F45" t="s">
        <v>4530</v>
      </c>
      <c r="G45">
        <v>9575061127</v>
      </c>
      <c r="H45" t="s">
        <v>4395</v>
      </c>
      <c r="I45" t="s">
        <v>4396</v>
      </c>
      <c r="J45" t="s">
        <v>4367</v>
      </c>
      <c r="K45">
        <v>9.9</v>
      </c>
      <c r="L45">
        <v>23.7</v>
      </c>
      <c r="M45">
        <v>27.2</v>
      </c>
      <c r="N45" t="s">
        <v>4406</v>
      </c>
      <c r="O45" t="s">
        <v>4391</v>
      </c>
      <c r="P45" s="1">
        <v>45721</v>
      </c>
      <c r="Q45" t="str">
        <f t="shared" si="0"/>
        <v>10+ Years</v>
      </c>
      <c r="R45" t="str">
        <f>IF(Table7[[#This Row],[Age]]&lt;=25,"20-25",IF(Table7[[#This Row],[Age]]&lt;=30,"26-30",IF(Table7[[#This Row],[Age]]&lt;=35,"31-35","36+")))</f>
        <v>31-35</v>
      </c>
      <c r="S45" t="str">
        <f t="shared" si="1"/>
        <v>March</v>
      </c>
      <c r="T45" s="2" t="str">
        <f t="shared" si="2"/>
        <v>Q1</v>
      </c>
      <c r="U45" s="2">
        <f t="shared" si="3"/>
        <v>2025</v>
      </c>
    </row>
    <row r="46" spans="1:21" x14ac:dyDescent="0.3">
      <c r="A46" t="s">
        <v>412</v>
      </c>
      <c r="B46" t="s">
        <v>4531</v>
      </c>
      <c r="C46" t="s">
        <v>4532</v>
      </c>
      <c r="D46" t="s">
        <v>4363</v>
      </c>
      <c r="E46">
        <v>40</v>
      </c>
      <c r="F46" t="s">
        <v>4533</v>
      </c>
      <c r="G46">
        <v>9322696669</v>
      </c>
      <c r="H46" t="s">
        <v>4381</v>
      </c>
      <c r="I46" t="s">
        <v>4382</v>
      </c>
      <c r="J46" t="s">
        <v>4482</v>
      </c>
      <c r="K46">
        <v>2.5</v>
      </c>
      <c r="L46">
        <v>7.8</v>
      </c>
      <c r="M46">
        <v>10.9</v>
      </c>
      <c r="N46" t="s">
        <v>4377</v>
      </c>
      <c r="O46" t="s">
        <v>4391</v>
      </c>
      <c r="P46" s="1">
        <v>45683</v>
      </c>
      <c r="Q46" t="str">
        <f t="shared" si="0"/>
        <v>10+ Years</v>
      </c>
      <c r="R46" t="str">
        <f>IF(Table7[[#This Row],[Age]]&lt;=25,"20-25",IF(Table7[[#This Row],[Age]]&lt;=30,"26-30",IF(Table7[[#This Row],[Age]]&lt;=35,"31-35","36+")))</f>
        <v>36+</v>
      </c>
      <c r="S46" t="str">
        <f t="shared" si="1"/>
        <v>January</v>
      </c>
      <c r="T46" s="2" t="str">
        <f t="shared" si="2"/>
        <v>Q1</v>
      </c>
      <c r="U46" s="2">
        <f t="shared" si="3"/>
        <v>2025</v>
      </c>
    </row>
    <row r="47" spans="1:21" x14ac:dyDescent="0.3">
      <c r="A47" t="s">
        <v>2404</v>
      </c>
      <c r="B47" t="s">
        <v>4534</v>
      </c>
      <c r="C47" t="s">
        <v>4535</v>
      </c>
      <c r="D47" t="s">
        <v>4363</v>
      </c>
      <c r="E47">
        <v>38</v>
      </c>
      <c r="F47" t="s">
        <v>4536</v>
      </c>
      <c r="G47">
        <v>9500199030</v>
      </c>
      <c r="H47" t="s">
        <v>4374</v>
      </c>
      <c r="I47" t="s">
        <v>4375</v>
      </c>
      <c r="J47" t="s">
        <v>4450</v>
      </c>
      <c r="K47">
        <v>7.3</v>
      </c>
      <c r="L47">
        <v>11.6</v>
      </c>
      <c r="M47">
        <v>13.7</v>
      </c>
      <c r="N47" t="s">
        <v>4390</v>
      </c>
      <c r="O47" t="s">
        <v>4485</v>
      </c>
      <c r="P47" s="1">
        <v>45673</v>
      </c>
      <c r="Q47" t="str">
        <f t="shared" si="0"/>
        <v>10+ Years</v>
      </c>
      <c r="R47" t="str">
        <f>IF(Table7[[#This Row],[Age]]&lt;=25,"20-25",IF(Table7[[#This Row],[Age]]&lt;=30,"26-30",IF(Table7[[#This Row],[Age]]&lt;=35,"31-35","36+")))</f>
        <v>36+</v>
      </c>
      <c r="S47" t="str">
        <f t="shared" si="1"/>
        <v>January</v>
      </c>
      <c r="T47" s="2" t="str">
        <f t="shared" si="2"/>
        <v>Q1</v>
      </c>
      <c r="U47" s="2">
        <f t="shared" si="3"/>
        <v>2025</v>
      </c>
    </row>
    <row r="48" spans="1:21" x14ac:dyDescent="0.3">
      <c r="A48" t="s">
        <v>357</v>
      </c>
      <c r="B48" t="s">
        <v>4537</v>
      </c>
      <c r="C48" t="s">
        <v>4538</v>
      </c>
      <c r="D48" t="s">
        <v>4363</v>
      </c>
      <c r="E48">
        <v>24</v>
      </c>
      <c r="F48" t="s">
        <v>4539</v>
      </c>
      <c r="G48">
        <v>9971689949</v>
      </c>
      <c r="H48" t="s">
        <v>4395</v>
      </c>
      <c r="I48" t="s">
        <v>4396</v>
      </c>
      <c r="J48" t="s">
        <v>4389</v>
      </c>
      <c r="K48">
        <v>3.3</v>
      </c>
      <c r="L48">
        <v>8.6</v>
      </c>
      <c r="M48">
        <v>9.6999999999999993</v>
      </c>
      <c r="N48" t="s">
        <v>4406</v>
      </c>
      <c r="O48" t="s">
        <v>4369</v>
      </c>
      <c r="P48" s="1">
        <v>45689</v>
      </c>
      <c r="Q48" t="str">
        <f t="shared" si="0"/>
        <v>10+ Years</v>
      </c>
      <c r="R48" t="str">
        <f>IF(Table7[[#This Row],[Age]]&lt;=25,"20-25",IF(Table7[[#This Row],[Age]]&lt;=30,"26-30",IF(Table7[[#This Row],[Age]]&lt;=35,"31-35","36+")))</f>
        <v>20-25</v>
      </c>
      <c r="S48" t="str">
        <f t="shared" si="1"/>
        <v>February</v>
      </c>
      <c r="T48" s="2" t="str">
        <f t="shared" si="2"/>
        <v>Q1</v>
      </c>
      <c r="U48" s="2">
        <f t="shared" si="3"/>
        <v>2025</v>
      </c>
    </row>
    <row r="49" spans="1:21" x14ac:dyDescent="0.3">
      <c r="A49" t="s">
        <v>909</v>
      </c>
      <c r="B49" t="s">
        <v>4540</v>
      </c>
      <c r="C49" t="s">
        <v>4541</v>
      </c>
      <c r="D49" t="s">
        <v>4372</v>
      </c>
      <c r="E49">
        <v>26</v>
      </c>
      <c r="F49" t="s">
        <v>4542</v>
      </c>
      <c r="G49">
        <v>9167486538</v>
      </c>
      <c r="H49" t="s">
        <v>4387</v>
      </c>
      <c r="I49" t="s">
        <v>4388</v>
      </c>
      <c r="J49" t="s">
        <v>4376</v>
      </c>
      <c r="K49">
        <v>4.5</v>
      </c>
      <c r="L49">
        <v>8.8000000000000007</v>
      </c>
      <c r="M49">
        <v>10.9</v>
      </c>
      <c r="N49" t="s">
        <v>4368</v>
      </c>
      <c r="O49" t="s">
        <v>4419</v>
      </c>
      <c r="P49" s="1">
        <v>45680</v>
      </c>
      <c r="Q49" t="str">
        <f t="shared" si="0"/>
        <v>10+ Years</v>
      </c>
      <c r="R49" t="str">
        <f>IF(Table7[[#This Row],[Age]]&lt;=25,"20-25",IF(Table7[[#This Row],[Age]]&lt;=30,"26-30",IF(Table7[[#This Row],[Age]]&lt;=35,"31-35","36+")))</f>
        <v>26-30</v>
      </c>
      <c r="S49" t="str">
        <f t="shared" si="1"/>
        <v>January</v>
      </c>
      <c r="T49" s="2" t="str">
        <f t="shared" si="2"/>
        <v>Q1</v>
      </c>
      <c r="U49" s="2">
        <f t="shared" si="3"/>
        <v>2025</v>
      </c>
    </row>
    <row r="50" spans="1:21" x14ac:dyDescent="0.3">
      <c r="A50" t="s">
        <v>3705</v>
      </c>
      <c r="B50" t="s">
        <v>4543</v>
      </c>
      <c r="C50" t="s">
        <v>4541</v>
      </c>
      <c r="D50" t="s">
        <v>4372</v>
      </c>
      <c r="E50">
        <v>25</v>
      </c>
      <c r="F50" t="s">
        <v>4544</v>
      </c>
      <c r="G50">
        <v>9840428036</v>
      </c>
      <c r="H50" t="s">
        <v>4476</v>
      </c>
      <c r="I50" t="s">
        <v>4477</v>
      </c>
      <c r="K50">
        <v>5.8</v>
      </c>
      <c r="L50">
        <v>11.1</v>
      </c>
      <c r="M50">
        <v>13.5</v>
      </c>
      <c r="N50" t="s">
        <v>4390</v>
      </c>
      <c r="O50" t="s">
        <v>4383</v>
      </c>
      <c r="P50" s="1">
        <v>45982</v>
      </c>
      <c r="Q50" t="str">
        <f t="shared" si="0"/>
        <v>10+ Years</v>
      </c>
      <c r="R50" t="str">
        <f>IF(Table7[[#This Row],[Age]]&lt;=25,"20-25",IF(Table7[[#This Row],[Age]]&lt;=30,"26-30",IF(Table7[[#This Row],[Age]]&lt;=35,"31-35","36+")))</f>
        <v>20-25</v>
      </c>
      <c r="S50" t="str">
        <f t="shared" si="1"/>
        <v>November</v>
      </c>
      <c r="T50" s="2" t="str">
        <f t="shared" si="2"/>
        <v>Q4</v>
      </c>
      <c r="U50" s="2">
        <f t="shared" si="3"/>
        <v>2025</v>
      </c>
    </row>
    <row r="51" spans="1:21" x14ac:dyDescent="0.3">
      <c r="A51" t="s">
        <v>239</v>
      </c>
      <c r="B51" t="s">
        <v>4461</v>
      </c>
      <c r="C51" t="s">
        <v>4545</v>
      </c>
      <c r="D51" t="s">
        <v>4363</v>
      </c>
      <c r="E51">
        <v>39</v>
      </c>
      <c r="F51" t="s">
        <v>4546</v>
      </c>
      <c r="G51">
        <v>9126045435</v>
      </c>
      <c r="H51" t="s">
        <v>4506</v>
      </c>
      <c r="I51" t="s">
        <v>4507</v>
      </c>
      <c r="J51" t="s">
        <v>4432</v>
      </c>
      <c r="K51">
        <v>1.7</v>
      </c>
      <c r="L51">
        <v>10.6</v>
      </c>
      <c r="M51">
        <v>13.5</v>
      </c>
      <c r="N51" t="s">
        <v>4494</v>
      </c>
      <c r="O51" t="s">
        <v>4419</v>
      </c>
      <c r="P51" s="1">
        <v>45855</v>
      </c>
      <c r="Q51" t="str">
        <f t="shared" si="0"/>
        <v>10+ Years</v>
      </c>
      <c r="R51" t="str">
        <f>IF(Table7[[#This Row],[Age]]&lt;=25,"20-25",IF(Table7[[#This Row],[Age]]&lt;=30,"26-30",IF(Table7[[#This Row],[Age]]&lt;=35,"31-35","36+")))</f>
        <v>36+</v>
      </c>
      <c r="S51" t="str">
        <f t="shared" si="1"/>
        <v>July</v>
      </c>
      <c r="T51" s="2" t="str">
        <f t="shared" si="2"/>
        <v>Q3</v>
      </c>
      <c r="U51" s="2">
        <f t="shared" si="3"/>
        <v>2025</v>
      </c>
    </row>
    <row r="52" spans="1:21" x14ac:dyDescent="0.3">
      <c r="A52" t="s">
        <v>881</v>
      </c>
      <c r="B52" t="s">
        <v>4547</v>
      </c>
      <c r="C52" t="s">
        <v>4398</v>
      </c>
      <c r="D52" t="s">
        <v>4363</v>
      </c>
      <c r="E52">
        <v>24</v>
      </c>
      <c r="F52" t="s">
        <v>4548</v>
      </c>
      <c r="G52">
        <v>9974885109</v>
      </c>
      <c r="H52" t="s">
        <v>4491</v>
      </c>
      <c r="I52" t="s">
        <v>4491</v>
      </c>
      <c r="J52" t="s">
        <v>4367</v>
      </c>
      <c r="K52">
        <v>9.6999999999999993</v>
      </c>
      <c r="L52">
        <v>17.100000000000001</v>
      </c>
      <c r="M52">
        <v>22</v>
      </c>
      <c r="N52" t="s">
        <v>4406</v>
      </c>
      <c r="O52" t="s">
        <v>4485</v>
      </c>
      <c r="P52" s="1">
        <v>45813</v>
      </c>
      <c r="Q52" t="str">
        <f t="shared" si="0"/>
        <v>10+ Years</v>
      </c>
      <c r="R52" t="str">
        <f>IF(Table7[[#This Row],[Age]]&lt;=25,"20-25",IF(Table7[[#This Row],[Age]]&lt;=30,"26-30",IF(Table7[[#This Row],[Age]]&lt;=35,"31-35","36+")))</f>
        <v>20-25</v>
      </c>
      <c r="S52" t="str">
        <f t="shared" si="1"/>
        <v>June</v>
      </c>
      <c r="T52" s="2" t="str">
        <f t="shared" si="2"/>
        <v>Q2</v>
      </c>
      <c r="U52" s="2">
        <f t="shared" si="3"/>
        <v>2025</v>
      </c>
    </row>
    <row r="53" spans="1:21" x14ac:dyDescent="0.3">
      <c r="A53" t="s">
        <v>4549</v>
      </c>
      <c r="B53" t="s">
        <v>4550</v>
      </c>
      <c r="C53" t="s">
        <v>4551</v>
      </c>
      <c r="D53" t="s">
        <v>4363</v>
      </c>
      <c r="E53">
        <v>40</v>
      </c>
      <c r="F53" t="s">
        <v>4552</v>
      </c>
      <c r="G53">
        <v>9262473494</v>
      </c>
      <c r="H53" t="s">
        <v>4521</v>
      </c>
      <c r="I53" t="s">
        <v>4522</v>
      </c>
      <c r="J53" t="s">
        <v>4432</v>
      </c>
      <c r="K53">
        <v>5.2</v>
      </c>
      <c r="L53">
        <v>6.6</v>
      </c>
      <c r="M53">
        <v>9.3000000000000007</v>
      </c>
      <c r="N53" t="s">
        <v>4390</v>
      </c>
      <c r="O53" t="s">
        <v>4400</v>
      </c>
      <c r="P53" s="1">
        <v>45963</v>
      </c>
      <c r="Q53" t="str">
        <f t="shared" si="0"/>
        <v>10+ Years</v>
      </c>
      <c r="R53" t="str">
        <f>IF(Table7[[#This Row],[Age]]&lt;=25,"20-25",IF(Table7[[#This Row],[Age]]&lt;=30,"26-30",IF(Table7[[#This Row],[Age]]&lt;=35,"31-35","36+")))</f>
        <v>36+</v>
      </c>
      <c r="S53" t="str">
        <f t="shared" si="1"/>
        <v>November</v>
      </c>
      <c r="T53" s="2" t="str">
        <f t="shared" si="2"/>
        <v>Q4</v>
      </c>
      <c r="U53" s="2">
        <f t="shared" si="3"/>
        <v>2025</v>
      </c>
    </row>
    <row r="54" spans="1:21" x14ac:dyDescent="0.3">
      <c r="A54" t="s">
        <v>2006</v>
      </c>
      <c r="B54" t="s">
        <v>4451</v>
      </c>
      <c r="C54" t="s">
        <v>4504</v>
      </c>
      <c r="D54" t="s">
        <v>4372</v>
      </c>
      <c r="E54">
        <v>32</v>
      </c>
      <c r="F54" t="s">
        <v>4553</v>
      </c>
      <c r="G54">
        <v>9520569001</v>
      </c>
      <c r="H54" t="s">
        <v>4473</v>
      </c>
      <c r="I54" t="s">
        <v>4473</v>
      </c>
      <c r="J54" t="s">
        <v>4367</v>
      </c>
      <c r="K54">
        <v>2.2999999999999998</v>
      </c>
      <c r="L54">
        <v>8.3000000000000007</v>
      </c>
      <c r="M54">
        <v>10.4</v>
      </c>
      <c r="N54" t="s">
        <v>4390</v>
      </c>
      <c r="O54" t="s">
        <v>4391</v>
      </c>
      <c r="P54" s="1">
        <v>45936</v>
      </c>
      <c r="Q54" t="str">
        <f t="shared" si="0"/>
        <v>10+ Years</v>
      </c>
      <c r="R54" t="str">
        <f>IF(Table7[[#This Row],[Age]]&lt;=25,"20-25",IF(Table7[[#This Row],[Age]]&lt;=30,"26-30",IF(Table7[[#This Row],[Age]]&lt;=35,"31-35","36+")))</f>
        <v>31-35</v>
      </c>
      <c r="S54" t="str">
        <f t="shared" si="1"/>
        <v>October</v>
      </c>
      <c r="T54" s="2" t="str">
        <f t="shared" si="2"/>
        <v>Q4</v>
      </c>
      <c r="U54" s="2">
        <f t="shared" si="3"/>
        <v>2025</v>
      </c>
    </row>
    <row r="55" spans="1:21" x14ac:dyDescent="0.3">
      <c r="A55" t="s">
        <v>1780</v>
      </c>
      <c r="B55" t="s">
        <v>4554</v>
      </c>
      <c r="C55" t="s">
        <v>4555</v>
      </c>
      <c r="D55" t="s">
        <v>4372</v>
      </c>
      <c r="E55">
        <v>28</v>
      </c>
      <c r="F55" t="s">
        <v>4556</v>
      </c>
      <c r="G55">
        <v>9212980632</v>
      </c>
      <c r="H55" t="s">
        <v>4445</v>
      </c>
      <c r="I55" t="s">
        <v>4396</v>
      </c>
      <c r="J55" t="s">
        <v>4432</v>
      </c>
      <c r="K55">
        <v>2.9</v>
      </c>
      <c r="L55">
        <v>7</v>
      </c>
      <c r="M55">
        <v>8</v>
      </c>
      <c r="N55" t="s">
        <v>4406</v>
      </c>
      <c r="O55" t="s">
        <v>4391</v>
      </c>
      <c r="P55" s="1">
        <v>46021</v>
      </c>
      <c r="Q55" t="str">
        <f t="shared" si="0"/>
        <v>10+ Years</v>
      </c>
      <c r="R55" t="str">
        <f>IF(Table7[[#This Row],[Age]]&lt;=25,"20-25",IF(Table7[[#This Row],[Age]]&lt;=30,"26-30",IF(Table7[[#This Row],[Age]]&lt;=35,"31-35","36+")))</f>
        <v>26-30</v>
      </c>
      <c r="S55" t="str">
        <f t="shared" si="1"/>
        <v>December</v>
      </c>
      <c r="T55" s="2" t="str">
        <f t="shared" si="2"/>
        <v>Q4</v>
      </c>
      <c r="U55" s="2">
        <f t="shared" si="3"/>
        <v>2025</v>
      </c>
    </row>
    <row r="56" spans="1:21" x14ac:dyDescent="0.3">
      <c r="A56" t="s">
        <v>1756</v>
      </c>
      <c r="B56" t="s">
        <v>4557</v>
      </c>
      <c r="C56" t="s">
        <v>4558</v>
      </c>
      <c r="D56" t="s">
        <v>4363</v>
      </c>
      <c r="E56">
        <v>30</v>
      </c>
      <c r="F56" t="s">
        <v>4559</v>
      </c>
      <c r="G56">
        <v>9351466367</v>
      </c>
      <c r="H56" t="s">
        <v>4395</v>
      </c>
      <c r="I56" t="s">
        <v>4396</v>
      </c>
      <c r="J56" t="s">
        <v>4482</v>
      </c>
      <c r="K56">
        <v>0.3</v>
      </c>
      <c r="L56">
        <v>2.5</v>
      </c>
      <c r="M56">
        <v>3.3</v>
      </c>
      <c r="N56" t="s">
        <v>4390</v>
      </c>
      <c r="O56" t="s">
        <v>4400</v>
      </c>
      <c r="P56" s="1">
        <v>45998</v>
      </c>
      <c r="Q56" t="str">
        <f t="shared" si="0"/>
        <v>10+ Years</v>
      </c>
      <c r="R56" t="str">
        <f>IF(Table7[[#This Row],[Age]]&lt;=25,"20-25",IF(Table7[[#This Row],[Age]]&lt;=30,"26-30",IF(Table7[[#This Row],[Age]]&lt;=35,"31-35","36+")))</f>
        <v>26-30</v>
      </c>
      <c r="S56" t="str">
        <f t="shared" si="1"/>
        <v>December</v>
      </c>
      <c r="T56" s="2" t="str">
        <f t="shared" si="2"/>
        <v>Q4</v>
      </c>
      <c r="U56" s="2">
        <f t="shared" si="3"/>
        <v>2025</v>
      </c>
    </row>
    <row r="57" spans="1:21" x14ac:dyDescent="0.3">
      <c r="A57" t="s">
        <v>3355</v>
      </c>
      <c r="B57" t="s">
        <v>4523</v>
      </c>
      <c r="C57" t="s">
        <v>4486</v>
      </c>
      <c r="D57" t="s">
        <v>4363</v>
      </c>
      <c r="E57">
        <v>33</v>
      </c>
      <c r="F57" t="s">
        <v>4560</v>
      </c>
      <c r="G57">
        <v>9415446180</v>
      </c>
      <c r="H57" t="s">
        <v>4454</v>
      </c>
      <c r="I57" t="s">
        <v>4455</v>
      </c>
      <c r="J57" t="s">
        <v>4376</v>
      </c>
      <c r="K57">
        <v>1.1000000000000001</v>
      </c>
      <c r="L57">
        <v>6.8</v>
      </c>
      <c r="M57">
        <v>8.5</v>
      </c>
      <c r="N57" t="s">
        <v>4390</v>
      </c>
      <c r="O57" t="s">
        <v>4369</v>
      </c>
      <c r="P57" s="1">
        <v>45784</v>
      </c>
      <c r="Q57" t="str">
        <f t="shared" si="0"/>
        <v>10+ Years</v>
      </c>
      <c r="R57" t="str">
        <f>IF(Table7[[#This Row],[Age]]&lt;=25,"20-25",IF(Table7[[#This Row],[Age]]&lt;=30,"26-30",IF(Table7[[#This Row],[Age]]&lt;=35,"31-35","36+")))</f>
        <v>31-35</v>
      </c>
      <c r="S57" t="str">
        <f t="shared" si="1"/>
        <v>May</v>
      </c>
      <c r="T57" s="2" t="str">
        <f t="shared" si="2"/>
        <v>Q2</v>
      </c>
      <c r="U57" s="2">
        <f t="shared" si="3"/>
        <v>2025</v>
      </c>
    </row>
    <row r="58" spans="1:21" x14ac:dyDescent="0.3">
      <c r="A58" t="s">
        <v>1296</v>
      </c>
      <c r="B58" t="s">
        <v>4447</v>
      </c>
      <c r="C58" t="s">
        <v>4561</v>
      </c>
      <c r="D58" t="s">
        <v>4372</v>
      </c>
      <c r="E58">
        <v>30</v>
      </c>
      <c r="F58" t="s">
        <v>4562</v>
      </c>
      <c r="G58">
        <v>9264628456</v>
      </c>
      <c r="H58" t="s">
        <v>4454</v>
      </c>
      <c r="I58" t="s">
        <v>4455</v>
      </c>
      <c r="K58">
        <v>1.2</v>
      </c>
      <c r="M58">
        <v>16.600000000000001</v>
      </c>
      <c r="N58" t="s">
        <v>4368</v>
      </c>
      <c r="O58" t="s">
        <v>4391</v>
      </c>
      <c r="P58" s="1">
        <v>45783</v>
      </c>
      <c r="Q58" t="str">
        <f t="shared" si="0"/>
        <v>10+ Years</v>
      </c>
      <c r="R58" t="str">
        <f>IF(Table7[[#This Row],[Age]]&lt;=25,"20-25",IF(Table7[[#This Row],[Age]]&lt;=30,"26-30",IF(Table7[[#This Row],[Age]]&lt;=35,"31-35","36+")))</f>
        <v>26-30</v>
      </c>
      <c r="S58" t="str">
        <f t="shared" si="1"/>
        <v>May</v>
      </c>
      <c r="T58" s="2" t="str">
        <f t="shared" si="2"/>
        <v>Q2</v>
      </c>
      <c r="U58" s="2">
        <f t="shared" si="3"/>
        <v>2025</v>
      </c>
    </row>
    <row r="59" spans="1:21" x14ac:dyDescent="0.3">
      <c r="A59" t="s">
        <v>3724</v>
      </c>
      <c r="B59" t="s">
        <v>4563</v>
      </c>
      <c r="C59" t="s">
        <v>4561</v>
      </c>
      <c r="D59" t="s">
        <v>4372</v>
      </c>
      <c r="E59">
        <v>31</v>
      </c>
      <c r="F59" t="s">
        <v>4564</v>
      </c>
      <c r="G59">
        <v>9797546341</v>
      </c>
      <c r="H59" t="s">
        <v>4473</v>
      </c>
      <c r="I59" t="s">
        <v>4473</v>
      </c>
      <c r="J59" t="s">
        <v>4367</v>
      </c>
      <c r="K59">
        <v>2.6</v>
      </c>
      <c r="L59">
        <v>8.8000000000000007</v>
      </c>
      <c r="M59">
        <v>11.2</v>
      </c>
      <c r="N59" t="s">
        <v>4406</v>
      </c>
      <c r="O59" t="s">
        <v>4369</v>
      </c>
      <c r="P59" s="1">
        <v>45776</v>
      </c>
      <c r="Q59" t="str">
        <f t="shared" si="0"/>
        <v>10+ Years</v>
      </c>
      <c r="R59" t="str">
        <f>IF(Table7[[#This Row],[Age]]&lt;=25,"20-25",IF(Table7[[#This Row],[Age]]&lt;=30,"26-30",IF(Table7[[#This Row],[Age]]&lt;=35,"31-35","36+")))</f>
        <v>31-35</v>
      </c>
      <c r="S59" t="str">
        <f t="shared" si="1"/>
        <v>April</v>
      </c>
      <c r="T59" s="2" t="str">
        <f t="shared" si="2"/>
        <v>Q2</v>
      </c>
      <c r="U59" s="2">
        <f t="shared" si="3"/>
        <v>2025</v>
      </c>
    </row>
    <row r="60" spans="1:21" x14ac:dyDescent="0.3">
      <c r="A60" t="s">
        <v>878</v>
      </c>
      <c r="B60" t="s">
        <v>4565</v>
      </c>
      <c r="C60" t="s">
        <v>4566</v>
      </c>
      <c r="D60" t="s">
        <v>4363</v>
      </c>
      <c r="E60">
        <v>29</v>
      </c>
      <c r="F60" t="s">
        <v>4567</v>
      </c>
      <c r="G60">
        <v>9143338216</v>
      </c>
      <c r="H60" t="s">
        <v>4387</v>
      </c>
      <c r="I60" t="s">
        <v>4388</v>
      </c>
      <c r="K60">
        <v>3.1</v>
      </c>
      <c r="M60">
        <v>17.5</v>
      </c>
      <c r="N60" t="s">
        <v>4368</v>
      </c>
      <c r="O60" t="s">
        <v>4419</v>
      </c>
      <c r="P60" s="1">
        <v>45956</v>
      </c>
      <c r="Q60" t="str">
        <f t="shared" si="0"/>
        <v>10+ Years</v>
      </c>
      <c r="R60" t="str">
        <f>IF(Table7[[#This Row],[Age]]&lt;=25,"20-25",IF(Table7[[#This Row],[Age]]&lt;=30,"26-30",IF(Table7[[#This Row],[Age]]&lt;=35,"31-35","36+")))</f>
        <v>26-30</v>
      </c>
      <c r="S60" t="str">
        <f t="shared" si="1"/>
        <v>October</v>
      </c>
      <c r="T60" s="2" t="str">
        <f t="shared" si="2"/>
        <v>Q4</v>
      </c>
      <c r="U60" s="2">
        <f t="shared" si="3"/>
        <v>2025</v>
      </c>
    </row>
    <row r="61" spans="1:21" x14ac:dyDescent="0.3">
      <c r="A61" t="s">
        <v>1131</v>
      </c>
      <c r="B61" t="s">
        <v>4568</v>
      </c>
      <c r="C61" t="s">
        <v>4569</v>
      </c>
      <c r="D61" t="s">
        <v>4372</v>
      </c>
      <c r="E61">
        <v>35</v>
      </c>
      <c r="F61" t="s">
        <v>4570</v>
      </c>
      <c r="G61">
        <v>9499686394</v>
      </c>
      <c r="H61" t="s">
        <v>4374</v>
      </c>
      <c r="I61" t="s">
        <v>4375</v>
      </c>
      <c r="J61" t="s">
        <v>4446</v>
      </c>
      <c r="K61">
        <v>4.4000000000000004</v>
      </c>
      <c r="L61">
        <v>13.5</v>
      </c>
      <c r="M61">
        <v>17.100000000000001</v>
      </c>
      <c r="N61" t="s">
        <v>4368</v>
      </c>
      <c r="O61" t="s">
        <v>4400</v>
      </c>
      <c r="P61" s="1">
        <v>45661</v>
      </c>
      <c r="Q61" t="str">
        <f t="shared" si="0"/>
        <v>10+ Years</v>
      </c>
      <c r="R61" t="str">
        <f>IF(Table7[[#This Row],[Age]]&lt;=25,"20-25",IF(Table7[[#This Row],[Age]]&lt;=30,"26-30",IF(Table7[[#This Row],[Age]]&lt;=35,"31-35","36+")))</f>
        <v>31-35</v>
      </c>
      <c r="S61" t="str">
        <f t="shared" si="1"/>
        <v>January</v>
      </c>
      <c r="T61" s="2" t="str">
        <f t="shared" si="2"/>
        <v>Q1</v>
      </c>
      <c r="U61" s="2">
        <f t="shared" si="3"/>
        <v>2025</v>
      </c>
    </row>
    <row r="62" spans="1:21" x14ac:dyDescent="0.3">
      <c r="A62" t="s">
        <v>2767</v>
      </c>
      <c r="B62" t="s">
        <v>4335</v>
      </c>
      <c r="C62" t="s">
        <v>4571</v>
      </c>
      <c r="D62" t="s">
        <v>4372</v>
      </c>
      <c r="E62">
        <v>23</v>
      </c>
      <c r="F62" t="s">
        <v>4572</v>
      </c>
      <c r="G62">
        <v>9862041122</v>
      </c>
      <c r="H62" t="s">
        <v>4521</v>
      </c>
      <c r="I62" t="s">
        <v>4522</v>
      </c>
      <c r="J62" t="s">
        <v>4482</v>
      </c>
      <c r="K62">
        <v>12.3</v>
      </c>
      <c r="L62">
        <v>16.8</v>
      </c>
      <c r="M62">
        <v>19</v>
      </c>
      <c r="N62" t="s">
        <v>4368</v>
      </c>
      <c r="O62" t="s">
        <v>4369</v>
      </c>
      <c r="P62" s="1">
        <v>45788</v>
      </c>
      <c r="Q62" t="str">
        <f t="shared" si="0"/>
        <v>10+ Years</v>
      </c>
      <c r="R62" t="str">
        <f>IF(Table7[[#This Row],[Age]]&lt;=25,"20-25",IF(Table7[[#This Row],[Age]]&lt;=30,"26-30",IF(Table7[[#This Row],[Age]]&lt;=35,"31-35","36+")))</f>
        <v>20-25</v>
      </c>
      <c r="S62" t="str">
        <f t="shared" si="1"/>
        <v>May</v>
      </c>
      <c r="T62" s="2" t="str">
        <f t="shared" si="2"/>
        <v>Q2</v>
      </c>
      <c r="U62" s="2">
        <f t="shared" si="3"/>
        <v>2025</v>
      </c>
    </row>
    <row r="63" spans="1:21" x14ac:dyDescent="0.3">
      <c r="A63" t="s">
        <v>3605</v>
      </c>
      <c r="B63" t="s">
        <v>4573</v>
      </c>
      <c r="C63" t="s">
        <v>4574</v>
      </c>
      <c r="D63" t="s">
        <v>4372</v>
      </c>
      <c r="E63">
        <v>26</v>
      </c>
      <c r="F63" t="s">
        <v>4575</v>
      </c>
      <c r="G63">
        <v>9799696144</v>
      </c>
      <c r="H63" t="s">
        <v>4387</v>
      </c>
      <c r="I63" t="s">
        <v>4388</v>
      </c>
      <c r="J63" t="s">
        <v>4367</v>
      </c>
      <c r="K63">
        <v>1.5</v>
      </c>
      <c r="L63">
        <v>11.4</v>
      </c>
      <c r="M63">
        <v>12.8</v>
      </c>
      <c r="N63" t="s">
        <v>4368</v>
      </c>
      <c r="O63" t="s">
        <v>4456</v>
      </c>
      <c r="P63" s="1">
        <v>45752</v>
      </c>
      <c r="Q63" t="str">
        <f t="shared" si="0"/>
        <v>10+ Years</v>
      </c>
      <c r="R63" t="str">
        <f>IF(Table7[[#This Row],[Age]]&lt;=25,"20-25",IF(Table7[[#This Row],[Age]]&lt;=30,"26-30",IF(Table7[[#This Row],[Age]]&lt;=35,"31-35","36+")))</f>
        <v>26-30</v>
      </c>
      <c r="S63" t="str">
        <f t="shared" si="1"/>
        <v>April</v>
      </c>
      <c r="T63" s="2" t="str">
        <f t="shared" si="2"/>
        <v>Q2</v>
      </c>
      <c r="U63" s="2">
        <f t="shared" si="3"/>
        <v>2025</v>
      </c>
    </row>
    <row r="64" spans="1:21" x14ac:dyDescent="0.3">
      <c r="A64" t="s">
        <v>2428</v>
      </c>
      <c r="B64" t="s">
        <v>4407</v>
      </c>
      <c r="C64" t="s">
        <v>4576</v>
      </c>
      <c r="D64" t="s">
        <v>4363</v>
      </c>
      <c r="E64">
        <v>40</v>
      </c>
      <c r="F64" t="s">
        <v>4577</v>
      </c>
      <c r="G64">
        <v>9318407432</v>
      </c>
      <c r="H64" t="s">
        <v>4410</v>
      </c>
      <c r="I64" t="s">
        <v>4411</v>
      </c>
      <c r="J64" t="s">
        <v>4389</v>
      </c>
      <c r="K64">
        <v>3.4</v>
      </c>
      <c r="L64">
        <v>8</v>
      </c>
      <c r="M64">
        <v>10.4</v>
      </c>
      <c r="O64" t="s">
        <v>4369</v>
      </c>
      <c r="P64" s="1">
        <v>45860</v>
      </c>
      <c r="Q64" t="str">
        <f t="shared" si="0"/>
        <v>10+ Years</v>
      </c>
      <c r="R64" t="str">
        <f>IF(Table7[[#This Row],[Age]]&lt;=25,"20-25",IF(Table7[[#This Row],[Age]]&lt;=30,"26-30",IF(Table7[[#This Row],[Age]]&lt;=35,"31-35","36+")))</f>
        <v>36+</v>
      </c>
      <c r="S64" t="str">
        <f t="shared" si="1"/>
        <v>July</v>
      </c>
      <c r="T64" s="2" t="str">
        <f t="shared" si="2"/>
        <v>Q3</v>
      </c>
      <c r="U64" s="2">
        <f t="shared" si="3"/>
        <v>2025</v>
      </c>
    </row>
    <row r="65" spans="1:21" x14ac:dyDescent="0.3">
      <c r="A65" t="s">
        <v>1324</v>
      </c>
      <c r="B65" t="s">
        <v>4547</v>
      </c>
      <c r="C65" t="s">
        <v>4578</v>
      </c>
      <c r="D65" t="s">
        <v>4363</v>
      </c>
      <c r="E65">
        <v>38</v>
      </c>
      <c r="F65" t="s">
        <v>4579</v>
      </c>
      <c r="G65">
        <v>9786316388</v>
      </c>
      <c r="H65" t="s">
        <v>4374</v>
      </c>
      <c r="I65" t="s">
        <v>4375</v>
      </c>
      <c r="J65" t="s">
        <v>4367</v>
      </c>
      <c r="K65">
        <v>0.7</v>
      </c>
      <c r="L65">
        <v>3.1</v>
      </c>
      <c r="M65">
        <v>3.6</v>
      </c>
      <c r="N65" t="s">
        <v>4390</v>
      </c>
      <c r="O65" t="s">
        <v>4391</v>
      </c>
      <c r="P65" s="1">
        <v>45803</v>
      </c>
      <c r="Q65" t="str">
        <f t="shared" si="0"/>
        <v>10+ Years</v>
      </c>
      <c r="R65" t="str">
        <f>IF(Table7[[#This Row],[Age]]&lt;=25,"20-25",IF(Table7[[#This Row],[Age]]&lt;=30,"26-30",IF(Table7[[#This Row],[Age]]&lt;=35,"31-35","36+")))</f>
        <v>36+</v>
      </c>
      <c r="S65" t="str">
        <f t="shared" si="1"/>
        <v>May</v>
      </c>
      <c r="T65" s="2" t="str">
        <f t="shared" si="2"/>
        <v>Q2</v>
      </c>
      <c r="U65" s="2">
        <f t="shared" si="3"/>
        <v>2025</v>
      </c>
    </row>
    <row r="66" spans="1:21" x14ac:dyDescent="0.3">
      <c r="A66" t="s">
        <v>517</v>
      </c>
      <c r="B66" t="s">
        <v>4566</v>
      </c>
      <c r="C66" t="s">
        <v>4580</v>
      </c>
      <c r="D66" t="s">
        <v>4363</v>
      </c>
      <c r="E66">
        <v>39</v>
      </c>
      <c r="F66" t="s">
        <v>4581</v>
      </c>
      <c r="G66">
        <v>9155148117</v>
      </c>
      <c r="H66" t="s">
        <v>4454</v>
      </c>
      <c r="I66" t="s">
        <v>4455</v>
      </c>
      <c r="J66" t="s">
        <v>4389</v>
      </c>
      <c r="K66">
        <v>3.5</v>
      </c>
      <c r="L66">
        <v>10.6</v>
      </c>
      <c r="M66">
        <v>15</v>
      </c>
      <c r="O66" t="s">
        <v>4369</v>
      </c>
      <c r="P66" s="1">
        <v>45844</v>
      </c>
      <c r="Q66" t="str">
        <f t="shared" ref="Q66:Q129" si="4">IF(P66&lt;=2,"0-2 Years",IF(P66&lt;=5,"3-5 Years",IF(P66&lt;=10,"6-10 Years","10+ Years")))</f>
        <v>10+ Years</v>
      </c>
      <c r="R66" t="str">
        <f>IF(Table7[[#This Row],[Age]]&lt;=25,"20-25",IF(Table7[[#This Row],[Age]]&lt;=30,"26-30",IF(Table7[[#This Row],[Age]]&lt;=35,"31-35","36+")))</f>
        <v>36+</v>
      </c>
      <c r="S66" t="str">
        <f t="shared" ref="S66:S129" si="5">TEXT(P66,"mmmm")</f>
        <v>July</v>
      </c>
      <c r="T66" s="2" t="str">
        <f t="shared" ref="T66:T129" si="6">"Q"&amp;ROUNDUP(MONTH(P66)/3,0)</f>
        <v>Q3</v>
      </c>
      <c r="U66" s="2">
        <f t="shared" ref="U66:U129" si="7">YEAR(P66)</f>
        <v>2025</v>
      </c>
    </row>
    <row r="67" spans="1:21" x14ac:dyDescent="0.3">
      <c r="A67" t="s">
        <v>469</v>
      </c>
      <c r="B67" t="s">
        <v>4582</v>
      </c>
      <c r="C67" t="s">
        <v>4583</v>
      </c>
      <c r="D67" t="s">
        <v>4363</v>
      </c>
      <c r="E67">
        <v>33</v>
      </c>
      <c r="F67" t="s">
        <v>4584</v>
      </c>
      <c r="G67">
        <v>9881718087</v>
      </c>
      <c r="H67" t="s">
        <v>4381</v>
      </c>
      <c r="I67" t="s">
        <v>4382</v>
      </c>
      <c r="K67">
        <v>0.9</v>
      </c>
      <c r="L67">
        <v>6.1</v>
      </c>
      <c r="M67">
        <v>6.8</v>
      </c>
      <c r="O67" t="s">
        <v>4391</v>
      </c>
      <c r="P67" s="1">
        <v>45704</v>
      </c>
      <c r="Q67" t="str">
        <f t="shared" si="4"/>
        <v>10+ Years</v>
      </c>
      <c r="R67" t="str">
        <f>IF(Table7[[#This Row],[Age]]&lt;=25,"20-25",IF(Table7[[#This Row],[Age]]&lt;=30,"26-30",IF(Table7[[#This Row],[Age]]&lt;=35,"31-35","36+")))</f>
        <v>31-35</v>
      </c>
      <c r="S67" t="str">
        <f t="shared" si="5"/>
        <v>February</v>
      </c>
      <c r="T67" s="2" t="str">
        <f t="shared" si="6"/>
        <v>Q1</v>
      </c>
      <c r="U67" s="2">
        <f t="shared" si="7"/>
        <v>2025</v>
      </c>
    </row>
    <row r="68" spans="1:21" x14ac:dyDescent="0.3">
      <c r="A68" t="s">
        <v>77</v>
      </c>
      <c r="B68" t="s">
        <v>4534</v>
      </c>
      <c r="C68" t="s">
        <v>4463</v>
      </c>
      <c r="D68" t="s">
        <v>4372</v>
      </c>
      <c r="E68">
        <v>35</v>
      </c>
      <c r="F68" t="s">
        <v>4585</v>
      </c>
      <c r="G68">
        <v>9594894303</v>
      </c>
      <c r="H68" t="s">
        <v>4473</v>
      </c>
      <c r="I68" t="s">
        <v>4473</v>
      </c>
      <c r="K68">
        <v>9.4</v>
      </c>
      <c r="L68">
        <v>19.899999999999999</v>
      </c>
      <c r="M68">
        <v>22.4</v>
      </c>
      <c r="N68" t="s">
        <v>4390</v>
      </c>
      <c r="O68" t="s">
        <v>4383</v>
      </c>
      <c r="P68" s="1">
        <v>45861</v>
      </c>
      <c r="Q68" t="str">
        <f t="shared" si="4"/>
        <v>10+ Years</v>
      </c>
      <c r="R68" t="str">
        <f>IF(Table7[[#This Row],[Age]]&lt;=25,"20-25",IF(Table7[[#This Row],[Age]]&lt;=30,"26-30",IF(Table7[[#This Row],[Age]]&lt;=35,"31-35","36+")))</f>
        <v>31-35</v>
      </c>
      <c r="S68" t="str">
        <f t="shared" si="5"/>
        <v>July</v>
      </c>
      <c r="T68" s="2" t="str">
        <f t="shared" si="6"/>
        <v>Q3</v>
      </c>
      <c r="U68" s="2">
        <f t="shared" si="7"/>
        <v>2025</v>
      </c>
    </row>
    <row r="69" spans="1:21" x14ac:dyDescent="0.3">
      <c r="A69" t="s">
        <v>221</v>
      </c>
      <c r="B69" t="s">
        <v>4586</v>
      </c>
      <c r="C69" t="s">
        <v>4532</v>
      </c>
      <c r="D69" t="s">
        <v>4372</v>
      </c>
      <c r="E69">
        <v>22</v>
      </c>
      <c r="F69" t="s">
        <v>4587</v>
      </c>
      <c r="G69">
        <v>9498190306</v>
      </c>
      <c r="H69" t="s">
        <v>4404</v>
      </c>
      <c r="I69" t="s">
        <v>4405</v>
      </c>
      <c r="J69" t="s">
        <v>4415</v>
      </c>
      <c r="K69">
        <v>4.4000000000000004</v>
      </c>
      <c r="L69">
        <v>7.7</v>
      </c>
      <c r="M69">
        <v>9</v>
      </c>
      <c r="N69" t="s">
        <v>4368</v>
      </c>
      <c r="O69" t="s">
        <v>4383</v>
      </c>
      <c r="P69" s="1">
        <v>45692</v>
      </c>
      <c r="Q69" t="str">
        <f t="shared" si="4"/>
        <v>10+ Years</v>
      </c>
      <c r="R69" t="str">
        <f>IF(Table7[[#This Row],[Age]]&lt;=25,"20-25",IF(Table7[[#This Row],[Age]]&lt;=30,"26-30",IF(Table7[[#This Row],[Age]]&lt;=35,"31-35","36+")))</f>
        <v>20-25</v>
      </c>
      <c r="S69" t="str">
        <f t="shared" si="5"/>
        <v>February</v>
      </c>
      <c r="T69" s="2" t="str">
        <f t="shared" si="6"/>
        <v>Q1</v>
      </c>
      <c r="U69" s="2">
        <f t="shared" si="7"/>
        <v>2025</v>
      </c>
    </row>
    <row r="70" spans="1:21" x14ac:dyDescent="0.3">
      <c r="A70" t="s">
        <v>330</v>
      </c>
      <c r="B70" t="s">
        <v>4588</v>
      </c>
      <c r="C70" t="s">
        <v>4417</v>
      </c>
      <c r="D70" t="s">
        <v>4372</v>
      </c>
      <c r="E70">
        <v>33</v>
      </c>
      <c r="F70" t="s">
        <v>4589</v>
      </c>
      <c r="G70">
        <v>9909124394</v>
      </c>
      <c r="H70" t="s">
        <v>4473</v>
      </c>
      <c r="I70" t="s">
        <v>4473</v>
      </c>
      <c r="J70" t="s">
        <v>4389</v>
      </c>
      <c r="K70">
        <v>7.5</v>
      </c>
      <c r="L70">
        <v>11.8</v>
      </c>
      <c r="M70">
        <v>16.3</v>
      </c>
      <c r="N70" t="s">
        <v>4368</v>
      </c>
      <c r="O70" t="s">
        <v>4400</v>
      </c>
      <c r="P70" s="1">
        <v>45680</v>
      </c>
      <c r="Q70" t="str">
        <f t="shared" si="4"/>
        <v>10+ Years</v>
      </c>
      <c r="R70" t="str">
        <f>IF(Table7[[#This Row],[Age]]&lt;=25,"20-25",IF(Table7[[#This Row],[Age]]&lt;=30,"26-30",IF(Table7[[#This Row],[Age]]&lt;=35,"31-35","36+")))</f>
        <v>31-35</v>
      </c>
      <c r="S70" t="str">
        <f t="shared" si="5"/>
        <v>January</v>
      </c>
      <c r="T70" s="2" t="str">
        <f t="shared" si="6"/>
        <v>Q1</v>
      </c>
      <c r="U70" s="2">
        <f t="shared" si="7"/>
        <v>2025</v>
      </c>
    </row>
    <row r="71" spans="1:21" x14ac:dyDescent="0.3">
      <c r="A71" t="s">
        <v>2483</v>
      </c>
      <c r="B71" t="s">
        <v>4590</v>
      </c>
      <c r="C71" t="s">
        <v>4591</v>
      </c>
      <c r="D71" t="s">
        <v>4363</v>
      </c>
      <c r="E71">
        <v>23</v>
      </c>
      <c r="F71" t="s">
        <v>4592</v>
      </c>
      <c r="G71">
        <v>9437719695</v>
      </c>
      <c r="H71" t="s">
        <v>4410</v>
      </c>
      <c r="I71" t="s">
        <v>4411</v>
      </c>
      <c r="K71">
        <v>6.5</v>
      </c>
      <c r="L71">
        <v>14.6</v>
      </c>
      <c r="M71">
        <v>19.399999999999999</v>
      </c>
      <c r="N71" t="s">
        <v>4406</v>
      </c>
      <c r="O71" t="s">
        <v>4456</v>
      </c>
      <c r="P71" s="1">
        <v>46010</v>
      </c>
      <c r="Q71" t="str">
        <f t="shared" si="4"/>
        <v>10+ Years</v>
      </c>
      <c r="R71" t="str">
        <f>IF(Table7[[#This Row],[Age]]&lt;=25,"20-25",IF(Table7[[#This Row],[Age]]&lt;=30,"26-30",IF(Table7[[#This Row],[Age]]&lt;=35,"31-35","36+")))</f>
        <v>20-25</v>
      </c>
      <c r="S71" t="str">
        <f t="shared" si="5"/>
        <v>December</v>
      </c>
      <c r="T71" s="2" t="str">
        <f t="shared" si="6"/>
        <v>Q4</v>
      </c>
      <c r="U71" s="2">
        <f t="shared" si="7"/>
        <v>2025</v>
      </c>
    </row>
    <row r="72" spans="1:21" x14ac:dyDescent="0.3">
      <c r="A72" t="s">
        <v>3194</v>
      </c>
      <c r="B72" t="s">
        <v>4593</v>
      </c>
      <c r="C72" t="s">
        <v>4594</v>
      </c>
      <c r="D72" t="s">
        <v>4363</v>
      </c>
      <c r="E72">
        <v>29</v>
      </c>
      <c r="F72" t="s">
        <v>4595</v>
      </c>
      <c r="G72">
        <v>9787543116</v>
      </c>
      <c r="H72" t="s">
        <v>4473</v>
      </c>
      <c r="I72" t="s">
        <v>4473</v>
      </c>
      <c r="J72" t="s">
        <v>4446</v>
      </c>
      <c r="K72">
        <v>11.6</v>
      </c>
      <c r="L72">
        <v>21.7</v>
      </c>
      <c r="M72">
        <v>28.8</v>
      </c>
      <c r="N72" t="s">
        <v>4390</v>
      </c>
      <c r="O72" t="s">
        <v>4369</v>
      </c>
      <c r="P72" s="1">
        <v>45900</v>
      </c>
      <c r="Q72" t="str">
        <f t="shared" si="4"/>
        <v>10+ Years</v>
      </c>
      <c r="R72" t="str">
        <f>IF(Table7[[#This Row],[Age]]&lt;=25,"20-25",IF(Table7[[#This Row],[Age]]&lt;=30,"26-30",IF(Table7[[#This Row],[Age]]&lt;=35,"31-35","36+")))</f>
        <v>26-30</v>
      </c>
      <c r="S72" t="str">
        <f t="shared" si="5"/>
        <v>August</v>
      </c>
      <c r="T72" s="2" t="str">
        <f t="shared" si="6"/>
        <v>Q3</v>
      </c>
      <c r="U72" s="2">
        <f t="shared" si="7"/>
        <v>2025</v>
      </c>
    </row>
    <row r="73" spans="1:21" x14ac:dyDescent="0.3">
      <c r="A73" t="s">
        <v>281</v>
      </c>
      <c r="B73" t="s">
        <v>4596</v>
      </c>
      <c r="C73" t="s">
        <v>4597</v>
      </c>
      <c r="D73" t="s">
        <v>4372</v>
      </c>
      <c r="E73">
        <v>27</v>
      </c>
      <c r="F73" t="s">
        <v>4598</v>
      </c>
      <c r="G73">
        <v>9144788540</v>
      </c>
      <c r="H73" t="s">
        <v>4381</v>
      </c>
      <c r="I73" t="s">
        <v>4382</v>
      </c>
      <c r="J73" t="s">
        <v>4450</v>
      </c>
      <c r="K73">
        <v>0.9</v>
      </c>
      <c r="L73">
        <v>3.9</v>
      </c>
      <c r="M73">
        <v>4.5999999999999996</v>
      </c>
      <c r="N73" t="s">
        <v>4390</v>
      </c>
      <c r="O73" t="s">
        <v>4369</v>
      </c>
      <c r="P73" s="1">
        <v>45756</v>
      </c>
      <c r="Q73" t="str">
        <f t="shared" si="4"/>
        <v>10+ Years</v>
      </c>
      <c r="R73" t="str">
        <f>IF(Table7[[#This Row],[Age]]&lt;=25,"20-25",IF(Table7[[#This Row],[Age]]&lt;=30,"26-30",IF(Table7[[#This Row],[Age]]&lt;=35,"31-35","36+")))</f>
        <v>26-30</v>
      </c>
      <c r="S73" t="str">
        <f t="shared" si="5"/>
        <v>April</v>
      </c>
      <c r="T73" s="2" t="str">
        <f t="shared" si="6"/>
        <v>Q2</v>
      </c>
      <c r="U73" s="2">
        <f t="shared" si="7"/>
        <v>2025</v>
      </c>
    </row>
    <row r="74" spans="1:21" x14ac:dyDescent="0.3">
      <c r="A74" t="s">
        <v>3486</v>
      </c>
      <c r="B74" t="s">
        <v>4599</v>
      </c>
      <c r="C74" t="s">
        <v>4600</v>
      </c>
      <c r="D74" t="s">
        <v>4372</v>
      </c>
      <c r="E74">
        <v>33</v>
      </c>
      <c r="F74" t="s">
        <v>4601</v>
      </c>
      <c r="G74">
        <v>9913317829</v>
      </c>
      <c r="H74" t="s">
        <v>4395</v>
      </c>
      <c r="I74" t="s">
        <v>4396</v>
      </c>
      <c r="J74" t="s">
        <v>4367</v>
      </c>
      <c r="K74">
        <v>0</v>
      </c>
      <c r="L74">
        <v>6.9</v>
      </c>
      <c r="M74">
        <v>9.6</v>
      </c>
      <c r="N74" t="s">
        <v>4406</v>
      </c>
      <c r="O74" t="s">
        <v>4383</v>
      </c>
      <c r="P74" s="1">
        <v>45939</v>
      </c>
      <c r="Q74" t="str">
        <f t="shared" si="4"/>
        <v>10+ Years</v>
      </c>
      <c r="R74" t="str">
        <f>IF(Table7[[#This Row],[Age]]&lt;=25,"20-25",IF(Table7[[#This Row],[Age]]&lt;=30,"26-30",IF(Table7[[#This Row],[Age]]&lt;=35,"31-35","36+")))</f>
        <v>31-35</v>
      </c>
      <c r="S74" t="str">
        <f t="shared" si="5"/>
        <v>October</v>
      </c>
      <c r="T74" s="2" t="str">
        <f t="shared" si="6"/>
        <v>Q4</v>
      </c>
      <c r="U74" s="2">
        <f t="shared" si="7"/>
        <v>2025</v>
      </c>
    </row>
    <row r="75" spans="1:21" x14ac:dyDescent="0.3">
      <c r="A75" t="s">
        <v>1731</v>
      </c>
      <c r="B75" t="s">
        <v>4602</v>
      </c>
      <c r="C75" t="s">
        <v>4603</v>
      </c>
      <c r="D75" t="s">
        <v>4363</v>
      </c>
      <c r="E75">
        <v>29</v>
      </c>
      <c r="F75" t="s">
        <v>4604</v>
      </c>
      <c r="G75">
        <v>9796888357</v>
      </c>
      <c r="H75" t="s">
        <v>4381</v>
      </c>
      <c r="I75" t="s">
        <v>4382</v>
      </c>
      <c r="J75" t="s">
        <v>4432</v>
      </c>
      <c r="K75">
        <v>2.5</v>
      </c>
      <c r="L75">
        <v>12</v>
      </c>
      <c r="M75">
        <v>14.4</v>
      </c>
      <c r="N75" t="s">
        <v>4390</v>
      </c>
      <c r="O75" t="s">
        <v>4391</v>
      </c>
      <c r="P75" s="1">
        <v>45915</v>
      </c>
      <c r="Q75" t="str">
        <f t="shared" si="4"/>
        <v>10+ Years</v>
      </c>
      <c r="R75" t="str">
        <f>IF(Table7[[#This Row],[Age]]&lt;=25,"20-25",IF(Table7[[#This Row],[Age]]&lt;=30,"26-30",IF(Table7[[#This Row],[Age]]&lt;=35,"31-35","36+")))</f>
        <v>26-30</v>
      </c>
      <c r="S75" t="str">
        <f t="shared" si="5"/>
        <v>September</v>
      </c>
      <c r="T75" s="2" t="str">
        <f t="shared" si="6"/>
        <v>Q3</v>
      </c>
      <c r="U75" s="2">
        <f t="shared" si="7"/>
        <v>2025</v>
      </c>
    </row>
    <row r="76" spans="1:21" x14ac:dyDescent="0.3">
      <c r="A76" t="s">
        <v>1858</v>
      </c>
      <c r="B76" t="s">
        <v>4605</v>
      </c>
      <c r="C76" t="s">
        <v>4606</v>
      </c>
      <c r="D76" t="s">
        <v>4372</v>
      </c>
      <c r="E76">
        <v>27</v>
      </c>
      <c r="F76" t="s">
        <v>4607</v>
      </c>
      <c r="G76">
        <v>9103766788</v>
      </c>
      <c r="H76" t="s">
        <v>4521</v>
      </c>
      <c r="I76" t="s">
        <v>4522</v>
      </c>
      <c r="J76" t="s">
        <v>4608</v>
      </c>
      <c r="K76">
        <v>4.9000000000000004</v>
      </c>
      <c r="L76">
        <v>12.6</v>
      </c>
      <c r="M76">
        <v>16</v>
      </c>
      <c r="N76" t="s">
        <v>4390</v>
      </c>
      <c r="O76" t="s">
        <v>4383</v>
      </c>
      <c r="P76" s="1">
        <v>45892</v>
      </c>
      <c r="Q76" t="str">
        <f t="shared" si="4"/>
        <v>10+ Years</v>
      </c>
      <c r="R76" t="str">
        <f>IF(Table7[[#This Row],[Age]]&lt;=25,"20-25",IF(Table7[[#This Row],[Age]]&lt;=30,"26-30",IF(Table7[[#This Row],[Age]]&lt;=35,"31-35","36+")))</f>
        <v>26-30</v>
      </c>
      <c r="S76" t="str">
        <f t="shared" si="5"/>
        <v>August</v>
      </c>
      <c r="T76" s="2" t="str">
        <f t="shared" si="6"/>
        <v>Q3</v>
      </c>
      <c r="U76" s="2">
        <f t="shared" si="7"/>
        <v>2025</v>
      </c>
    </row>
    <row r="77" spans="1:21" x14ac:dyDescent="0.3">
      <c r="A77" t="s">
        <v>3595</v>
      </c>
      <c r="B77" t="s">
        <v>4609</v>
      </c>
      <c r="C77" t="s">
        <v>4610</v>
      </c>
      <c r="D77" t="s">
        <v>4363</v>
      </c>
      <c r="E77">
        <v>25</v>
      </c>
      <c r="F77" t="s">
        <v>4611</v>
      </c>
      <c r="G77">
        <v>9529864322</v>
      </c>
      <c r="H77" t="s">
        <v>4445</v>
      </c>
      <c r="I77" t="s">
        <v>4396</v>
      </c>
      <c r="J77" t="s">
        <v>4367</v>
      </c>
      <c r="K77">
        <v>7.8</v>
      </c>
      <c r="L77">
        <v>14.7</v>
      </c>
      <c r="M77">
        <v>18.2</v>
      </c>
      <c r="N77" t="s">
        <v>4390</v>
      </c>
      <c r="O77" t="s">
        <v>4400</v>
      </c>
      <c r="P77" s="1">
        <v>45916</v>
      </c>
      <c r="Q77" t="str">
        <f t="shared" si="4"/>
        <v>10+ Years</v>
      </c>
      <c r="R77" t="str">
        <f>IF(Table7[[#This Row],[Age]]&lt;=25,"20-25",IF(Table7[[#This Row],[Age]]&lt;=30,"26-30",IF(Table7[[#This Row],[Age]]&lt;=35,"31-35","36+")))</f>
        <v>20-25</v>
      </c>
      <c r="S77" t="str">
        <f t="shared" si="5"/>
        <v>September</v>
      </c>
      <c r="T77" s="2" t="str">
        <f t="shared" si="6"/>
        <v>Q3</v>
      </c>
      <c r="U77" s="2">
        <f t="shared" si="7"/>
        <v>2025</v>
      </c>
    </row>
    <row r="78" spans="1:21" x14ac:dyDescent="0.3">
      <c r="A78" t="s">
        <v>1026</v>
      </c>
      <c r="B78" t="s">
        <v>4612</v>
      </c>
      <c r="C78" t="s">
        <v>4613</v>
      </c>
      <c r="D78" t="s">
        <v>4372</v>
      </c>
      <c r="E78">
        <v>22</v>
      </c>
      <c r="F78" t="s">
        <v>4614</v>
      </c>
      <c r="G78">
        <v>9143649358</v>
      </c>
      <c r="H78" t="s">
        <v>4395</v>
      </c>
      <c r="I78" t="s">
        <v>4396</v>
      </c>
      <c r="J78" t="s">
        <v>4367</v>
      </c>
      <c r="K78">
        <v>1.5</v>
      </c>
      <c r="L78">
        <v>3.9</v>
      </c>
      <c r="M78">
        <v>5.6</v>
      </c>
      <c r="N78" t="s">
        <v>4368</v>
      </c>
      <c r="O78" t="s">
        <v>4456</v>
      </c>
      <c r="P78" s="1">
        <v>45698</v>
      </c>
      <c r="Q78" t="str">
        <f t="shared" si="4"/>
        <v>10+ Years</v>
      </c>
      <c r="R78" t="str">
        <f>IF(Table7[[#This Row],[Age]]&lt;=25,"20-25",IF(Table7[[#This Row],[Age]]&lt;=30,"26-30",IF(Table7[[#This Row],[Age]]&lt;=35,"31-35","36+")))</f>
        <v>20-25</v>
      </c>
      <c r="S78" t="str">
        <f t="shared" si="5"/>
        <v>February</v>
      </c>
      <c r="T78" s="2" t="str">
        <f t="shared" si="6"/>
        <v>Q1</v>
      </c>
      <c r="U78" s="2">
        <f t="shared" si="7"/>
        <v>2025</v>
      </c>
    </row>
    <row r="79" spans="1:21" x14ac:dyDescent="0.3">
      <c r="A79" t="s">
        <v>2656</v>
      </c>
      <c r="B79" t="s">
        <v>4615</v>
      </c>
      <c r="C79" t="s">
        <v>4616</v>
      </c>
      <c r="D79" t="s">
        <v>4372</v>
      </c>
      <c r="E79">
        <v>28</v>
      </c>
      <c r="F79" t="s">
        <v>4617</v>
      </c>
      <c r="G79">
        <v>9505726907</v>
      </c>
      <c r="H79" t="s">
        <v>4395</v>
      </c>
      <c r="I79" t="s">
        <v>4396</v>
      </c>
      <c r="J79" t="s">
        <v>4618</v>
      </c>
      <c r="K79">
        <v>1.8</v>
      </c>
      <c r="L79">
        <v>13</v>
      </c>
      <c r="M79">
        <v>15.1</v>
      </c>
      <c r="N79" t="s">
        <v>4377</v>
      </c>
      <c r="O79" t="s">
        <v>4419</v>
      </c>
      <c r="P79" s="1">
        <v>46012</v>
      </c>
      <c r="Q79" t="str">
        <f t="shared" si="4"/>
        <v>10+ Years</v>
      </c>
      <c r="R79" t="str">
        <f>IF(Table7[[#This Row],[Age]]&lt;=25,"20-25",IF(Table7[[#This Row],[Age]]&lt;=30,"26-30",IF(Table7[[#This Row],[Age]]&lt;=35,"31-35","36+")))</f>
        <v>26-30</v>
      </c>
      <c r="S79" t="str">
        <f t="shared" si="5"/>
        <v>December</v>
      </c>
      <c r="T79" s="2" t="str">
        <f t="shared" si="6"/>
        <v>Q4</v>
      </c>
      <c r="U79" s="2">
        <f t="shared" si="7"/>
        <v>2025</v>
      </c>
    </row>
    <row r="80" spans="1:21" x14ac:dyDescent="0.3">
      <c r="A80" t="s">
        <v>1505</v>
      </c>
      <c r="B80" t="s">
        <v>4619</v>
      </c>
      <c r="C80" t="s">
        <v>4620</v>
      </c>
      <c r="D80" t="s">
        <v>4363</v>
      </c>
      <c r="E80">
        <v>23</v>
      </c>
      <c r="F80" t="s">
        <v>4621</v>
      </c>
      <c r="G80">
        <v>9241323188</v>
      </c>
      <c r="H80" t="s">
        <v>4387</v>
      </c>
      <c r="I80" t="s">
        <v>4388</v>
      </c>
      <c r="J80" t="s">
        <v>4415</v>
      </c>
      <c r="K80">
        <v>1.9</v>
      </c>
      <c r="L80">
        <v>9.8000000000000007</v>
      </c>
      <c r="M80">
        <v>14.1</v>
      </c>
      <c r="N80" t="s">
        <v>4377</v>
      </c>
      <c r="O80" t="s">
        <v>4369</v>
      </c>
      <c r="P80" s="1">
        <v>45771</v>
      </c>
      <c r="Q80" t="str">
        <f t="shared" si="4"/>
        <v>10+ Years</v>
      </c>
      <c r="R80" t="str">
        <f>IF(Table7[[#This Row],[Age]]&lt;=25,"20-25",IF(Table7[[#This Row],[Age]]&lt;=30,"26-30",IF(Table7[[#This Row],[Age]]&lt;=35,"31-35","36+")))</f>
        <v>20-25</v>
      </c>
      <c r="S80" t="str">
        <f t="shared" si="5"/>
        <v>April</v>
      </c>
      <c r="T80" s="2" t="str">
        <f t="shared" si="6"/>
        <v>Q2</v>
      </c>
      <c r="U80" s="2">
        <f t="shared" si="7"/>
        <v>2025</v>
      </c>
    </row>
    <row r="81" spans="1:21" x14ac:dyDescent="0.3">
      <c r="A81" t="s">
        <v>644</v>
      </c>
      <c r="B81" t="s">
        <v>4622</v>
      </c>
      <c r="C81" t="s">
        <v>4623</v>
      </c>
      <c r="D81" t="s">
        <v>4372</v>
      </c>
      <c r="E81">
        <v>21</v>
      </c>
      <c r="F81" t="s">
        <v>4624</v>
      </c>
      <c r="G81">
        <v>9755459940</v>
      </c>
      <c r="H81" t="s">
        <v>4473</v>
      </c>
      <c r="I81" t="s">
        <v>4473</v>
      </c>
      <c r="J81" t="s">
        <v>4432</v>
      </c>
      <c r="K81">
        <v>4</v>
      </c>
      <c r="L81">
        <v>11.5</v>
      </c>
      <c r="M81">
        <v>14.1</v>
      </c>
      <c r="N81" t="s">
        <v>4390</v>
      </c>
      <c r="O81" t="s">
        <v>4485</v>
      </c>
      <c r="P81" s="1">
        <v>45891</v>
      </c>
      <c r="Q81" t="str">
        <f t="shared" si="4"/>
        <v>10+ Years</v>
      </c>
      <c r="R81" t="str">
        <f>IF(Table7[[#This Row],[Age]]&lt;=25,"20-25",IF(Table7[[#This Row],[Age]]&lt;=30,"26-30",IF(Table7[[#This Row],[Age]]&lt;=35,"31-35","36+")))</f>
        <v>20-25</v>
      </c>
      <c r="S81" t="str">
        <f t="shared" si="5"/>
        <v>August</v>
      </c>
      <c r="T81" s="2" t="str">
        <f t="shared" si="6"/>
        <v>Q3</v>
      </c>
      <c r="U81" s="2">
        <f t="shared" si="7"/>
        <v>2025</v>
      </c>
    </row>
    <row r="82" spans="1:21" x14ac:dyDescent="0.3">
      <c r="A82" t="s">
        <v>4625</v>
      </c>
      <c r="B82" t="s">
        <v>4626</v>
      </c>
      <c r="C82" t="s">
        <v>4627</v>
      </c>
      <c r="D82" t="s">
        <v>4372</v>
      </c>
      <c r="E82">
        <v>24</v>
      </c>
      <c r="F82" t="s">
        <v>4628</v>
      </c>
      <c r="G82">
        <v>9615511585</v>
      </c>
      <c r="H82" t="s">
        <v>4365</v>
      </c>
      <c r="I82" t="s">
        <v>4366</v>
      </c>
      <c r="J82" t="s">
        <v>4376</v>
      </c>
      <c r="K82">
        <v>0.7</v>
      </c>
      <c r="M82">
        <v>9.9</v>
      </c>
      <c r="N82" t="s">
        <v>4368</v>
      </c>
      <c r="O82" t="s">
        <v>4391</v>
      </c>
      <c r="P82" s="1">
        <v>45759</v>
      </c>
      <c r="Q82" t="str">
        <f t="shared" si="4"/>
        <v>10+ Years</v>
      </c>
      <c r="R82" t="str">
        <f>IF(Table7[[#This Row],[Age]]&lt;=25,"20-25",IF(Table7[[#This Row],[Age]]&lt;=30,"26-30",IF(Table7[[#This Row],[Age]]&lt;=35,"31-35","36+")))</f>
        <v>20-25</v>
      </c>
      <c r="S82" t="str">
        <f t="shared" si="5"/>
        <v>April</v>
      </c>
      <c r="T82" s="2" t="str">
        <f t="shared" si="6"/>
        <v>Q2</v>
      </c>
      <c r="U82" s="2">
        <f t="shared" si="7"/>
        <v>2025</v>
      </c>
    </row>
    <row r="83" spans="1:21" x14ac:dyDescent="0.3">
      <c r="A83" t="s">
        <v>1813</v>
      </c>
      <c r="B83" t="s">
        <v>4629</v>
      </c>
      <c r="C83" t="s">
        <v>4630</v>
      </c>
      <c r="D83" t="s">
        <v>4372</v>
      </c>
      <c r="E83">
        <v>31</v>
      </c>
      <c r="F83" t="s">
        <v>4631</v>
      </c>
      <c r="G83">
        <v>9783513741</v>
      </c>
      <c r="H83" t="s">
        <v>4387</v>
      </c>
      <c r="I83" t="s">
        <v>4388</v>
      </c>
      <c r="J83" t="s">
        <v>4432</v>
      </c>
      <c r="K83">
        <v>1.9</v>
      </c>
      <c r="L83">
        <v>14.1</v>
      </c>
      <c r="M83">
        <v>17.3</v>
      </c>
      <c r="N83" t="s">
        <v>4390</v>
      </c>
      <c r="O83" t="s">
        <v>4400</v>
      </c>
      <c r="P83" s="1">
        <v>45793</v>
      </c>
      <c r="Q83" t="str">
        <f t="shared" si="4"/>
        <v>10+ Years</v>
      </c>
      <c r="R83" t="str">
        <f>IF(Table7[[#This Row],[Age]]&lt;=25,"20-25",IF(Table7[[#This Row],[Age]]&lt;=30,"26-30",IF(Table7[[#This Row],[Age]]&lt;=35,"31-35","36+")))</f>
        <v>31-35</v>
      </c>
      <c r="S83" t="str">
        <f t="shared" si="5"/>
        <v>May</v>
      </c>
      <c r="T83" s="2" t="str">
        <f t="shared" si="6"/>
        <v>Q2</v>
      </c>
      <c r="U83" s="2">
        <f t="shared" si="7"/>
        <v>2025</v>
      </c>
    </row>
    <row r="84" spans="1:21" x14ac:dyDescent="0.3">
      <c r="A84" t="s">
        <v>3286</v>
      </c>
      <c r="B84" t="s">
        <v>4565</v>
      </c>
      <c r="C84" t="s">
        <v>4554</v>
      </c>
      <c r="D84" t="s">
        <v>4372</v>
      </c>
      <c r="E84">
        <v>33</v>
      </c>
      <c r="F84" t="s">
        <v>4632</v>
      </c>
      <c r="G84">
        <v>9152153331</v>
      </c>
      <c r="H84" t="s">
        <v>4395</v>
      </c>
      <c r="I84" t="s">
        <v>4396</v>
      </c>
      <c r="J84" t="s">
        <v>4446</v>
      </c>
      <c r="K84">
        <v>5.2</v>
      </c>
      <c r="L84">
        <v>3.9</v>
      </c>
      <c r="M84">
        <v>5.6</v>
      </c>
      <c r="N84" t="s">
        <v>4390</v>
      </c>
      <c r="O84" t="s">
        <v>4383</v>
      </c>
      <c r="P84" s="1">
        <v>46010</v>
      </c>
      <c r="Q84" t="str">
        <f t="shared" si="4"/>
        <v>10+ Years</v>
      </c>
      <c r="R84" t="str">
        <f>IF(Table7[[#This Row],[Age]]&lt;=25,"20-25",IF(Table7[[#This Row],[Age]]&lt;=30,"26-30",IF(Table7[[#This Row],[Age]]&lt;=35,"31-35","36+")))</f>
        <v>31-35</v>
      </c>
      <c r="S84" t="str">
        <f t="shared" si="5"/>
        <v>December</v>
      </c>
      <c r="T84" s="2" t="str">
        <f t="shared" si="6"/>
        <v>Q4</v>
      </c>
      <c r="U84" s="2">
        <f t="shared" si="7"/>
        <v>2025</v>
      </c>
    </row>
    <row r="85" spans="1:21" x14ac:dyDescent="0.3">
      <c r="A85" t="s">
        <v>2465</v>
      </c>
      <c r="B85" t="s">
        <v>4531</v>
      </c>
      <c r="C85" t="s">
        <v>4558</v>
      </c>
      <c r="D85" t="s">
        <v>4363</v>
      </c>
      <c r="E85">
        <v>22</v>
      </c>
      <c r="F85" t="s">
        <v>4633</v>
      </c>
      <c r="G85">
        <v>9370616861</v>
      </c>
      <c r="H85" t="s">
        <v>4374</v>
      </c>
      <c r="I85" t="s">
        <v>4375</v>
      </c>
      <c r="J85" t="s">
        <v>4376</v>
      </c>
      <c r="K85">
        <v>2.9</v>
      </c>
      <c r="L85">
        <v>5.8</v>
      </c>
      <c r="M85">
        <v>7.3</v>
      </c>
      <c r="N85" t="s">
        <v>4377</v>
      </c>
      <c r="O85" t="s">
        <v>4369</v>
      </c>
      <c r="P85" s="1">
        <v>45846</v>
      </c>
      <c r="Q85" t="str">
        <f t="shared" si="4"/>
        <v>10+ Years</v>
      </c>
      <c r="R85" t="str">
        <f>IF(Table7[[#This Row],[Age]]&lt;=25,"20-25",IF(Table7[[#This Row],[Age]]&lt;=30,"26-30",IF(Table7[[#This Row],[Age]]&lt;=35,"31-35","36+")))</f>
        <v>20-25</v>
      </c>
      <c r="S85" t="str">
        <f t="shared" si="5"/>
        <v>July</v>
      </c>
      <c r="T85" s="2" t="str">
        <f t="shared" si="6"/>
        <v>Q3</v>
      </c>
      <c r="U85" s="2">
        <f t="shared" si="7"/>
        <v>2025</v>
      </c>
    </row>
    <row r="86" spans="1:21" x14ac:dyDescent="0.3">
      <c r="A86" t="s">
        <v>2665</v>
      </c>
      <c r="B86" t="s">
        <v>4634</v>
      </c>
      <c r="C86" t="s">
        <v>4635</v>
      </c>
      <c r="D86" t="s">
        <v>4363</v>
      </c>
      <c r="E86">
        <v>33</v>
      </c>
      <c r="F86" t="s">
        <v>4636</v>
      </c>
      <c r="G86">
        <v>9455224768</v>
      </c>
      <c r="H86" t="s">
        <v>4473</v>
      </c>
      <c r="I86" t="s">
        <v>4473</v>
      </c>
      <c r="J86" t="s">
        <v>4367</v>
      </c>
      <c r="K86">
        <v>8.4</v>
      </c>
      <c r="L86">
        <v>17.600000000000001</v>
      </c>
      <c r="M86">
        <v>21</v>
      </c>
      <c r="N86" t="s">
        <v>4390</v>
      </c>
      <c r="O86" t="s">
        <v>4419</v>
      </c>
      <c r="P86" s="1">
        <v>45809</v>
      </c>
      <c r="Q86" t="str">
        <f t="shared" si="4"/>
        <v>10+ Years</v>
      </c>
      <c r="R86" t="str">
        <f>IF(Table7[[#This Row],[Age]]&lt;=25,"20-25",IF(Table7[[#This Row],[Age]]&lt;=30,"26-30",IF(Table7[[#This Row],[Age]]&lt;=35,"31-35","36+")))</f>
        <v>31-35</v>
      </c>
      <c r="S86" t="str">
        <f t="shared" si="5"/>
        <v>June</v>
      </c>
      <c r="T86" s="2" t="str">
        <f t="shared" si="6"/>
        <v>Q2</v>
      </c>
      <c r="U86" s="2">
        <f t="shared" si="7"/>
        <v>2025</v>
      </c>
    </row>
    <row r="87" spans="1:21" x14ac:dyDescent="0.3">
      <c r="A87" t="s">
        <v>2639</v>
      </c>
      <c r="B87" t="s">
        <v>4426</v>
      </c>
      <c r="C87" t="s">
        <v>4637</v>
      </c>
      <c r="D87" t="s">
        <v>4363</v>
      </c>
      <c r="E87">
        <v>31</v>
      </c>
      <c r="F87" t="s">
        <v>4638</v>
      </c>
      <c r="G87">
        <v>9432937745</v>
      </c>
      <c r="H87" t="s">
        <v>4395</v>
      </c>
      <c r="I87" t="s">
        <v>4396</v>
      </c>
      <c r="J87" t="s">
        <v>4618</v>
      </c>
      <c r="K87">
        <v>7.2</v>
      </c>
      <c r="M87">
        <v>7</v>
      </c>
      <c r="N87" t="s">
        <v>4377</v>
      </c>
      <c r="O87" t="s">
        <v>4485</v>
      </c>
      <c r="P87" s="1">
        <v>45658</v>
      </c>
      <c r="Q87" t="str">
        <f t="shared" si="4"/>
        <v>10+ Years</v>
      </c>
      <c r="R87" t="str">
        <f>IF(Table7[[#This Row],[Age]]&lt;=25,"20-25",IF(Table7[[#This Row],[Age]]&lt;=30,"26-30",IF(Table7[[#This Row],[Age]]&lt;=35,"31-35","36+")))</f>
        <v>31-35</v>
      </c>
      <c r="S87" t="str">
        <f t="shared" si="5"/>
        <v>January</v>
      </c>
      <c r="T87" s="2" t="str">
        <f t="shared" si="6"/>
        <v>Q1</v>
      </c>
      <c r="U87" s="2">
        <f t="shared" si="7"/>
        <v>2025</v>
      </c>
    </row>
    <row r="88" spans="1:21" x14ac:dyDescent="0.3">
      <c r="A88" t="s">
        <v>1452</v>
      </c>
      <c r="B88" t="s">
        <v>4407</v>
      </c>
      <c r="C88" t="s">
        <v>4639</v>
      </c>
      <c r="D88" t="s">
        <v>4363</v>
      </c>
      <c r="E88">
        <v>34</v>
      </c>
      <c r="F88" t="s">
        <v>4640</v>
      </c>
      <c r="G88">
        <v>9260379191</v>
      </c>
      <c r="H88" t="s">
        <v>4454</v>
      </c>
      <c r="I88" t="s">
        <v>4455</v>
      </c>
      <c r="J88" t="s">
        <v>4376</v>
      </c>
      <c r="K88">
        <v>8</v>
      </c>
      <c r="L88">
        <v>17.7</v>
      </c>
      <c r="M88">
        <v>22.3</v>
      </c>
      <c r="O88" t="s">
        <v>4485</v>
      </c>
      <c r="P88" s="1">
        <v>45725</v>
      </c>
      <c r="Q88" t="str">
        <f t="shared" si="4"/>
        <v>10+ Years</v>
      </c>
      <c r="R88" t="str">
        <f>IF(Table7[[#This Row],[Age]]&lt;=25,"20-25",IF(Table7[[#This Row],[Age]]&lt;=30,"26-30",IF(Table7[[#This Row],[Age]]&lt;=35,"31-35","36+")))</f>
        <v>31-35</v>
      </c>
      <c r="S88" t="str">
        <f t="shared" si="5"/>
        <v>March</v>
      </c>
      <c r="T88" s="2" t="str">
        <f t="shared" si="6"/>
        <v>Q1</v>
      </c>
      <c r="U88" s="2">
        <f t="shared" si="7"/>
        <v>2025</v>
      </c>
    </row>
    <row r="89" spans="1:21" x14ac:dyDescent="0.3">
      <c r="A89" t="s">
        <v>1576</v>
      </c>
      <c r="B89" t="s">
        <v>4641</v>
      </c>
      <c r="C89" t="s">
        <v>4642</v>
      </c>
      <c r="D89" t="s">
        <v>4372</v>
      </c>
      <c r="E89">
        <v>21</v>
      </c>
      <c r="F89" t="s">
        <v>4643</v>
      </c>
      <c r="G89">
        <v>9801269836</v>
      </c>
      <c r="H89" t="s">
        <v>4410</v>
      </c>
      <c r="I89" t="s">
        <v>4411</v>
      </c>
      <c r="J89" t="s">
        <v>4367</v>
      </c>
      <c r="K89">
        <v>2</v>
      </c>
      <c r="M89">
        <v>14.9</v>
      </c>
      <c r="N89" t="s">
        <v>4390</v>
      </c>
      <c r="O89" t="s">
        <v>4369</v>
      </c>
      <c r="P89" s="1">
        <v>45840</v>
      </c>
      <c r="Q89" t="str">
        <f t="shared" si="4"/>
        <v>10+ Years</v>
      </c>
      <c r="R89" t="str">
        <f>IF(Table7[[#This Row],[Age]]&lt;=25,"20-25",IF(Table7[[#This Row],[Age]]&lt;=30,"26-30",IF(Table7[[#This Row],[Age]]&lt;=35,"31-35","36+")))</f>
        <v>20-25</v>
      </c>
      <c r="S89" t="str">
        <f t="shared" si="5"/>
        <v>July</v>
      </c>
      <c r="T89" s="2" t="str">
        <f t="shared" si="6"/>
        <v>Q3</v>
      </c>
      <c r="U89" s="2">
        <f t="shared" si="7"/>
        <v>2025</v>
      </c>
    </row>
    <row r="90" spans="1:21" x14ac:dyDescent="0.3">
      <c r="A90" t="s">
        <v>4644</v>
      </c>
      <c r="B90" t="s">
        <v>4645</v>
      </c>
      <c r="C90" t="s">
        <v>4646</v>
      </c>
      <c r="D90" t="s">
        <v>4372</v>
      </c>
      <c r="E90">
        <v>21</v>
      </c>
      <c r="F90" t="s">
        <v>4647</v>
      </c>
      <c r="G90">
        <v>9726625977</v>
      </c>
      <c r="H90" t="s">
        <v>4454</v>
      </c>
      <c r="I90" t="s">
        <v>4455</v>
      </c>
      <c r="J90" t="s">
        <v>4376</v>
      </c>
      <c r="K90">
        <v>1.4</v>
      </c>
      <c r="L90">
        <v>7.1</v>
      </c>
      <c r="M90">
        <v>8.4</v>
      </c>
      <c r="N90" t="s">
        <v>4390</v>
      </c>
      <c r="O90" t="s">
        <v>4391</v>
      </c>
      <c r="P90" s="1">
        <v>45726</v>
      </c>
      <c r="Q90" t="str">
        <f t="shared" si="4"/>
        <v>10+ Years</v>
      </c>
      <c r="R90" t="str">
        <f>IF(Table7[[#This Row],[Age]]&lt;=25,"20-25",IF(Table7[[#This Row],[Age]]&lt;=30,"26-30",IF(Table7[[#This Row],[Age]]&lt;=35,"31-35","36+")))</f>
        <v>20-25</v>
      </c>
      <c r="S90" t="str">
        <f t="shared" si="5"/>
        <v>March</v>
      </c>
      <c r="T90" s="2" t="str">
        <f t="shared" si="6"/>
        <v>Q1</v>
      </c>
      <c r="U90" s="2">
        <f t="shared" si="7"/>
        <v>2025</v>
      </c>
    </row>
    <row r="91" spans="1:21" x14ac:dyDescent="0.3">
      <c r="A91" t="s">
        <v>3006</v>
      </c>
      <c r="B91" t="s">
        <v>4648</v>
      </c>
      <c r="C91" t="s">
        <v>4649</v>
      </c>
      <c r="D91" t="s">
        <v>4372</v>
      </c>
      <c r="E91">
        <v>35</v>
      </c>
      <c r="F91" t="s">
        <v>4650</v>
      </c>
      <c r="G91">
        <v>9859642939</v>
      </c>
      <c r="H91" t="s">
        <v>4395</v>
      </c>
      <c r="I91" t="s">
        <v>4396</v>
      </c>
      <c r="J91" t="s">
        <v>4415</v>
      </c>
      <c r="K91">
        <v>2.4</v>
      </c>
      <c r="L91">
        <v>10.7</v>
      </c>
      <c r="M91">
        <v>12.2</v>
      </c>
      <c r="N91" t="s">
        <v>4406</v>
      </c>
      <c r="O91" t="s">
        <v>4456</v>
      </c>
      <c r="P91" s="1">
        <v>45796</v>
      </c>
      <c r="Q91" t="str">
        <f t="shared" si="4"/>
        <v>10+ Years</v>
      </c>
      <c r="R91" t="str">
        <f>IF(Table7[[#This Row],[Age]]&lt;=25,"20-25",IF(Table7[[#This Row],[Age]]&lt;=30,"26-30",IF(Table7[[#This Row],[Age]]&lt;=35,"31-35","36+")))</f>
        <v>31-35</v>
      </c>
      <c r="S91" t="str">
        <f t="shared" si="5"/>
        <v>May</v>
      </c>
      <c r="T91" s="2" t="str">
        <f t="shared" si="6"/>
        <v>Q2</v>
      </c>
      <c r="U91" s="2">
        <f t="shared" si="7"/>
        <v>2025</v>
      </c>
    </row>
    <row r="92" spans="1:21" x14ac:dyDescent="0.3">
      <c r="A92" t="s">
        <v>1897</v>
      </c>
      <c r="B92" t="s">
        <v>4651</v>
      </c>
      <c r="C92" t="s">
        <v>4652</v>
      </c>
      <c r="D92" t="s">
        <v>4372</v>
      </c>
      <c r="E92">
        <v>26</v>
      </c>
      <c r="F92" t="s">
        <v>4653</v>
      </c>
      <c r="G92">
        <v>9112343783</v>
      </c>
      <c r="H92" t="s">
        <v>4410</v>
      </c>
      <c r="I92" t="s">
        <v>4411</v>
      </c>
      <c r="J92" t="s">
        <v>4376</v>
      </c>
      <c r="K92">
        <v>1.9</v>
      </c>
      <c r="L92">
        <v>7.9</v>
      </c>
      <c r="M92">
        <v>10.3</v>
      </c>
      <c r="N92" t="s">
        <v>4390</v>
      </c>
      <c r="O92" t="s">
        <v>4383</v>
      </c>
      <c r="P92" s="1">
        <v>45885</v>
      </c>
      <c r="Q92" t="str">
        <f t="shared" si="4"/>
        <v>10+ Years</v>
      </c>
      <c r="R92" t="str">
        <f>IF(Table7[[#This Row],[Age]]&lt;=25,"20-25",IF(Table7[[#This Row],[Age]]&lt;=30,"26-30",IF(Table7[[#This Row],[Age]]&lt;=35,"31-35","36+")))</f>
        <v>26-30</v>
      </c>
      <c r="S92" t="str">
        <f t="shared" si="5"/>
        <v>August</v>
      </c>
      <c r="T92" s="2" t="str">
        <f t="shared" si="6"/>
        <v>Q3</v>
      </c>
      <c r="U92" s="2">
        <f t="shared" si="7"/>
        <v>2025</v>
      </c>
    </row>
    <row r="93" spans="1:21" x14ac:dyDescent="0.3">
      <c r="A93" t="s">
        <v>1907</v>
      </c>
      <c r="B93" t="s">
        <v>4654</v>
      </c>
      <c r="C93" t="s">
        <v>4655</v>
      </c>
      <c r="D93" t="s">
        <v>4363</v>
      </c>
      <c r="E93">
        <v>31</v>
      </c>
      <c r="F93" t="s">
        <v>4656</v>
      </c>
      <c r="G93">
        <v>9887613653</v>
      </c>
      <c r="H93" t="s">
        <v>4491</v>
      </c>
      <c r="I93" t="s">
        <v>4491</v>
      </c>
      <c r="J93" t="s">
        <v>4432</v>
      </c>
      <c r="K93">
        <v>6.5</v>
      </c>
      <c r="M93">
        <v>17.7</v>
      </c>
      <c r="N93" t="s">
        <v>4406</v>
      </c>
      <c r="O93" t="s">
        <v>4383</v>
      </c>
      <c r="P93" s="1">
        <v>45865</v>
      </c>
      <c r="Q93" t="str">
        <f t="shared" si="4"/>
        <v>10+ Years</v>
      </c>
      <c r="R93" t="str">
        <f>IF(Table7[[#This Row],[Age]]&lt;=25,"20-25",IF(Table7[[#This Row],[Age]]&lt;=30,"26-30",IF(Table7[[#This Row],[Age]]&lt;=35,"31-35","36+")))</f>
        <v>31-35</v>
      </c>
      <c r="S93" t="str">
        <f t="shared" si="5"/>
        <v>July</v>
      </c>
      <c r="T93" s="2" t="str">
        <f t="shared" si="6"/>
        <v>Q3</v>
      </c>
      <c r="U93" s="2">
        <f t="shared" si="7"/>
        <v>2025</v>
      </c>
    </row>
    <row r="94" spans="1:21" x14ac:dyDescent="0.3">
      <c r="A94" t="s">
        <v>2982</v>
      </c>
      <c r="B94" t="s">
        <v>4526</v>
      </c>
      <c r="C94" t="s">
        <v>4657</v>
      </c>
      <c r="D94" t="s">
        <v>4372</v>
      </c>
      <c r="E94">
        <v>29</v>
      </c>
      <c r="F94" t="s">
        <v>4658</v>
      </c>
      <c r="G94">
        <v>9162684164</v>
      </c>
      <c r="H94" t="s">
        <v>4387</v>
      </c>
      <c r="I94" t="s">
        <v>4388</v>
      </c>
      <c r="J94" t="s">
        <v>4389</v>
      </c>
      <c r="K94">
        <v>0.8</v>
      </c>
      <c r="L94">
        <v>6.4</v>
      </c>
      <c r="M94">
        <v>7.2</v>
      </c>
      <c r="N94" t="s">
        <v>4390</v>
      </c>
      <c r="O94" t="s">
        <v>4485</v>
      </c>
      <c r="P94" s="1">
        <v>45730</v>
      </c>
      <c r="Q94" t="str">
        <f t="shared" si="4"/>
        <v>10+ Years</v>
      </c>
      <c r="R94" t="str">
        <f>IF(Table7[[#This Row],[Age]]&lt;=25,"20-25",IF(Table7[[#This Row],[Age]]&lt;=30,"26-30",IF(Table7[[#This Row],[Age]]&lt;=35,"31-35","36+")))</f>
        <v>26-30</v>
      </c>
      <c r="S94" t="str">
        <f t="shared" si="5"/>
        <v>March</v>
      </c>
      <c r="T94" s="2" t="str">
        <f t="shared" si="6"/>
        <v>Q1</v>
      </c>
      <c r="U94" s="2">
        <f t="shared" si="7"/>
        <v>2025</v>
      </c>
    </row>
    <row r="95" spans="1:21" x14ac:dyDescent="0.3">
      <c r="A95" t="s">
        <v>1913</v>
      </c>
      <c r="B95" t="s">
        <v>4474</v>
      </c>
      <c r="C95" t="s">
        <v>4659</v>
      </c>
      <c r="D95" t="s">
        <v>4372</v>
      </c>
      <c r="E95">
        <v>24</v>
      </c>
      <c r="F95" t="s">
        <v>4660</v>
      </c>
      <c r="G95">
        <v>9752924112</v>
      </c>
      <c r="H95" t="s">
        <v>4395</v>
      </c>
      <c r="I95" t="s">
        <v>4396</v>
      </c>
      <c r="J95" t="s">
        <v>4415</v>
      </c>
      <c r="K95">
        <v>0</v>
      </c>
      <c r="L95">
        <v>2.5</v>
      </c>
      <c r="M95">
        <v>3.3</v>
      </c>
      <c r="N95" t="s">
        <v>4377</v>
      </c>
      <c r="O95" t="s">
        <v>4369</v>
      </c>
      <c r="P95" s="1">
        <v>45816</v>
      </c>
      <c r="Q95" t="str">
        <f t="shared" si="4"/>
        <v>10+ Years</v>
      </c>
      <c r="R95" t="str">
        <f>IF(Table7[[#This Row],[Age]]&lt;=25,"20-25",IF(Table7[[#This Row],[Age]]&lt;=30,"26-30",IF(Table7[[#This Row],[Age]]&lt;=35,"31-35","36+")))</f>
        <v>20-25</v>
      </c>
      <c r="S95" t="str">
        <f t="shared" si="5"/>
        <v>June</v>
      </c>
      <c r="T95" s="2" t="str">
        <f t="shared" si="6"/>
        <v>Q2</v>
      </c>
      <c r="U95" s="2">
        <f t="shared" si="7"/>
        <v>2025</v>
      </c>
    </row>
    <row r="96" spans="1:21" x14ac:dyDescent="0.3">
      <c r="A96" t="s">
        <v>1860</v>
      </c>
      <c r="B96" t="s">
        <v>4661</v>
      </c>
      <c r="C96" t="s">
        <v>4662</v>
      </c>
      <c r="D96" t="s">
        <v>4372</v>
      </c>
      <c r="E96">
        <v>28</v>
      </c>
      <c r="F96" t="s">
        <v>4663</v>
      </c>
      <c r="G96">
        <v>9152066569</v>
      </c>
      <c r="H96" t="s">
        <v>4387</v>
      </c>
      <c r="I96" t="s">
        <v>4388</v>
      </c>
      <c r="J96" t="s">
        <v>4389</v>
      </c>
      <c r="K96">
        <v>20</v>
      </c>
      <c r="L96">
        <v>29.4</v>
      </c>
      <c r="M96">
        <v>37.6</v>
      </c>
      <c r="N96" t="s">
        <v>4390</v>
      </c>
      <c r="O96" t="s">
        <v>4391</v>
      </c>
      <c r="P96" s="1">
        <v>45881</v>
      </c>
      <c r="Q96" t="str">
        <f t="shared" si="4"/>
        <v>10+ Years</v>
      </c>
      <c r="R96" t="str">
        <f>IF(Table7[[#This Row],[Age]]&lt;=25,"20-25",IF(Table7[[#This Row],[Age]]&lt;=30,"26-30",IF(Table7[[#This Row],[Age]]&lt;=35,"31-35","36+")))</f>
        <v>26-30</v>
      </c>
      <c r="S96" t="str">
        <f t="shared" si="5"/>
        <v>August</v>
      </c>
      <c r="T96" s="2" t="str">
        <f t="shared" si="6"/>
        <v>Q3</v>
      </c>
      <c r="U96" s="2">
        <f t="shared" si="7"/>
        <v>2025</v>
      </c>
    </row>
    <row r="97" spans="1:21" x14ac:dyDescent="0.3">
      <c r="A97" t="s">
        <v>267</v>
      </c>
      <c r="B97" t="s">
        <v>4498</v>
      </c>
      <c r="C97" t="s">
        <v>4664</v>
      </c>
      <c r="D97" t="s">
        <v>4363</v>
      </c>
      <c r="E97">
        <v>25</v>
      </c>
      <c r="F97" t="s">
        <v>4665</v>
      </c>
      <c r="G97">
        <v>9186413189</v>
      </c>
      <c r="H97" t="s">
        <v>4404</v>
      </c>
      <c r="I97" t="s">
        <v>4405</v>
      </c>
      <c r="J97" t="s">
        <v>4376</v>
      </c>
      <c r="K97">
        <v>11.4</v>
      </c>
      <c r="L97">
        <v>23.7</v>
      </c>
      <c r="M97">
        <v>27.9</v>
      </c>
      <c r="N97" t="s">
        <v>4494</v>
      </c>
      <c r="O97" t="s">
        <v>4369</v>
      </c>
      <c r="P97" s="1">
        <v>45987</v>
      </c>
      <c r="Q97" t="str">
        <f t="shared" si="4"/>
        <v>10+ Years</v>
      </c>
      <c r="R97" t="str">
        <f>IF(Table7[[#This Row],[Age]]&lt;=25,"20-25",IF(Table7[[#This Row],[Age]]&lt;=30,"26-30",IF(Table7[[#This Row],[Age]]&lt;=35,"31-35","36+")))</f>
        <v>20-25</v>
      </c>
      <c r="S97" t="str">
        <f t="shared" si="5"/>
        <v>November</v>
      </c>
      <c r="T97" s="2" t="str">
        <f t="shared" si="6"/>
        <v>Q4</v>
      </c>
      <c r="U97" s="2">
        <f t="shared" si="7"/>
        <v>2025</v>
      </c>
    </row>
    <row r="98" spans="1:21" x14ac:dyDescent="0.3">
      <c r="A98" t="s">
        <v>519</v>
      </c>
      <c r="B98" t="s">
        <v>4666</v>
      </c>
      <c r="C98" t="s">
        <v>4480</v>
      </c>
      <c r="D98" t="s">
        <v>4372</v>
      </c>
      <c r="E98">
        <v>28</v>
      </c>
      <c r="F98" t="s">
        <v>4667</v>
      </c>
      <c r="G98">
        <v>9904934916</v>
      </c>
      <c r="H98" t="s">
        <v>4387</v>
      </c>
      <c r="I98" t="s">
        <v>4388</v>
      </c>
      <c r="J98" t="s">
        <v>4389</v>
      </c>
      <c r="K98">
        <v>4.5999999999999996</v>
      </c>
      <c r="L98">
        <v>9.3000000000000007</v>
      </c>
      <c r="M98">
        <v>13</v>
      </c>
      <c r="N98" t="s">
        <v>4390</v>
      </c>
      <c r="O98" t="s">
        <v>4369</v>
      </c>
      <c r="P98" s="1">
        <v>45941</v>
      </c>
      <c r="Q98" t="str">
        <f t="shared" si="4"/>
        <v>10+ Years</v>
      </c>
      <c r="R98" t="str">
        <f>IF(Table7[[#This Row],[Age]]&lt;=25,"20-25",IF(Table7[[#This Row],[Age]]&lt;=30,"26-30",IF(Table7[[#This Row],[Age]]&lt;=35,"31-35","36+")))</f>
        <v>26-30</v>
      </c>
      <c r="S98" t="str">
        <f t="shared" si="5"/>
        <v>October</v>
      </c>
      <c r="T98" s="2" t="str">
        <f t="shared" si="6"/>
        <v>Q4</v>
      </c>
      <c r="U98" s="2">
        <f t="shared" si="7"/>
        <v>2025</v>
      </c>
    </row>
    <row r="99" spans="1:21" x14ac:dyDescent="0.3">
      <c r="A99" t="s">
        <v>3966</v>
      </c>
      <c r="B99" t="s">
        <v>4668</v>
      </c>
      <c r="C99" t="s">
        <v>4669</v>
      </c>
      <c r="D99" t="s">
        <v>4363</v>
      </c>
      <c r="E99">
        <v>35</v>
      </c>
      <c r="F99" t="s">
        <v>4670</v>
      </c>
      <c r="G99">
        <v>9946591754</v>
      </c>
      <c r="H99" t="s">
        <v>4387</v>
      </c>
      <c r="I99" t="s">
        <v>4388</v>
      </c>
      <c r="J99" t="s">
        <v>4376</v>
      </c>
      <c r="K99">
        <v>2.7</v>
      </c>
      <c r="L99">
        <v>12.6</v>
      </c>
      <c r="M99">
        <v>15.2</v>
      </c>
      <c r="N99" t="s">
        <v>4390</v>
      </c>
      <c r="O99" t="s">
        <v>4419</v>
      </c>
      <c r="P99" s="1">
        <v>45769</v>
      </c>
      <c r="Q99" t="str">
        <f t="shared" si="4"/>
        <v>10+ Years</v>
      </c>
      <c r="R99" t="str">
        <f>IF(Table7[[#This Row],[Age]]&lt;=25,"20-25",IF(Table7[[#This Row],[Age]]&lt;=30,"26-30",IF(Table7[[#This Row],[Age]]&lt;=35,"31-35","36+")))</f>
        <v>31-35</v>
      </c>
      <c r="S99" t="str">
        <f t="shared" si="5"/>
        <v>April</v>
      </c>
      <c r="T99" s="2" t="str">
        <f t="shared" si="6"/>
        <v>Q2</v>
      </c>
      <c r="U99" s="2">
        <f t="shared" si="7"/>
        <v>2025</v>
      </c>
    </row>
    <row r="100" spans="1:21" x14ac:dyDescent="0.3">
      <c r="A100" t="s">
        <v>233</v>
      </c>
      <c r="B100" t="s">
        <v>4671</v>
      </c>
      <c r="C100" t="s">
        <v>4672</v>
      </c>
      <c r="D100" t="s">
        <v>4372</v>
      </c>
      <c r="E100">
        <v>25</v>
      </c>
      <c r="F100" t="s">
        <v>4673</v>
      </c>
      <c r="G100">
        <v>9116350625</v>
      </c>
      <c r="H100" t="s">
        <v>4395</v>
      </c>
      <c r="I100" t="s">
        <v>4396</v>
      </c>
      <c r="J100" t="s">
        <v>4432</v>
      </c>
      <c r="K100">
        <v>0</v>
      </c>
      <c r="L100">
        <v>4.7</v>
      </c>
      <c r="M100">
        <v>5.6</v>
      </c>
      <c r="N100" t="s">
        <v>4390</v>
      </c>
      <c r="O100" t="s">
        <v>4485</v>
      </c>
      <c r="P100" s="1">
        <v>45825</v>
      </c>
      <c r="Q100" t="str">
        <f t="shared" si="4"/>
        <v>10+ Years</v>
      </c>
      <c r="R100" t="str">
        <f>IF(Table7[[#This Row],[Age]]&lt;=25,"20-25",IF(Table7[[#This Row],[Age]]&lt;=30,"26-30",IF(Table7[[#This Row],[Age]]&lt;=35,"31-35","36+")))</f>
        <v>20-25</v>
      </c>
      <c r="S100" t="str">
        <f t="shared" si="5"/>
        <v>June</v>
      </c>
      <c r="T100" s="2" t="str">
        <f t="shared" si="6"/>
        <v>Q2</v>
      </c>
      <c r="U100" s="2">
        <f t="shared" si="7"/>
        <v>2025</v>
      </c>
    </row>
    <row r="101" spans="1:21" x14ac:dyDescent="0.3">
      <c r="A101" t="s">
        <v>594</v>
      </c>
      <c r="B101" t="s">
        <v>4674</v>
      </c>
      <c r="C101" t="s">
        <v>4675</v>
      </c>
      <c r="D101" t="s">
        <v>4372</v>
      </c>
      <c r="E101">
        <v>29</v>
      </c>
      <c r="F101" t="s">
        <v>4676</v>
      </c>
      <c r="G101">
        <v>9452781877</v>
      </c>
      <c r="H101" t="s">
        <v>4521</v>
      </c>
      <c r="I101" t="s">
        <v>4522</v>
      </c>
      <c r="J101" t="s">
        <v>4432</v>
      </c>
      <c r="K101">
        <v>1.2</v>
      </c>
      <c r="L101">
        <v>8</v>
      </c>
      <c r="M101">
        <v>11.4</v>
      </c>
      <c r="N101" t="s">
        <v>4390</v>
      </c>
      <c r="O101" t="s">
        <v>4456</v>
      </c>
      <c r="P101" s="1">
        <v>45998</v>
      </c>
      <c r="Q101" t="str">
        <f t="shared" si="4"/>
        <v>10+ Years</v>
      </c>
      <c r="R101" t="str">
        <f>IF(Table7[[#This Row],[Age]]&lt;=25,"20-25",IF(Table7[[#This Row],[Age]]&lt;=30,"26-30",IF(Table7[[#This Row],[Age]]&lt;=35,"31-35","36+")))</f>
        <v>26-30</v>
      </c>
      <c r="S101" t="str">
        <f t="shared" si="5"/>
        <v>December</v>
      </c>
      <c r="T101" s="2" t="str">
        <f t="shared" si="6"/>
        <v>Q4</v>
      </c>
      <c r="U101" s="2">
        <f t="shared" si="7"/>
        <v>2025</v>
      </c>
    </row>
    <row r="102" spans="1:21" x14ac:dyDescent="0.3">
      <c r="A102" t="s">
        <v>1198</v>
      </c>
      <c r="B102" t="s">
        <v>4677</v>
      </c>
      <c r="C102" t="s">
        <v>4492</v>
      </c>
      <c r="D102" t="s">
        <v>4363</v>
      </c>
      <c r="E102">
        <v>24</v>
      </c>
      <c r="F102" t="s">
        <v>4678</v>
      </c>
      <c r="G102">
        <v>9604114208</v>
      </c>
      <c r="H102" t="s">
        <v>4491</v>
      </c>
      <c r="I102" t="s">
        <v>4491</v>
      </c>
      <c r="J102" t="s">
        <v>4446</v>
      </c>
      <c r="K102">
        <v>0.3</v>
      </c>
      <c r="L102">
        <v>6.7</v>
      </c>
      <c r="M102">
        <v>9</v>
      </c>
      <c r="N102" t="s">
        <v>4377</v>
      </c>
      <c r="O102" t="s">
        <v>4391</v>
      </c>
      <c r="P102" s="1">
        <v>45777</v>
      </c>
      <c r="Q102" t="str">
        <f t="shared" si="4"/>
        <v>10+ Years</v>
      </c>
      <c r="R102" t="str">
        <f>IF(Table7[[#This Row],[Age]]&lt;=25,"20-25",IF(Table7[[#This Row],[Age]]&lt;=30,"26-30",IF(Table7[[#This Row],[Age]]&lt;=35,"31-35","36+")))</f>
        <v>20-25</v>
      </c>
      <c r="S102" t="str">
        <f t="shared" si="5"/>
        <v>April</v>
      </c>
      <c r="T102" s="2" t="str">
        <f t="shared" si="6"/>
        <v>Q2</v>
      </c>
      <c r="U102" s="2">
        <f t="shared" si="7"/>
        <v>2025</v>
      </c>
    </row>
    <row r="103" spans="1:21" x14ac:dyDescent="0.3">
      <c r="A103" t="s">
        <v>3201</v>
      </c>
      <c r="B103" t="s">
        <v>4679</v>
      </c>
      <c r="C103" t="s">
        <v>4680</v>
      </c>
      <c r="D103" t="s">
        <v>4363</v>
      </c>
      <c r="E103">
        <v>21</v>
      </c>
      <c r="F103" t="s">
        <v>4681</v>
      </c>
      <c r="G103">
        <v>9947399622</v>
      </c>
      <c r="H103" t="s">
        <v>4365</v>
      </c>
      <c r="I103" t="s">
        <v>4366</v>
      </c>
      <c r="J103" t="s">
        <v>4482</v>
      </c>
      <c r="K103">
        <v>0.1</v>
      </c>
      <c r="L103">
        <v>7.8</v>
      </c>
      <c r="M103">
        <v>10.199999999999999</v>
      </c>
      <c r="O103" t="s">
        <v>4369</v>
      </c>
      <c r="P103" s="1">
        <v>45674</v>
      </c>
      <c r="Q103" t="str">
        <f t="shared" si="4"/>
        <v>10+ Years</v>
      </c>
      <c r="R103" t="str">
        <f>IF(Table7[[#This Row],[Age]]&lt;=25,"20-25",IF(Table7[[#This Row],[Age]]&lt;=30,"26-30",IF(Table7[[#This Row],[Age]]&lt;=35,"31-35","36+")))</f>
        <v>20-25</v>
      </c>
      <c r="S103" t="str">
        <f t="shared" si="5"/>
        <v>January</v>
      </c>
      <c r="T103" s="2" t="str">
        <f t="shared" si="6"/>
        <v>Q1</v>
      </c>
      <c r="U103" s="2">
        <f t="shared" si="7"/>
        <v>2025</v>
      </c>
    </row>
    <row r="104" spans="1:21" x14ac:dyDescent="0.3">
      <c r="A104" t="s">
        <v>648</v>
      </c>
      <c r="B104" t="s">
        <v>4682</v>
      </c>
      <c r="C104" t="s">
        <v>4554</v>
      </c>
      <c r="D104" t="s">
        <v>4372</v>
      </c>
      <c r="E104">
        <v>29</v>
      </c>
      <c r="F104" t="s">
        <v>4683</v>
      </c>
      <c r="G104">
        <v>9767834300</v>
      </c>
      <c r="H104" t="s">
        <v>4387</v>
      </c>
      <c r="I104" t="s">
        <v>4388</v>
      </c>
      <c r="J104" t="s">
        <v>4367</v>
      </c>
      <c r="K104">
        <v>3.8</v>
      </c>
      <c r="L104">
        <v>10.6</v>
      </c>
      <c r="M104">
        <v>15.3</v>
      </c>
      <c r="N104" t="s">
        <v>4390</v>
      </c>
      <c r="O104" t="s">
        <v>4369</v>
      </c>
      <c r="P104" s="1">
        <v>45728</v>
      </c>
      <c r="Q104" t="str">
        <f t="shared" si="4"/>
        <v>10+ Years</v>
      </c>
      <c r="R104" t="str">
        <f>IF(Table7[[#This Row],[Age]]&lt;=25,"20-25",IF(Table7[[#This Row],[Age]]&lt;=30,"26-30",IF(Table7[[#This Row],[Age]]&lt;=35,"31-35","36+")))</f>
        <v>26-30</v>
      </c>
      <c r="S104" t="str">
        <f t="shared" si="5"/>
        <v>March</v>
      </c>
      <c r="T104" s="2" t="str">
        <f t="shared" si="6"/>
        <v>Q1</v>
      </c>
      <c r="U104" s="2">
        <f t="shared" si="7"/>
        <v>2025</v>
      </c>
    </row>
    <row r="105" spans="1:21" x14ac:dyDescent="0.3">
      <c r="A105" t="s">
        <v>4684</v>
      </c>
      <c r="B105" t="s">
        <v>4416</v>
      </c>
      <c r="C105" t="s">
        <v>4685</v>
      </c>
      <c r="D105" t="s">
        <v>4363</v>
      </c>
      <c r="E105">
        <v>29</v>
      </c>
      <c r="F105" t="s">
        <v>4686</v>
      </c>
      <c r="G105">
        <v>9145791142</v>
      </c>
      <c r="H105" t="s">
        <v>4404</v>
      </c>
      <c r="I105" t="s">
        <v>4405</v>
      </c>
      <c r="J105" t="s">
        <v>4367</v>
      </c>
      <c r="K105">
        <v>4.7</v>
      </c>
      <c r="L105">
        <v>8.4</v>
      </c>
      <c r="M105">
        <v>9.5</v>
      </c>
      <c r="N105" t="s">
        <v>4377</v>
      </c>
      <c r="O105" t="s">
        <v>4400</v>
      </c>
      <c r="P105" s="1">
        <v>45760</v>
      </c>
      <c r="Q105" t="str">
        <f t="shared" si="4"/>
        <v>10+ Years</v>
      </c>
      <c r="R105" t="str">
        <f>IF(Table7[[#This Row],[Age]]&lt;=25,"20-25",IF(Table7[[#This Row],[Age]]&lt;=30,"26-30",IF(Table7[[#This Row],[Age]]&lt;=35,"31-35","36+")))</f>
        <v>26-30</v>
      </c>
      <c r="S105" t="str">
        <f t="shared" si="5"/>
        <v>April</v>
      </c>
      <c r="T105" s="2" t="str">
        <f t="shared" si="6"/>
        <v>Q2</v>
      </c>
      <c r="U105" s="2">
        <f t="shared" si="7"/>
        <v>2025</v>
      </c>
    </row>
    <row r="106" spans="1:21" x14ac:dyDescent="0.3">
      <c r="A106" t="s">
        <v>1553</v>
      </c>
      <c r="B106" t="s">
        <v>4687</v>
      </c>
      <c r="C106" t="s">
        <v>4558</v>
      </c>
      <c r="D106" t="s">
        <v>4363</v>
      </c>
      <c r="E106">
        <v>21</v>
      </c>
      <c r="F106" t="s">
        <v>4688</v>
      </c>
      <c r="G106">
        <v>9813140084</v>
      </c>
      <c r="H106" t="s">
        <v>4445</v>
      </c>
      <c r="I106" t="s">
        <v>4396</v>
      </c>
      <c r="J106" t="s">
        <v>4446</v>
      </c>
      <c r="K106">
        <v>6.3</v>
      </c>
      <c r="L106">
        <v>12.1</v>
      </c>
      <c r="M106">
        <v>16.600000000000001</v>
      </c>
      <c r="N106" t="s">
        <v>4390</v>
      </c>
      <c r="O106" t="s">
        <v>4391</v>
      </c>
      <c r="P106" s="1">
        <v>45784</v>
      </c>
      <c r="Q106" t="str">
        <f t="shared" si="4"/>
        <v>10+ Years</v>
      </c>
      <c r="R106" t="str">
        <f>IF(Table7[[#This Row],[Age]]&lt;=25,"20-25",IF(Table7[[#This Row],[Age]]&lt;=30,"26-30",IF(Table7[[#This Row],[Age]]&lt;=35,"31-35","36+")))</f>
        <v>20-25</v>
      </c>
      <c r="S106" t="str">
        <f t="shared" si="5"/>
        <v>May</v>
      </c>
      <c r="T106" s="2" t="str">
        <f t="shared" si="6"/>
        <v>Q2</v>
      </c>
      <c r="U106" s="2">
        <f t="shared" si="7"/>
        <v>2025</v>
      </c>
    </row>
    <row r="107" spans="1:21" x14ac:dyDescent="0.3">
      <c r="A107" t="s">
        <v>3236</v>
      </c>
      <c r="B107" t="s">
        <v>4689</v>
      </c>
      <c r="C107" t="s">
        <v>4690</v>
      </c>
      <c r="D107" t="s">
        <v>4372</v>
      </c>
      <c r="E107">
        <v>27</v>
      </c>
      <c r="F107" t="s">
        <v>4691</v>
      </c>
      <c r="G107">
        <v>9136357573</v>
      </c>
      <c r="H107" t="s">
        <v>4410</v>
      </c>
      <c r="I107" t="s">
        <v>4411</v>
      </c>
      <c r="J107" t="s">
        <v>4450</v>
      </c>
      <c r="K107">
        <v>4.2</v>
      </c>
      <c r="M107">
        <v>19</v>
      </c>
      <c r="N107" t="s">
        <v>4377</v>
      </c>
      <c r="O107" t="s">
        <v>4369</v>
      </c>
      <c r="P107" s="1">
        <v>45981</v>
      </c>
      <c r="Q107" t="str">
        <f t="shared" si="4"/>
        <v>10+ Years</v>
      </c>
      <c r="R107" t="str">
        <f>IF(Table7[[#This Row],[Age]]&lt;=25,"20-25",IF(Table7[[#This Row],[Age]]&lt;=30,"26-30",IF(Table7[[#This Row],[Age]]&lt;=35,"31-35","36+")))</f>
        <v>26-30</v>
      </c>
      <c r="S107" t="str">
        <f t="shared" si="5"/>
        <v>November</v>
      </c>
      <c r="T107" s="2" t="str">
        <f t="shared" si="6"/>
        <v>Q4</v>
      </c>
      <c r="U107" s="2">
        <f t="shared" si="7"/>
        <v>2025</v>
      </c>
    </row>
    <row r="108" spans="1:21" x14ac:dyDescent="0.3">
      <c r="A108" t="s">
        <v>3335</v>
      </c>
      <c r="B108" t="s">
        <v>4692</v>
      </c>
      <c r="C108" t="s">
        <v>4693</v>
      </c>
      <c r="D108" t="s">
        <v>4363</v>
      </c>
      <c r="E108">
        <v>27</v>
      </c>
      <c r="F108" t="s">
        <v>4694</v>
      </c>
      <c r="G108">
        <v>9207242210</v>
      </c>
      <c r="H108" t="s">
        <v>4395</v>
      </c>
      <c r="I108" t="s">
        <v>4396</v>
      </c>
      <c r="J108" t="s">
        <v>4367</v>
      </c>
      <c r="K108">
        <v>2.2000000000000002</v>
      </c>
      <c r="L108">
        <v>4.0999999999999996</v>
      </c>
      <c r="M108">
        <v>5.6</v>
      </c>
      <c r="N108" t="s">
        <v>4368</v>
      </c>
      <c r="O108" t="s">
        <v>4391</v>
      </c>
      <c r="P108" s="1">
        <v>45874</v>
      </c>
      <c r="Q108" t="str">
        <f t="shared" si="4"/>
        <v>10+ Years</v>
      </c>
      <c r="R108" t="str">
        <f>IF(Table7[[#This Row],[Age]]&lt;=25,"20-25",IF(Table7[[#This Row],[Age]]&lt;=30,"26-30",IF(Table7[[#This Row],[Age]]&lt;=35,"31-35","36+")))</f>
        <v>26-30</v>
      </c>
      <c r="S108" t="str">
        <f t="shared" si="5"/>
        <v>August</v>
      </c>
      <c r="T108" s="2" t="str">
        <f t="shared" si="6"/>
        <v>Q3</v>
      </c>
      <c r="U108" s="2">
        <f t="shared" si="7"/>
        <v>2025</v>
      </c>
    </row>
    <row r="109" spans="1:21" x14ac:dyDescent="0.3">
      <c r="A109" t="s">
        <v>4695</v>
      </c>
      <c r="B109" t="s">
        <v>4696</v>
      </c>
      <c r="C109" t="s">
        <v>4697</v>
      </c>
      <c r="D109" t="s">
        <v>4372</v>
      </c>
      <c r="E109">
        <v>27</v>
      </c>
      <c r="F109" t="s">
        <v>4698</v>
      </c>
      <c r="G109">
        <v>9375631957</v>
      </c>
      <c r="H109" t="s">
        <v>4387</v>
      </c>
      <c r="I109" t="s">
        <v>4388</v>
      </c>
      <c r="J109" t="s">
        <v>4432</v>
      </c>
      <c r="K109">
        <v>4.9000000000000004</v>
      </c>
      <c r="L109">
        <v>9.9</v>
      </c>
      <c r="M109">
        <v>13.4</v>
      </c>
      <c r="N109" t="s">
        <v>4390</v>
      </c>
      <c r="O109" t="s">
        <v>4391</v>
      </c>
      <c r="P109" s="1">
        <v>45966</v>
      </c>
      <c r="Q109" t="str">
        <f t="shared" si="4"/>
        <v>10+ Years</v>
      </c>
      <c r="R109" t="str">
        <f>IF(Table7[[#This Row],[Age]]&lt;=25,"20-25",IF(Table7[[#This Row],[Age]]&lt;=30,"26-30",IF(Table7[[#This Row],[Age]]&lt;=35,"31-35","36+")))</f>
        <v>26-30</v>
      </c>
      <c r="S109" t="str">
        <f t="shared" si="5"/>
        <v>November</v>
      </c>
      <c r="T109" s="2" t="str">
        <f t="shared" si="6"/>
        <v>Q4</v>
      </c>
      <c r="U109" s="2">
        <f t="shared" si="7"/>
        <v>2025</v>
      </c>
    </row>
    <row r="110" spans="1:21" x14ac:dyDescent="0.3">
      <c r="A110" t="s">
        <v>4699</v>
      </c>
      <c r="B110" t="s">
        <v>4439</v>
      </c>
      <c r="C110" t="s">
        <v>4700</v>
      </c>
      <c r="D110" t="s">
        <v>4372</v>
      </c>
      <c r="E110">
        <v>22</v>
      </c>
      <c r="F110" t="s">
        <v>4701</v>
      </c>
      <c r="G110">
        <v>9763868645</v>
      </c>
      <c r="H110" t="s">
        <v>4404</v>
      </c>
      <c r="I110" t="s">
        <v>4405</v>
      </c>
      <c r="J110" t="s">
        <v>4367</v>
      </c>
      <c r="K110">
        <v>5.2</v>
      </c>
      <c r="L110">
        <v>9.8000000000000007</v>
      </c>
      <c r="M110">
        <v>12.3</v>
      </c>
      <c r="N110" t="s">
        <v>4390</v>
      </c>
      <c r="O110" t="s">
        <v>4400</v>
      </c>
      <c r="P110" s="1">
        <v>45835</v>
      </c>
      <c r="Q110" t="str">
        <f t="shared" si="4"/>
        <v>10+ Years</v>
      </c>
      <c r="R110" t="str">
        <f>IF(Table7[[#This Row],[Age]]&lt;=25,"20-25",IF(Table7[[#This Row],[Age]]&lt;=30,"26-30",IF(Table7[[#This Row],[Age]]&lt;=35,"31-35","36+")))</f>
        <v>20-25</v>
      </c>
      <c r="S110" t="str">
        <f t="shared" si="5"/>
        <v>June</v>
      </c>
      <c r="T110" s="2" t="str">
        <f t="shared" si="6"/>
        <v>Q2</v>
      </c>
      <c r="U110" s="2">
        <f t="shared" si="7"/>
        <v>2025</v>
      </c>
    </row>
    <row r="111" spans="1:21" x14ac:dyDescent="0.3">
      <c r="A111" t="s">
        <v>2668</v>
      </c>
      <c r="B111" t="s">
        <v>4702</v>
      </c>
      <c r="C111" t="s">
        <v>4460</v>
      </c>
      <c r="D111" t="s">
        <v>4372</v>
      </c>
      <c r="E111">
        <v>22</v>
      </c>
      <c r="F111" t="s">
        <v>4703</v>
      </c>
      <c r="G111">
        <v>9677544838</v>
      </c>
      <c r="H111" t="s">
        <v>4521</v>
      </c>
      <c r="I111" t="s">
        <v>4522</v>
      </c>
      <c r="J111" t="s">
        <v>4367</v>
      </c>
      <c r="K111">
        <v>0.3</v>
      </c>
      <c r="L111">
        <v>6.3</v>
      </c>
      <c r="M111">
        <v>8.8000000000000007</v>
      </c>
      <c r="N111" t="s">
        <v>4406</v>
      </c>
      <c r="O111" t="s">
        <v>4400</v>
      </c>
      <c r="P111" s="1">
        <v>45745</v>
      </c>
      <c r="Q111" t="str">
        <f t="shared" si="4"/>
        <v>10+ Years</v>
      </c>
      <c r="R111" t="str">
        <f>IF(Table7[[#This Row],[Age]]&lt;=25,"20-25",IF(Table7[[#This Row],[Age]]&lt;=30,"26-30",IF(Table7[[#This Row],[Age]]&lt;=35,"31-35","36+")))</f>
        <v>20-25</v>
      </c>
      <c r="S111" t="str">
        <f t="shared" si="5"/>
        <v>March</v>
      </c>
      <c r="T111" s="2" t="str">
        <f t="shared" si="6"/>
        <v>Q1</v>
      </c>
      <c r="U111" s="2">
        <f t="shared" si="7"/>
        <v>2025</v>
      </c>
    </row>
    <row r="112" spans="1:21" x14ac:dyDescent="0.3">
      <c r="A112" t="s">
        <v>1446</v>
      </c>
      <c r="B112" t="s">
        <v>4704</v>
      </c>
      <c r="C112" t="s">
        <v>4705</v>
      </c>
      <c r="D112" t="s">
        <v>4372</v>
      </c>
      <c r="E112">
        <v>36</v>
      </c>
      <c r="F112" t="s">
        <v>4706</v>
      </c>
      <c r="G112">
        <v>9316933609</v>
      </c>
      <c r="H112" t="s">
        <v>4454</v>
      </c>
      <c r="I112" t="s">
        <v>4455</v>
      </c>
      <c r="J112" t="s">
        <v>4389</v>
      </c>
      <c r="K112">
        <v>3.4</v>
      </c>
      <c r="L112">
        <v>12.4</v>
      </c>
      <c r="M112">
        <v>17.899999999999999</v>
      </c>
      <c r="N112" t="s">
        <v>4406</v>
      </c>
      <c r="O112" t="s">
        <v>4391</v>
      </c>
      <c r="P112" s="1">
        <v>45909</v>
      </c>
      <c r="Q112" t="str">
        <f t="shared" si="4"/>
        <v>10+ Years</v>
      </c>
      <c r="R112" t="str">
        <f>IF(Table7[[#This Row],[Age]]&lt;=25,"20-25",IF(Table7[[#This Row],[Age]]&lt;=30,"26-30",IF(Table7[[#This Row],[Age]]&lt;=35,"31-35","36+")))</f>
        <v>36+</v>
      </c>
      <c r="S112" t="str">
        <f t="shared" si="5"/>
        <v>September</v>
      </c>
      <c r="T112" s="2" t="str">
        <f t="shared" si="6"/>
        <v>Q3</v>
      </c>
      <c r="U112" s="2">
        <f t="shared" si="7"/>
        <v>2025</v>
      </c>
    </row>
    <row r="113" spans="1:21" x14ac:dyDescent="0.3">
      <c r="A113" t="s">
        <v>4707</v>
      </c>
      <c r="B113" t="s">
        <v>4708</v>
      </c>
      <c r="C113" t="s">
        <v>4541</v>
      </c>
      <c r="D113" t="s">
        <v>4363</v>
      </c>
      <c r="E113">
        <v>22</v>
      </c>
      <c r="F113" t="s">
        <v>4709</v>
      </c>
      <c r="G113">
        <v>9631053022</v>
      </c>
      <c r="H113" t="s">
        <v>4521</v>
      </c>
      <c r="I113" t="s">
        <v>4522</v>
      </c>
      <c r="K113">
        <v>0.1</v>
      </c>
      <c r="L113">
        <v>5.9</v>
      </c>
      <c r="M113">
        <v>8.1999999999999993</v>
      </c>
      <c r="N113" t="s">
        <v>4368</v>
      </c>
      <c r="O113" t="s">
        <v>4485</v>
      </c>
      <c r="P113" s="1">
        <v>45803</v>
      </c>
      <c r="Q113" t="str">
        <f t="shared" si="4"/>
        <v>10+ Years</v>
      </c>
      <c r="R113" t="str">
        <f>IF(Table7[[#This Row],[Age]]&lt;=25,"20-25",IF(Table7[[#This Row],[Age]]&lt;=30,"26-30",IF(Table7[[#This Row],[Age]]&lt;=35,"31-35","36+")))</f>
        <v>20-25</v>
      </c>
      <c r="S113" t="str">
        <f t="shared" si="5"/>
        <v>May</v>
      </c>
      <c r="T113" s="2" t="str">
        <f t="shared" si="6"/>
        <v>Q2</v>
      </c>
      <c r="U113" s="2">
        <f t="shared" si="7"/>
        <v>2025</v>
      </c>
    </row>
    <row r="114" spans="1:21" x14ac:dyDescent="0.3">
      <c r="A114" t="s">
        <v>558</v>
      </c>
      <c r="B114" t="s">
        <v>4687</v>
      </c>
      <c r="C114" t="s">
        <v>4710</v>
      </c>
      <c r="D114" t="s">
        <v>4363</v>
      </c>
      <c r="E114">
        <v>21</v>
      </c>
      <c r="F114" t="s">
        <v>4711</v>
      </c>
      <c r="G114">
        <v>9348600817</v>
      </c>
      <c r="H114" t="s">
        <v>4491</v>
      </c>
      <c r="I114" t="s">
        <v>4491</v>
      </c>
      <c r="J114" t="s">
        <v>4367</v>
      </c>
      <c r="K114">
        <v>10.5</v>
      </c>
      <c r="L114">
        <v>11.9</v>
      </c>
      <c r="M114">
        <v>17</v>
      </c>
      <c r="N114" t="s">
        <v>4377</v>
      </c>
      <c r="O114" t="s">
        <v>4391</v>
      </c>
      <c r="P114" s="1">
        <v>46014</v>
      </c>
      <c r="Q114" t="str">
        <f t="shared" si="4"/>
        <v>10+ Years</v>
      </c>
      <c r="R114" t="str">
        <f>IF(Table7[[#This Row],[Age]]&lt;=25,"20-25",IF(Table7[[#This Row],[Age]]&lt;=30,"26-30",IF(Table7[[#This Row],[Age]]&lt;=35,"31-35","36+")))</f>
        <v>20-25</v>
      </c>
      <c r="S114" t="str">
        <f t="shared" si="5"/>
        <v>December</v>
      </c>
      <c r="T114" s="2" t="str">
        <f t="shared" si="6"/>
        <v>Q4</v>
      </c>
      <c r="U114" s="2">
        <f t="shared" si="7"/>
        <v>2025</v>
      </c>
    </row>
    <row r="115" spans="1:21" x14ac:dyDescent="0.3">
      <c r="A115" t="s">
        <v>4712</v>
      </c>
      <c r="B115" t="s">
        <v>4713</v>
      </c>
      <c r="C115" t="s">
        <v>4594</v>
      </c>
      <c r="D115" t="s">
        <v>4363</v>
      </c>
      <c r="E115">
        <v>31</v>
      </c>
      <c r="F115" t="s">
        <v>4714</v>
      </c>
      <c r="G115">
        <v>9774237069</v>
      </c>
      <c r="H115" t="s">
        <v>4476</v>
      </c>
      <c r="I115" t="s">
        <v>4477</v>
      </c>
      <c r="J115" t="s">
        <v>4482</v>
      </c>
      <c r="K115">
        <v>9.9</v>
      </c>
      <c r="M115">
        <v>25</v>
      </c>
      <c r="N115" t="s">
        <v>4390</v>
      </c>
      <c r="O115" t="s">
        <v>4485</v>
      </c>
      <c r="P115" s="1">
        <v>45702</v>
      </c>
      <c r="Q115" t="str">
        <f t="shared" si="4"/>
        <v>10+ Years</v>
      </c>
      <c r="R115" t="str">
        <f>IF(Table7[[#This Row],[Age]]&lt;=25,"20-25",IF(Table7[[#This Row],[Age]]&lt;=30,"26-30",IF(Table7[[#This Row],[Age]]&lt;=35,"31-35","36+")))</f>
        <v>31-35</v>
      </c>
      <c r="S115" t="str">
        <f t="shared" si="5"/>
        <v>February</v>
      </c>
      <c r="T115" s="2" t="str">
        <f t="shared" si="6"/>
        <v>Q1</v>
      </c>
      <c r="U115" s="2">
        <f t="shared" si="7"/>
        <v>2025</v>
      </c>
    </row>
    <row r="116" spans="1:21" x14ac:dyDescent="0.3">
      <c r="A116" t="s">
        <v>287</v>
      </c>
      <c r="B116" t="s">
        <v>4715</v>
      </c>
      <c r="C116" t="s">
        <v>4716</v>
      </c>
      <c r="D116" t="s">
        <v>4372</v>
      </c>
      <c r="E116">
        <v>27</v>
      </c>
      <c r="F116" t="s">
        <v>4717</v>
      </c>
      <c r="G116">
        <v>9127030408</v>
      </c>
      <c r="H116" t="s">
        <v>4476</v>
      </c>
      <c r="I116" t="s">
        <v>4477</v>
      </c>
      <c r="J116" t="s">
        <v>4367</v>
      </c>
      <c r="K116">
        <v>0.2</v>
      </c>
      <c r="L116">
        <v>6.8</v>
      </c>
      <c r="M116">
        <v>8.1999999999999993</v>
      </c>
      <c r="N116" t="s">
        <v>4377</v>
      </c>
      <c r="O116" t="s">
        <v>4383</v>
      </c>
      <c r="P116" s="1">
        <v>45852</v>
      </c>
      <c r="Q116" t="str">
        <f t="shared" si="4"/>
        <v>10+ Years</v>
      </c>
      <c r="R116" t="str">
        <f>IF(Table7[[#This Row],[Age]]&lt;=25,"20-25",IF(Table7[[#This Row],[Age]]&lt;=30,"26-30",IF(Table7[[#This Row],[Age]]&lt;=35,"31-35","36+")))</f>
        <v>26-30</v>
      </c>
      <c r="S116" t="str">
        <f t="shared" si="5"/>
        <v>July</v>
      </c>
      <c r="T116" s="2" t="str">
        <f t="shared" si="6"/>
        <v>Q3</v>
      </c>
      <c r="U116" s="2">
        <f t="shared" si="7"/>
        <v>2025</v>
      </c>
    </row>
    <row r="117" spans="1:21" x14ac:dyDescent="0.3">
      <c r="A117" t="s">
        <v>126</v>
      </c>
      <c r="B117" t="s">
        <v>4718</v>
      </c>
      <c r="C117" t="s">
        <v>4719</v>
      </c>
      <c r="D117" t="s">
        <v>4720</v>
      </c>
      <c r="E117">
        <v>31</v>
      </c>
      <c r="F117" t="s">
        <v>4721</v>
      </c>
      <c r="G117">
        <v>9350799859</v>
      </c>
      <c r="H117" t="s">
        <v>4491</v>
      </c>
      <c r="I117" t="s">
        <v>4491</v>
      </c>
      <c r="J117" t="s">
        <v>4367</v>
      </c>
      <c r="K117">
        <v>1.1000000000000001</v>
      </c>
      <c r="L117">
        <v>4.9000000000000004</v>
      </c>
      <c r="M117">
        <v>6.4</v>
      </c>
      <c r="N117" t="s">
        <v>4390</v>
      </c>
      <c r="O117" t="s">
        <v>4383</v>
      </c>
      <c r="P117" s="1">
        <v>45675</v>
      </c>
      <c r="Q117" t="str">
        <f t="shared" si="4"/>
        <v>10+ Years</v>
      </c>
      <c r="R117" t="str">
        <f>IF(Table7[[#This Row],[Age]]&lt;=25,"20-25",IF(Table7[[#This Row],[Age]]&lt;=30,"26-30",IF(Table7[[#This Row],[Age]]&lt;=35,"31-35","36+")))</f>
        <v>31-35</v>
      </c>
      <c r="S117" t="str">
        <f t="shared" si="5"/>
        <v>January</v>
      </c>
      <c r="T117" s="2" t="str">
        <f t="shared" si="6"/>
        <v>Q1</v>
      </c>
      <c r="U117" s="2">
        <f t="shared" si="7"/>
        <v>2025</v>
      </c>
    </row>
    <row r="118" spans="1:21" x14ac:dyDescent="0.3">
      <c r="A118" t="s">
        <v>223</v>
      </c>
      <c r="B118" t="s">
        <v>4722</v>
      </c>
      <c r="C118" t="s">
        <v>4723</v>
      </c>
      <c r="D118" t="s">
        <v>4372</v>
      </c>
      <c r="E118">
        <v>26</v>
      </c>
      <c r="F118" t="s">
        <v>4724</v>
      </c>
      <c r="G118">
        <v>9660205669</v>
      </c>
      <c r="H118" t="s">
        <v>4395</v>
      </c>
      <c r="I118" t="s">
        <v>4396</v>
      </c>
      <c r="J118" t="s">
        <v>4446</v>
      </c>
      <c r="K118">
        <v>6.8</v>
      </c>
      <c r="L118">
        <v>13.1</v>
      </c>
      <c r="M118">
        <v>16.600000000000001</v>
      </c>
      <c r="N118" t="s">
        <v>4390</v>
      </c>
      <c r="O118" t="s">
        <v>4391</v>
      </c>
      <c r="P118" s="1">
        <v>45895</v>
      </c>
      <c r="Q118" t="str">
        <f t="shared" si="4"/>
        <v>10+ Years</v>
      </c>
      <c r="R118" t="str">
        <f>IF(Table7[[#This Row],[Age]]&lt;=25,"20-25",IF(Table7[[#This Row],[Age]]&lt;=30,"26-30",IF(Table7[[#This Row],[Age]]&lt;=35,"31-35","36+")))</f>
        <v>26-30</v>
      </c>
      <c r="S118" t="str">
        <f t="shared" si="5"/>
        <v>August</v>
      </c>
      <c r="T118" s="2" t="str">
        <f t="shared" si="6"/>
        <v>Q3</v>
      </c>
      <c r="U118" s="2">
        <f t="shared" si="7"/>
        <v>2025</v>
      </c>
    </row>
    <row r="119" spans="1:21" x14ac:dyDescent="0.3">
      <c r="A119" t="s">
        <v>394</v>
      </c>
      <c r="B119" t="s">
        <v>4725</v>
      </c>
      <c r="C119" t="s">
        <v>4480</v>
      </c>
      <c r="D119" t="s">
        <v>4372</v>
      </c>
      <c r="E119">
        <v>30</v>
      </c>
      <c r="F119" t="s">
        <v>4726</v>
      </c>
      <c r="G119">
        <v>9376180244</v>
      </c>
      <c r="H119" t="s">
        <v>4521</v>
      </c>
      <c r="I119" t="s">
        <v>4522</v>
      </c>
      <c r="J119" t="s">
        <v>4432</v>
      </c>
      <c r="K119">
        <v>4.8</v>
      </c>
      <c r="L119">
        <v>7.9</v>
      </c>
      <c r="M119">
        <v>9.6999999999999993</v>
      </c>
      <c r="N119" t="s">
        <v>4390</v>
      </c>
      <c r="O119" t="s">
        <v>4456</v>
      </c>
      <c r="P119" s="1">
        <v>45917</v>
      </c>
      <c r="Q119" t="str">
        <f t="shared" si="4"/>
        <v>10+ Years</v>
      </c>
      <c r="R119" t="str">
        <f>IF(Table7[[#This Row],[Age]]&lt;=25,"20-25",IF(Table7[[#This Row],[Age]]&lt;=30,"26-30",IF(Table7[[#This Row],[Age]]&lt;=35,"31-35","36+")))</f>
        <v>26-30</v>
      </c>
      <c r="S119" t="str">
        <f t="shared" si="5"/>
        <v>September</v>
      </c>
      <c r="T119" s="2" t="str">
        <f t="shared" si="6"/>
        <v>Q3</v>
      </c>
      <c r="U119" s="2">
        <f t="shared" si="7"/>
        <v>2025</v>
      </c>
    </row>
    <row r="120" spans="1:21" x14ac:dyDescent="0.3">
      <c r="A120" t="s">
        <v>2031</v>
      </c>
      <c r="B120" t="s">
        <v>4727</v>
      </c>
      <c r="C120" t="s">
        <v>4440</v>
      </c>
      <c r="D120" t="s">
        <v>4372</v>
      </c>
      <c r="E120">
        <v>23</v>
      </c>
      <c r="F120" t="s">
        <v>4728</v>
      </c>
      <c r="G120">
        <v>9910390521</v>
      </c>
      <c r="H120" t="s">
        <v>4404</v>
      </c>
      <c r="I120" t="s">
        <v>4405</v>
      </c>
      <c r="J120" t="s">
        <v>4446</v>
      </c>
      <c r="K120">
        <v>3.4</v>
      </c>
      <c r="L120">
        <v>5.5</v>
      </c>
      <c r="M120">
        <v>7.3</v>
      </c>
      <c r="N120" t="s">
        <v>4390</v>
      </c>
      <c r="O120" t="s">
        <v>4419</v>
      </c>
      <c r="P120" s="1">
        <v>45825</v>
      </c>
      <c r="Q120" t="str">
        <f t="shared" si="4"/>
        <v>10+ Years</v>
      </c>
      <c r="R120" t="str">
        <f>IF(Table7[[#This Row],[Age]]&lt;=25,"20-25",IF(Table7[[#This Row],[Age]]&lt;=30,"26-30",IF(Table7[[#This Row],[Age]]&lt;=35,"31-35","36+")))</f>
        <v>20-25</v>
      </c>
      <c r="S120" t="str">
        <f t="shared" si="5"/>
        <v>June</v>
      </c>
      <c r="T120" s="2" t="str">
        <f t="shared" si="6"/>
        <v>Q2</v>
      </c>
      <c r="U120" s="2">
        <f t="shared" si="7"/>
        <v>2025</v>
      </c>
    </row>
    <row r="121" spans="1:21" x14ac:dyDescent="0.3">
      <c r="A121" t="s">
        <v>275</v>
      </c>
      <c r="B121" t="s">
        <v>4582</v>
      </c>
      <c r="C121" t="s">
        <v>4729</v>
      </c>
      <c r="D121" t="s">
        <v>4363</v>
      </c>
      <c r="E121">
        <v>37</v>
      </c>
      <c r="F121" t="s">
        <v>4730</v>
      </c>
      <c r="G121">
        <v>9272791213</v>
      </c>
      <c r="H121" t="s">
        <v>4365</v>
      </c>
      <c r="I121" t="s">
        <v>4366</v>
      </c>
      <c r="K121">
        <v>0.6</v>
      </c>
      <c r="L121">
        <v>2.5</v>
      </c>
      <c r="M121">
        <v>3</v>
      </c>
      <c r="N121" t="s">
        <v>4494</v>
      </c>
      <c r="O121" t="s">
        <v>4456</v>
      </c>
      <c r="P121" s="1">
        <v>45710</v>
      </c>
      <c r="Q121" t="str">
        <f t="shared" si="4"/>
        <v>10+ Years</v>
      </c>
      <c r="R121" t="str">
        <f>IF(Table7[[#This Row],[Age]]&lt;=25,"20-25",IF(Table7[[#This Row],[Age]]&lt;=30,"26-30",IF(Table7[[#This Row],[Age]]&lt;=35,"31-35","36+")))</f>
        <v>36+</v>
      </c>
      <c r="S121" t="str">
        <f t="shared" si="5"/>
        <v>February</v>
      </c>
      <c r="T121" s="2" t="str">
        <f t="shared" si="6"/>
        <v>Q1</v>
      </c>
      <c r="U121" s="2">
        <f t="shared" si="7"/>
        <v>2025</v>
      </c>
    </row>
    <row r="122" spans="1:21" x14ac:dyDescent="0.3">
      <c r="A122" t="s">
        <v>1030</v>
      </c>
      <c r="B122" t="s">
        <v>4731</v>
      </c>
      <c r="C122" t="s">
        <v>4561</v>
      </c>
      <c r="D122" t="s">
        <v>4372</v>
      </c>
      <c r="E122">
        <v>23</v>
      </c>
      <c r="F122" t="s">
        <v>4732</v>
      </c>
      <c r="G122">
        <v>9209132960</v>
      </c>
      <c r="H122" t="s">
        <v>4365</v>
      </c>
      <c r="I122" t="s">
        <v>4366</v>
      </c>
      <c r="J122" t="s">
        <v>4482</v>
      </c>
      <c r="K122">
        <v>3</v>
      </c>
      <c r="L122">
        <v>10.4</v>
      </c>
      <c r="M122">
        <v>15</v>
      </c>
      <c r="N122" t="s">
        <v>4377</v>
      </c>
      <c r="O122" t="s">
        <v>4400</v>
      </c>
      <c r="P122" s="1">
        <v>45880</v>
      </c>
      <c r="Q122" t="str">
        <f t="shared" si="4"/>
        <v>10+ Years</v>
      </c>
      <c r="R122" t="str">
        <f>IF(Table7[[#This Row],[Age]]&lt;=25,"20-25",IF(Table7[[#This Row],[Age]]&lt;=30,"26-30",IF(Table7[[#This Row],[Age]]&lt;=35,"31-35","36+")))</f>
        <v>20-25</v>
      </c>
      <c r="S122" t="str">
        <f t="shared" si="5"/>
        <v>August</v>
      </c>
      <c r="T122" s="2" t="str">
        <f t="shared" si="6"/>
        <v>Q3</v>
      </c>
      <c r="U122" s="2">
        <f t="shared" si="7"/>
        <v>2025</v>
      </c>
    </row>
    <row r="123" spans="1:21" x14ac:dyDescent="0.3">
      <c r="A123" t="s">
        <v>1839</v>
      </c>
      <c r="B123" t="s">
        <v>4526</v>
      </c>
      <c r="C123" t="s">
        <v>4362</v>
      </c>
      <c r="D123" t="s">
        <v>4372</v>
      </c>
      <c r="E123">
        <v>29</v>
      </c>
      <c r="F123" t="s">
        <v>4733</v>
      </c>
      <c r="G123">
        <v>9785026733</v>
      </c>
      <c r="H123" t="s">
        <v>4387</v>
      </c>
      <c r="I123" t="s">
        <v>4388</v>
      </c>
      <c r="J123" t="s">
        <v>4367</v>
      </c>
      <c r="K123">
        <v>4.5999999999999996</v>
      </c>
      <c r="L123">
        <v>9.1</v>
      </c>
      <c r="M123">
        <v>10.8</v>
      </c>
      <c r="N123" t="s">
        <v>4390</v>
      </c>
      <c r="O123" t="s">
        <v>4369</v>
      </c>
      <c r="P123" s="1">
        <v>45862</v>
      </c>
      <c r="Q123" t="str">
        <f t="shared" si="4"/>
        <v>10+ Years</v>
      </c>
      <c r="R123" t="str">
        <f>IF(Table7[[#This Row],[Age]]&lt;=25,"20-25",IF(Table7[[#This Row],[Age]]&lt;=30,"26-30",IF(Table7[[#This Row],[Age]]&lt;=35,"31-35","36+")))</f>
        <v>26-30</v>
      </c>
      <c r="S123" t="str">
        <f t="shared" si="5"/>
        <v>July</v>
      </c>
      <c r="T123" s="2" t="str">
        <f t="shared" si="6"/>
        <v>Q3</v>
      </c>
      <c r="U123" s="2">
        <f t="shared" si="7"/>
        <v>2025</v>
      </c>
    </row>
    <row r="124" spans="1:21" x14ac:dyDescent="0.3">
      <c r="A124" t="s">
        <v>3682</v>
      </c>
      <c r="B124" t="s">
        <v>4734</v>
      </c>
      <c r="C124" t="s">
        <v>4735</v>
      </c>
      <c r="D124" t="s">
        <v>4363</v>
      </c>
      <c r="E124">
        <v>33</v>
      </c>
      <c r="F124" t="s">
        <v>4736</v>
      </c>
      <c r="G124">
        <v>9844574832</v>
      </c>
      <c r="H124" t="s">
        <v>4365</v>
      </c>
      <c r="I124" t="s">
        <v>4366</v>
      </c>
      <c r="J124" t="s">
        <v>4415</v>
      </c>
      <c r="K124">
        <v>4.0999999999999996</v>
      </c>
      <c r="L124">
        <v>10.8</v>
      </c>
      <c r="M124">
        <v>14.3</v>
      </c>
      <c r="N124" t="s">
        <v>4390</v>
      </c>
      <c r="O124" t="s">
        <v>4369</v>
      </c>
      <c r="P124" s="1">
        <v>45967</v>
      </c>
      <c r="Q124" t="str">
        <f t="shared" si="4"/>
        <v>10+ Years</v>
      </c>
      <c r="R124" t="str">
        <f>IF(Table7[[#This Row],[Age]]&lt;=25,"20-25",IF(Table7[[#This Row],[Age]]&lt;=30,"26-30",IF(Table7[[#This Row],[Age]]&lt;=35,"31-35","36+")))</f>
        <v>31-35</v>
      </c>
      <c r="S124" t="str">
        <f t="shared" si="5"/>
        <v>November</v>
      </c>
      <c r="T124" s="2" t="str">
        <f t="shared" si="6"/>
        <v>Q4</v>
      </c>
      <c r="U124" s="2">
        <f t="shared" si="7"/>
        <v>2025</v>
      </c>
    </row>
    <row r="125" spans="1:21" x14ac:dyDescent="0.3">
      <c r="A125" t="s">
        <v>1178</v>
      </c>
      <c r="B125" t="s">
        <v>4465</v>
      </c>
      <c r="C125" t="s">
        <v>4737</v>
      </c>
      <c r="D125" t="s">
        <v>4363</v>
      </c>
      <c r="E125">
        <v>25</v>
      </c>
      <c r="F125" t="s">
        <v>4738</v>
      </c>
      <c r="G125">
        <v>9895584484</v>
      </c>
      <c r="H125" t="s">
        <v>4365</v>
      </c>
      <c r="I125" t="s">
        <v>4366</v>
      </c>
      <c r="J125" t="s">
        <v>4450</v>
      </c>
      <c r="K125">
        <v>9.6</v>
      </c>
      <c r="L125">
        <v>17.7</v>
      </c>
      <c r="M125">
        <v>22.3</v>
      </c>
      <c r="N125" t="s">
        <v>4390</v>
      </c>
      <c r="O125" t="s">
        <v>4400</v>
      </c>
      <c r="P125" s="1">
        <v>45873</v>
      </c>
      <c r="Q125" t="str">
        <f t="shared" si="4"/>
        <v>10+ Years</v>
      </c>
      <c r="R125" t="str">
        <f>IF(Table7[[#This Row],[Age]]&lt;=25,"20-25",IF(Table7[[#This Row],[Age]]&lt;=30,"26-30",IF(Table7[[#This Row],[Age]]&lt;=35,"31-35","36+")))</f>
        <v>20-25</v>
      </c>
      <c r="S125" t="str">
        <f t="shared" si="5"/>
        <v>August</v>
      </c>
      <c r="T125" s="2" t="str">
        <f t="shared" si="6"/>
        <v>Q3</v>
      </c>
      <c r="U125" s="2">
        <f t="shared" si="7"/>
        <v>2025</v>
      </c>
    </row>
    <row r="126" spans="1:21" x14ac:dyDescent="0.3">
      <c r="A126" t="s">
        <v>477</v>
      </c>
      <c r="B126" t="s">
        <v>4457</v>
      </c>
      <c r="C126" t="s">
        <v>4739</v>
      </c>
      <c r="D126" t="s">
        <v>4363</v>
      </c>
      <c r="E126">
        <v>27</v>
      </c>
      <c r="F126" t="s">
        <v>4740</v>
      </c>
      <c r="G126">
        <v>9875477382</v>
      </c>
      <c r="H126" t="s">
        <v>4395</v>
      </c>
      <c r="I126" t="s">
        <v>4396</v>
      </c>
      <c r="J126" t="s">
        <v>4450</v>
      </c>
      <c r="K126">
        <v>0.6</v>
      </c>
      <c r="L126">
        <v>7.8</v>
      </c>
      <c r="M126">
        <v>10.7</v>
      </c>
      <c r="N126" t="s">
        <v>4390</v>
      </c>
      <c r="O126" t="s">
        <v>4485</v>
      </c>
      <c r="P126" s="1">
        <v>46005</v>
      </c>
      <c r="Q126" t="str">
        <f t="shared" si="4"/>
        <v>10+ Years</v>
      </c>
      <c r="R126" t="str">
        <f>IF(Table7[[#This Row],[Age]]&lt;=25,"20-25",IF(Table7[[#This Row],[Age]]&lt;=30,"26-30",IF(Table7[[#This Row],[Age]]&lt;=35,"31-35","36+")))</f>
        <v>26-30</v>
      </c>
      <c r="S126" t="str">
        <f t="shared" si="5"/>
        <v>December</v>
      </c>
      <c r="T126" s="2" t="str">
        <f t="shared" si="6"/>
        <v>Q4</v>
      </c>
      <c r="U126" s="2">
        <f t="shared" si="7"/>
        <v>2025</v>
      </c>
    </row>
    <row r="127" spans="1:21" x14ac:dyDescent="0.3">
      <c r="A127" t="s">
        <v>285</v>
      </c>
      <c r="B127" t="s">
        <v>4741</v>
      </c>
      <c r="C127" t="s">
        <v>4742</v>
      </c>
      <c r="D127" t="s">
        <v>4372</v>
      </c>
      <c r="E127">
        <v>34</v>
      </c>
      <c r="F127" t="s">
        <v>4743</v>
      </c>
      <c r="G127">
        <v>9587374311</v>
      </c>
      <c r="H127" t="s">
        <v>4381</v>
      </c>
      <c r="I127" t="s">
        <v>4382</v>
      </c>
      <c r="J127" t="s">
        <v>4432</v>
      </c>
      <c r="K127">
        <v>0.7</v>
      </c>
      <c r="L127">
        <v>8.1</v>
      </c>
      <c r="M127">
        <v>10.8</v>
      </c>
      <c r="N127" t="s">
        <v>4406</v>
      </c>
      <c r="O127" t="s">
        <v>4391</v>
      </c>
      <c r="P127" s="1">
        <v>45862</v>
      </c>
      <c r="Q127" t="str">
        <f t="shared" si="4"/>
        <v>10+ Years</v>
      </c>
      <c r="R127" t="str">
        <f>IF(Table7[[#This Row],[Age]]&lt;=25,"20-25",IF(Table7[[#This Row],[Age]]&lt;=30,"26-30",IF(Table7[[#This Row],[Age]]&lt;=35,"31-35","36+")))</f>
        <v>31-35</v>
      </c>
      <c r="S127" t="str">
        <f t="shared" si="5"/>
        <v>July</v>
      </c>
      <c r="T127" s="2" t="str">
        <f t="shared" si="6"/>
        <v>Q3</v>
      </c>
      <c r="U127" s="2">
        <f t="shared" si="7"/>
        <v>2025</v>
      </c>
    </row>
    <row r="128" spans="1:21" x14ac:dyDescent="0.3">
      <c r="A128" t="s">
        <v>2508</v>
      </c>
      <c r="B128" t="s">
        <v>4744</v>
      </c>
      <c r="C128" t="s">
        <v>4745</v>
      </c>
      <c r="D128" t="s">
        <v>4363</v>
      </c>
      <c r="E128">
        <v>30</v>
      </c>
      <c r="F128" t="s">
        <v>4746</v>
      </c>
      <c r="G128">
        <v>9267995924</v>
      </c>
      <c r="H128" t="s">
        <v>4454</v>
      </c>
      <c r="I128" t="s">
        <v>4455</v>
      </c>
      <c r="J128" t="s">
        <v>4446</v>
      </c>
      <c r="K128">
        <v>5.7</v>
      </c>
      <c r="L128">
        <v>13.3</v>
      </c>
      <c r="M128">
        <v>17</v>
      </c>
      <c r="N128" t="s">
        <v>4406</v>
      </c>
      <c r="O128" t="s">
        <v>4485</v>
      </c>
      <c r="P128" s="1">
        <v>45923</v>
      </c>
      <c r="Q128" t="str">
        <f t="shared" si="4"/>
        <v>10+ Years</v>
      </c>
      <c r="R128" t="str">
        <f>IF(Table7[[#This Row],[Age]]&lt;=25,"20-25",IF(Table7[[#This Row],[Age]]&lt;=30,"26-30",IF(Table7[[#This Row],[Age]]&lt;=35,"31-35","36+")))</f>
        <v>26-30</v>
      </c>
      <c r="S128" t="str">
        <f t="shared" si="5"/>
        <v>September</v>
      </c>
      <c r="T128" s="2" t="str">
        <f t="shared" si="6"/>
        <v>Q3</v>
      </c>
      <c r="U128" s="2">
        <f t="shared" si="7"/>
        <v>2025</v>
      </c>
    </row>
    <row r="129" spans="1:21" x14ac:dyDescent="0.3">
      <c r="A129" t="s">
        <v>965</v>
      </c>
      <c r="B129" t="s">
        <v>4629</v>
      </c>
      <c r="C129" t="s">
        <v>4747</v>
      </c>
      <c r="D129" t="s">
        <v>4363</v>
      </c>
      <c r="E129">
        <v>29</v>
      </c>
      <c r="F129" t="s">
        <v>4748</v>
      </c>
      <c r="G129">
        <v>9802752967</v>
      </c>
      <c r="H129" t="s">
        <v>4476</v>
      </c>
      <c r="I129" t="s">
        <v>4477</v>
      </c>
      <c r="J129" t="s">
        <v>4389</v>
      </c>
      <c r="K129">
        <v>1.6</v>
      </c>
      <c r="L129">
        <v>7.1</v>
      </c>
      <c r="M129">
        <v>8.9</v>
      </c>
      <c r="N129" t="s">
        <v>4390</v>
      </c>
      <c r="O129" t="s">
        <v>4419</v>
      </c>
      <c r="P129" s="1">
        <v>45677</v>
      </c>
      <c r="Q129" t="str">
        <f t="shared" si="4"/>
        <v>10+ Years</v>
      </c>
      <c r="R129" t="str">
        <f>IF(Table7[[#This Row],[Age]]&lt;=25,"20-25",IF(Table7[[#This Row],[Age]]&lt;=30,"26-30",IF(Table7[[#This Row],[Age]]&lt;=35,"31-35","36+")))</f>
        <v>26-30</v>
      </c>
      <c r="S129" t="str">
        <f t="shared" si="5"/>
        <v>January</v>
      </c>
      <c r="T129" s="2" t="str">
        <f t="shared" si="6"/>
        <v>Q1</v>
      </c>
      <c r="U129" s="2">
        <f t="shared" si="7"/>
        <v>2025</v>
      </c>
    </row>
    <row r="130" spans="1:21" x14ac:dyDescent="0.3">
      <c r="A130" t="s">
        <v>936</v>
      </c>
      <c r="B130" t="s">
        <v>4668</v>
      </c>
      <c r="C130" t="s">
        <v>4749</v>
      </c>
      <c r="D130" t="s">
        <v>4372</v>
      </c>
      <c r="E130">
        <v>24</v>
      </c>
      <c r="F130" t="s">
        <v>4750</v>
      </c>
      <c r="G130">
        <v>9272703437</v>
      </c>
      <c r="H130" t="s">
        <v>4404</v>
      </c>
      <c r="I130" t="s">
        <v>4405</v>
      </c>
      <c r="J130" t="s">
        <v>4389</v>
      </c>
      <c r="K130">
        <v>8.6</v>
      </c>
      <c r="L130">
        <v>16.2</v>
      </c>
      <c r="M130">
        <v>23.2</v>
      </c>
      <c r="N130" t="s">
        <v>4390</v>
      </c>
      <c r="O130" t="s">
        <v>4369</v>
      </c>
      <c r="P130" s="1">
        <v>45952</v>
      </c>
      <c r="Q130" t="str">
        <f t="shared" ref="Q130:Q193" si="8">IF(P130&lt;=2,"0-2 Years",IF(P130&lt;=5,"3-5 Years",IF(P130&lt;=10,"6-10 Years","10+ Years")))</f>
        <v>10+ Years</v>
      </c>
      <c r="R130" t="str">
        <f>IF(Table7[[#This Row],[Age]]&lt;=25,"20-25",IF(Table7[[#This Row],[Age]]&lt;=30,"26-30",IF(Table7[[#This Row],[Age]]&lt;=35,"31-35","36+")))</f>
        <v>20-25</v>
      </c>
      <c r="S130" t="str">
        <f t="shared" ref="S130:S193" si="9">TEXT(P130,"mmmm")</f>
        <v>October</v>
      </c>
      <c r="T130" s="2" t="str">
        <f t="shared" ref="T130:T193" si="10">"Q"&amp;ROUNDUP(MONTH(P130)/3,0)</f>
        <v>Q4</v>
      </c>
      <c r="U130" s="2">
        <f t="shared" ref="U130:U193" si="11">YEAR(P130)</f>
        <v>2025</v>
      </c>
    </row>
    <row r="131" spans="1:21" x14ac:dyDescent="0.3">
      <c r="A131" t="s">
        <v>1389</v>
      </c>
      <c r="B131" t="s">
        <v>4725</v>
      </c>
      <c r="C131" t="s">
        <v>4751</v>
      </c>
      <c r="D131" t="s">
        <v>4372</v>
      </c>
      <c r="E131">
        <v>24</v>
      </c>
      <c r="F131" t="s">
        <v>4752</v>
      </c>
      <c r="G131">
        <v>9870190817</v>
      </c>
      <c r="H131" t="s">
        <v>4491</v>
      </c>
      <c r="I131" t="s">
        <v>4491</v>
      </c>
      <c r="J131" t="s">
        <v>4415</v>
      </c>
      <c r="K131">
        <v>1</v>
      </c>
      <c r="L131">
        <v>7.6</v>
      </c>
      <c r="M131">
        <v>10.1</v>
      </c>
      <c r="N131" t="s">
        <v>4377</v>
      </c>
      <c r="O131" t="s">
        <v>4383</v>
      </c>
      <c r="P131" s="1">
        <v>45868</v>
      </c>
      <c r="Q131" t="str">
        <f t="shared" si="8"/>
        <v>10+ Years</v>
      </c>
      <c r="R131" t="str">
        <f>IF(Table7[[#This Row],[Age]]&lt;=25,"20-25",IF(Table7[[#This Row],[Age]]&lt;=30,"26-30",IF(Table7[[#This Row],[Age]]&lt;=35,"31-35","36+")))</f>
        <v>20-25</v>
      </c>
      <c r="S131" t="str">
        <f t="shared" si="9"/>
        <v>July</v>
      </c>
      <c r="T131" s="2" t="str">
        <f t="shared" si="10"/>
        <v>Q3</v>
      </c>
      <c r="U131" s="2">
        <f t="shared" si="11"/>
        <v>2025</v>
      </c>
    </row>
    <row r="132" spans="1:21" x14ac:dyDescent="0.3">
      <c r="A132" t="s">
        <v>461</v>
      </c>
      <c r="B132" t="s">
        <v>4704</v>
      </c>
      <c r="C132" t="s">
        <v>4561</v>
      </c>
      <c r="D132" t="s">
        <v>4363</v>
      </c>
      <c r="E132">
        <v>32</v>
      </c>
      <c r="F132" t="s">
        <v>4753</v>
      </c>
      <c r="G132">
        <v>9325581790</v>
      </c>
      <c r="H132" t="s">
        <v>4395</v>
      </c>
      <c r="I132" t="s">
        <v>4396</v>
      </c>
      <c r="J132" t="s">
        <v>4367</v>
      </c>
      <c r="K132">
        <v>3.4</v>
      </c>
      <c r="L132">
        <v>14.6</v>
      </c>
      <c r="M132">
        <v>18.8</v>
      </c>
      <c r="N132" t="s">
        <v>4494</v>
      </c>
      <c r="O132" t="s">
        <v>4456</v>
      </c>
      <c r="P132" s="1">
        <v>45972</v>
      </c>
      <c r="Q132" t="str">
        <f t="shared" si="8"/>
        <v>10+ Years</v>
      </c>
      <c r="R132" t="str">
        <f>IF(Table7[[#This Row],[Age]]&lt;=25,"20-25",IF(Table7[[#This Row],[Age]]&lt;=30,"26-30",IF(Table7[[#This Row],[Age]]&lt;=35,"31-35","36+")))</f>
        <v>31-35</v>
      </c>
      <c r="S132" t="str">
        <f t="shared" si="9"/>
        <v>November</v>
      </c>
      <c r="T132" s="2" t="str">
        <f t="shared" si="10"/>
        <v>Q4</v>
      </c>
      <c r="U132" s="2">
        <f t="shared" si="11"/>
        <v>2025</v>
      </c>
    </row>
    <row r="133" spans="1:21" x14ac:dyDescent="0.3">
      <c r="A133" t="s">
        <v>3831</v>
      </c>
      <c r="B133" t="s">
        <v>4754</v>
      </c>
      <c r="C133" t="s">
        <v>4755</v>
      </c>
      <c r="D133" t="s">
        <v>4372</v>
      </c>
      <c r="E133">
        <v>21</v>
      </c>
      <c r="F133" t="s">
        <v>4756</v>
      </c>
      <c r="G133">
        <v>9371074414</v>
      </c>
      <c r="H133" t="s">
        <v>4454</v>
      </c>
      <c r="I133" t="s">
        <v>4455</v>
      </c>
      <c r="J133" t="s">
        <v>4482</v>
      </c>
      <c r="K133">
        <v>0.5</v>
      </c>
      <c r="L133">
        <v>8.1999999999999993</v>
      </c>
      <c r="M133">
        <v>9.4</v>
      </c>
      <c r="N133" t="s">
        <v>4406</v>
      </c>
      <c r="O133" t="s">
        <v>4485</v>
      </c>
      <c r="P133" s="1">
        <v>45979</v>
      </c>
      <c r="Q133" t="str">
        <f t="shared" si="8"/>
        <v>10+ Years</v>
      </c>
      <c r="R133" t="str">
        <f>IF(Table7[[#This Row],[Age]]&lt;=25,"20-25",IF(Table7[[#This Row],[Age]]&lt;=30,"26-30",IF(Table7[[#This Row],[Age]]&lt;=35,"31-35","36+")))</f>
        <v>20-25</v>
      </c>
      <c r="S133" t="str">
        <f t="shared" si="9"/>
        <v>November</v>
      </c>
      <c r="T133" s="2" t="str">
        <f t="shared" si="10"/>
        <v>Q4</v>
      </c>
      <c r="U133" s="2">
        <f t="shared" si="11"/>
        <v>2025</v>
      </c>
    </row>
    <row r="134" spans="1:21" x14ac:dyDescent="0.3">
      <c r="A134" t="s">
        <v>1698</v>
      </c>
      <c r="B134" t="s">
        <v>4687</v>
      </c>
      <c r="C134" t="s">
        <v>4757</v>
      </c>
      <c r="D134" t="s">
        <v>4363</v>
      </c>
      <c r="E134">
        <v>24</v>
      </c>
      <c r="F134" t="s">
        <v>4758</v>
      </c>
      <c r="G134">
        <v>9722958433</v>
      </c>
      <c r="H134" t="s">
        <v>4454</v>
      </c>
      <c r="I134" t="s">
        <v>4455</v>
      </c>
      <c r="J134" t="s">
        <v>4367</v>
      </c>
      <c r="K134">
        <v>5.9</v>
      </c>
      <c r="L134">
        <v>11.6</v>
      </c>
      <c r="M134">
        <v>14.2</v>
      </c>
      <c r="N134" t="s">
        <v>4390</v>
      </c>
      <c r="O134" t="s">
        <v>4419</v>
      </c>
      <c r="P134" s="1">
        <v>45770</v>
      </c>
      <c r="Q134" t="str">
        <f t="shared" si="8"/>
        <v>10+ Years</v>
      </c>
      <c r="R134" t="str">
        <f>IF(Table7[[#This Row],[Age]]&lt;=25,"20-25",IF(Table7[[#This Row],[Age]]&lt;=30,"26-30",IF(Table7[[#This Row],[Age]]&lt;=35,"31-35","36+")))</f>
        <v>20-25</v>
      </c>
      <c r="S134" t="str">
        <f t="shared" si="9"/>
        <v>April</v>
      </c>
      <c r="T134" s="2" t="str">
        <f t="shared" si="10"/>
        <v>Q2</v>
      </c>
      <c r="U134" s="2">
        <f t="shared" si="11"/>
        <v>2025</v>
      </c>
    </row>
    <row r="135" spans="1:21" x14ac:dyDescent="0.3">
      <c r="A135" t="s">
        <v>1100</v>
      </c>
      <c r="B135" t="s">
        <v>4731</v>
      </c>
      <c r="C135" t="s">
        <v>4480</v>
      </c>
      <c r="D135" t="s">
        <v>4720</v>
      </c>
      <c r="E135">
        <v>29</v>
      </c>
      <c r="F135" t="s">
        <v>4759</v>
      </c>
      <c r="G135">
        <v>9596193866</v>
      </c>
      <c r="H135" t="s">
        <v>4365</v>
      </c>
      <c r="I135" t="s">
        <v>4366</v>
      </c>
      <c r="J135" t="s">
        <v>4367</v>
      </c>
      <c r="K135">
        <v>4.8</v>
      </c>
      <c r="L135">
        <v>6.4</v>
      </c>
      <c r="M135">
        <v>9.1</v>
      </c>
      <c r="N135" t="s">
        <v>4406</v>
      </c>
      <c r="O135" t="s">
        <v>4400</v>
      </c>
      <c r="P135" s="1">
        <v>45756</v>
      </c>
      <c r="Q135" t="str">
        <f t="shared" si="8"/>
        <v>10+ Years</v>
      </c>
      <c r="R135" t="str">
        <f>IF(Table7[[#This Row],[Age]]&lt;=25,"20-25",IF(Table7[[#This Row],[Age]]&lt;=30,"26-30",IF(Table7[[#This Row],[Age]]&lt;=35,"31-35","36+")))</f>
        <v>26-30</v>
      </c>
      <c r="S135" t="str">
        <f t="shared" si="9"/>
        <v>April</v>
      </c>
      <c r="T135" s="2" t="str">
        <f t="shared" si="10"/>
        <v>Q2</v>
      </c>
      <c r="U135" s="2">
        <f t="shared" si="11"/>
        <v>2025</v>
      </c>
    </row>
    <row r="136" spans="1:21" x14ac:dyDescent="0.3">
      <c r="A136" t="s">
        <v>2612</v>
      </c>
      <c r="B136" t="s">
        <v>4760</v>
      </c>
      <c r="C136" t="s">
        <v>4761</v>
      </c>
      <c r="D136" t="s">
        <v>4372</v>
      </c>
      <c r="E136">
        <v>25</v>
      </c>
      <c r="F136" t="s">
        <v>4762</v>
      </c>
      <c r="G136">
        <v>9873850826</v>
      </c>
      <c r="H136" t="s">
        <v>4365</v>
      </c>
      <c r="I136" t="s">
        <v>4366</v>
      </c>
      <c r="J136" t="s">
        <v>4446</v>
      </c>
      <c r="K136">
        <v>0</v>
      </c>
      <c r="L136">
        <v>2.5</v>
      </c>
      <c r="M136">
        <v>2.9</v>
      </c>
      <c r="N136" t="s">
        <v>4390</v>
      </c>
      <c r="O136" t="s">
        <v>4400</v>
      </c>
      <c r="P136" s="1">
        <v>45869</v>
      </c>
      <c r="Q136" t="str">
        <f t="shared" si="8"/>
        <v>10+ Years</v>
      </c>
      <c r="R136" t="str">
        <f>IF(Table7[[#This Row],[Age]]&lt;=25,"20-25",IF(Table7[[#This Row],[Age]]&lt;=30,"26-30",IF(Table7[[#This Row],[Age]]&lt;=35,"31-35","36+")))</f>
        <v>20-25</v>
      </c>
      <c r="S136" t="str">
        <f t="shared" si="9"/>
        <v>July</v>
      </c>
      <c r="T136" s="2" t="str">
        <f t="shared" si="10"/>
        <v>Q3</v>
      </c>
      <c r="U136" s="2">
        <f t="shared" si="11"/>
        <v>2025</v>
      </c>
    </row>
    <row r="137" spans="1:21" x14ac:dyDescent="0.3">
      <c r="A137" t="s">
        <v>611</v>
      </c>
      <c r="B137" t="s">
        <v>4763</v>
      </c>
      <c r="C137" t="s">
        <v>4764</v>
      </c>
      <c r="D137" t="s">
        <v>4372</v>
      </c>
      <c r="E137">
        <v>38</v>
      </c>
      <c r="F137" t="s">
        <v>4765</v>
      </c>
      <c r="G137">
        <v>9915923454</v>
      </c>
      <c r="H137" t="s">
        <v>4374</v>
      </c>
      <c r="I137" t="s">
        <v>4375</v>
      </c>
      <c r="J137" t="s">
        <v>4376</v>
      </c>
      <c r="K137">
        <v>1.4</v>
      </c>
      <c r="L137">
        <v>2.5</v>
      </c>
      <c r="M137">
        <v>3.4</v>
      </c>
      <c r="N137" t="s">
        <v>4390</v>
      </c>
      <c r="O137" t="s">
        <v>4400</v>
      </c>
      <c r="P137" s="1">
        <v>45775</v>
      </c>
      <c r="Q137" t="str">
        <f t="shared" si="8"/>
        <v>10+ Years</v>
      </c>
      <c r="R137" t="str">
        <f>IF(Table7[[#This Row],[Age]]&lt;=25,"20-25",IF(Table7[[#This Row],[Age]]&lt;=30,"26-30",IF(Table7[[#This Row],[Age]]&lt;=35,"31-35","36+")))</f>
        <v>36+</v>
      </c>
      <c r="S137" t="str">
        <f t="shared" si="9"/>
        <v>April</v>
      </c>
      <c r="T137" s="2" t="str">
        <f t="shared" si="10"/>
        <v>Q2</v>
      </c>
      <c r="U137" s="2">
        <f t="shared" si="11"/>
        <v>2025</v>
      </c>
    </row>
    <row r="138" spans="1:21" x14ac:dyDescent="0.3">
      <c r="A138" t="s">
        <v>2988</v>
      </c>
      <c r="B138" t="s">
        <v>4766</v>
      </c>
      <c r="C138" t="s">
        <v>4767</v>
      </c>
      <c r="D138" t="s">
        <v>4372</v>
      </c>
      <c r="E138">
        <v>35</v>
      </c>
      <c r="F138" t="s">
        <v>4768</v>
      </c>
      <c r="G138">
        <v>9838145425</v>
      </c>
      <c r="H138" t="s">
        <v>4454</v>
      </c>
      <c r="I138" t="s">
        <v>4455</v>
      </c>
      <c r="J138" t="s">
        <v>4608</v>
      </c>
      <c r="K138">
        <v>2.2000000000000002</v>
      </c>
      <c r="L138">
        <v>14.3</v>
      </c>
      <c r="M138">
        <v>19.2</v>
      </c>
      <c r="N138" t="s">
        <v>4390</v>
      </c>
      <c r="O138" t="s">
        <v>4400</v>
      </c>
      <c r="P138" s="1">
        <v>45801</v>
      </c>
      <c r="Q138" t="str">
        <f t="shared" si="8"/>
        <v>10+ Years</v>
      </c>
      <c r="R138" t="str">
        <f>IF(Table7[[#This Row],[Age]]&lt;=25,"20-25",IF(Table7[[#This Row],[Age]]&lt;=30,"26-30",IF(Table7[[#This Row],[Age]]&lt;=35,"31-35","36+")))</f>
        <v>31-35</v>
      </c>
      <c r="S138" t="str">
        <f t="shared" si="9"/>
        <v>May</v>
      </c>
      <c r="T138" s="2" t="str">
        <f t="shared" si="10"/>
        <v>Q2</v>
      </c>
      <c r="U138" s="2">
        <f t="shared" si="11"/>
        <v>2025</v>
      </c>
    </row>
    <row r="139" spans="1:21" x14ac:dyDescent="0.3">
      <c r="A139" t="s">
        <v>2479</v>
      </c>
      <c r="B139" t="s">
        <v>4677</v>
      </c>
      <c r="C139" t="s">
        <v>4769</v>
      </c>
      <c r="D139" t="s">
        <v>4372</v>
      </c>
      <c r="E139">
        <v>21</v>
      </c>
      <c r="F139" t="s">
        <v>4770</v>
      </c>
      <c r="G139">
        <v>9424077050</v>
      </c>
      <c r="H139" t="s">
        <v>4476</v>
      </c>
      <c r="I139" t="s">
        <v>4477</v>
      </c>
      <c r="J139" t="s">
        <v>4415</v>
      </c>
      <c r="K139">
        <v>2.8</v>
      </c>
      <c r="L139">
        <v>13.1</v>
      </c>
      <c r="M139">
        <v>16.5</v>
      </c>
      <c r="N139" t="s">
        <v>4390</v>
      </c>
      <c r="O139" t="s">
        <v>4456</v>
      </c>
      <c r="P139" s="1">
        <v>45843</v>
      </c>
      <c r="Q139" t="str">
        <f t="shared" si="8"/>
        <v>10+ Years</v>
      </c>
      <c r="R139" t="str">
        <f>IF(Table7[[#This Row],[Age]]&lt;=25,"20-25",IF(Table7[[#This Row],[Age]]&lt;=30,"26-30",IF(Table7[[#This Row],[Age]]&lt;=35,"31-35","36+")))</f>
        <v>20-25</v>
      </c>
      <c r="S139" t="str">
        <f t="shared" si="9"/>
        <v>July</v>
      </c>
      <c r="T139" s="2" t="str">
        <f t="shared" si="10"/>
        <v>Q3</v>
      </c>
      <c r="U139" s="2">
        <f t="shared" si="11"/>
        <v>2025</v>
      </c>
    </row>
    <row r="140" spans="1:21" x14ac:dyDescent="0.3">
      <c r="A140" t="s">
        <v>1271</v>
      </c>
      <c r="B140" t="s">
        <v>4771</v>
      </c>
      <c r="C140" t="s">
        <v>4772</v>
      </c>
      <c r="D140" t="s">
        <v>4372</v>
      </c>
      <c r="E140">
        <v>29</v>
      </c>
      <c r="F140" t="s">
        <v>4773</v>
      </c>
      <c r="G140">
        <v>9513509462</v>
      </c>
      <c r="H140" t="s">
        <v>4410</v>
      </c>
      <c r="I140" t="s">
        <v>4411</v>
      </c>
      <c r="J140" t="s">
        <v>4367</v>
      </c>
      <c r="K140">
        <v>0.5</v>
      </c>
      <c r="L140">
        <v>3.8</v>
      </c>
      <c r="M140">
        <v>5</v>
      </c>
      <c r="N140" t="s">
        <v>4368</v>
      </c>
      <c r="O140" t="s">
        <v>4485</v>
      </c>
      <c r="P140" s="1">
        <v>45929</v>
      </c>
      <c r="Q140" t="str">
        <f t="shared" si="8"/>
        <v>10+ Years</v>
      </c>
      <c r="R140" t="str">
        <f>IF(Table7[[#This Row],[Age]]&lt;=25,"20-25",IF(Table7[[#This Row],[Age]]&lt;=30,"26-30",IF(Table7[[#This Row],[Age]]&lt;=35,"31-35","36+")))</f>
        <v>26-30</v>
      </c>
      <c r="S140" t="str">
        <f t="shared" si="9"/>
        <v>September</v>
      </c>
      <c r="T140" s="2" t="str">
        <f t="shared" si="10"/>
        <v>Q3</v>
      </c>
      <c r="U140" s="2">
        <f t="shared" si="11"/>
        <v>2025</v>
      </c>
    </row>
    <row r="141" spans="1:21" x14ac:dyDescent="0.3">
      <c r="A141" t="s">
        <v>1242</v>
      </c>
      <c r="B141" t="s">
        <v>4774</v>
      </c>
      <c r="C141" t="s">
        <v>4775</v>
      </c>
      <c r="D141" t="s">
        <v>4363</v>
      </c>
      <c r="E141">
        <v>21</v>
      </c>
      <c r="F141" t="s">
        <v>4776</v>
      </c>
      <c r="G141">
        <v>9725406665</v>
      </c>
      <c r="H141" t="s">
        <v>4410</v>
      </c>
      <c r="I141" t="s">
        <v>4411</v>
      </c>
      <c r="J141" t="s">
        <v>4376</v>
      </c>
      <c r="K141">
        <v>2</v>
      </c>
      <c r="L141">
        <v>8.6999999999999993</v>
      </c>
      <c r="M141">
        <v>10.3</v>
      </c>
      <c r="N141" t="s">
        <v>4406</v>
      </c>
      <c r="O141" t="s">
        <v>4391</v>
      </c>
      <c r="P141" s="1">
        <v>45969</v>
      </c>
      <c r="Q141" t="str">
        <f t="shared" si="8"/>
        <v>10+ Years</v>
      </c>
      <c r="R141" t="str">
        <f>IF(Table7[[#This Row],[Age]]&lt;=25,"20-25",IF(Table7[[#This Row],[Age]]&lt;=30,"26-30",IF(Table7[[#This Row],[Age]]&lt;=35,"31-35","36+")))</f>
        <v>20-25</v>
      </c>
      <c r="S141" t="str">
        <f t="shared" si="9"/>
        <v>November</v>
      </c>
      <c r="T141" s="2" t="str">
        <f t="shared" si="10"/>
        <v>Q4</v>
      </c>
      <c r="U141" s="2">
        <f t="shared" si="11"/>
        <v>2025</v>
      </c>
    </row>
    <row r="142" spans="1:21" x14ac:dyDescent="0.3">
      <c r="A142" t="s">
        <v>132</v>
      </c>
      <c r="B142" t="s">
        <v>4534</v>
      </c>
      <c r="C142" t="s">
        <v>4434</v>
      </c>
      <c r="D142" t="s">
        <v>4372</v>
      </c>
      <c r="E142">
        <v>29</v>
      </c>
      <c r="F142" t="s">
        <v>4777</v>
      </c>
      <c r="G142">
        <v>9350870590</v>
      </c>
      <c r="H142" t="s">
        <v>4395</v>
      </c>
      <c r="I142" t="s">
        <v>4396</v>
      </c>
      <c r="J142" t="s">
        <v>4389</v>
      </c>
      <c r="K142">
        <v>2.2999999999999998</v>
      </c>
      <c r="L142">
        <v>12.2</v>
      </c>
      <c r="M142">
        <v>15.1</v>
      </c>
      <c r="O142" t="s">
        <v>4485</v>
      </c>
      <c r="P142" s="1">
        <v>45931</v>
      </c>
      <c r="Q142" t="str">
        <f t="shared" si="8"/>
        <v>10+ Years</v>
      </c>
      <c r="R142" t="str">
        <f>IF(Table7[[#This Row],[Age]]&lt;=25,"20-25",IF(Table7[[#This Row],[Age]]&lt;=30,"26-30",IF(Table7[[#This Row],[Age]]&lt;=35,"31-35","36+")))</f>
        <v>26-30</v>
      </c>
      <c r="S142" t="str">
        <f t="shared" si="9"/>
        <v>October</v>
      </c>
      <c r="T142" s="2" t="str">
        <f t="shared" si="10"/>
        <v>Q4</v>
      </c>
      <c r="U142" s="2">
        <f t="shared" si="11"/>
        <v>2025</v>
      </c>
    </row>
    <row r="143" spans="1:21" x14ac:dyDescent="0.3">
      <c r="A143" t="s">
        <v>872</v>
      </c>
      <c r="B143" t="s">
        <v>4778</v>
      </c>
      <c r="C143" t="s">
        <v>4779</v>
      </c>
      <c r="D143" t="s">
        <v>4372</v>
      </c>
      <c r="E143">
        <v>28</v>
      </c>
      <c r="F143" t="s">
        <v>4780</v>
      </c>
      <c r="G143">
        <v>9753229242</v>
      </c>
      <c r="H143" t="s">
        <v>4473</v>
      </c>
      <c r="I143" t="s">
        <v>4473</v>
      </c>
      <c r="J143" t="s">
        <v>4367</v>
      </c>
      <c r="K143">
        <v>5.0999999999999996</v>
      </c>
      <c r="L143">
        <v>13.9</v>
      </c>
      <c r="M143">
        <v>19.7</v>
      </c>
      <c r="N143" t="s">
        <v>4390</v>
      </c>
      <c r="O143" t="s">
        <v>4383</v>
      </c>
      <c r="P143" s="1">
        <v>45810</v>
      </c>
      <c r="Q143" t="str">
        <f t="shared" si="8"/>
        <v>10+ Years</v>
      </c>
      <c r="R143" t="str">
        <f>IF(Table7[[#This Row],[Age]]&lt;=25,"20-25",IF(Table7[[#This Row],[Age]]&lt;=30,"26-30",IF(Table7[[#This Row],[Age]]&lt;=35,"31-35","36+")))</f>
        <v>26-30</v>
      </c>
      <c r="S143" t="str">
        <f t="shared" si="9"/>
        <v>June</v>
      </c>
      <c r="T143" s="2" t="str">
        <f t="shared" si="10"/>
        <v>Q2</v>
      </c>
      <c r="U143" s="2">
        <f t="shared" si="11"/>
        <v>2025</v>
      </c>
    </row>
    <row r="144" spans="1:21" x14ac:dyDescent="0.3">
      <c r="A144" t="s">
        <v>1438</v>
      </c>
      <c r="B144" t="s">
        <v>4384</v>
      </c>
      <c r="C144" t="s">
        <v>4781</v>
      </c>
      <c r="D144" t="s">
        <v>4372</v>
      </c>
      <c r="E144">
        <v>28</v>
      </c>
      <c r="F144" t="s">
        <v>4782</v>
      </c>
      <c r="G144">
        <v>9328815215</v>
      </c>
      <c r="H144" t="s">
        <v>4374</v>
      </c>
      <c r="I144" t="s">
        <v>4375</v>
      </c>
      <c r="J144" t="s">
        <v>4367</v>
      </c>
      <c r="K144">
        <v>1.1000000000000001</v>
      </c>
      <c r="L144">
        <v>7.7</v>
      </c>
      <c r="M144">
        <v>10.8</v>
      </c>
      <c r="N144" t="s">
        <v>4390</v>
      </c>
      <c r="O144" t="s">
        <v>4369</v>
      </c>
      <c r="P144" s="1">
        <v>45718</v>
      </c>
      <c r="Q144" t="str">
        <f t="shared" si="8"/>
        <v>10+ Years</v>
      </c>
      <c r="R144" t="str">
        <f>IF(Table7[[#This Row],[Age]]&lt;=25,"20-25",IF(Table7[[#This Row],[Age]]&lt;=30,"26-30",IF(Table7[[#This Row],[Age]]&lt;=35,"31-35","36+")))</f>
        <v>26-30</v>
      </c>
      <c r="S144" t="str">
        <f t="shared" si="9"/>
        <v>March</v>
      </c>
      <c r="T144" s="2" t="str">
        <f t="shared" si="10"/>
        <v>Q1</v>
      </c>
      <c r="U144" s="2">
        <f t="shared" si="11"/>
        <v>2025</v>
      </c>
    </row>
    <row r="145" spans="1:21" x14ac:dyDescent="0.3">
      <c r="A145" t="s">
        <v>2985</v>
      </c>
      <c r="B145" t="s">
        <v>4679</v>
      </c>
      <c r="C145" t="s">
        <v>4769</v>
      </c>
      <c r="D145" t="s">
        <v>4372</v>
      </c>
      <c r="E145">
        <v>30</v>
      </c>
      <c r="F145" t="s">
        <v>4783</v>
      </c>
      <c r="G145">
        <v>9988042342</v>
      </c>
      <c r="H145" t="s">
        <v>4395</v>
      </c>
      <c r="I145" t="s">
        <v>4396</v>
      </c>
      <c r="J145" t="s">
        <v>4415</v>
      </c>
      <c r="K145">
        <v>4.4000000000000004</v>
      </c>
      <c r="M145">
        <v>14.3</v>
      </c>
      <c r="N145" t="s">
        <v>4390</v>
      </c>
      <c r="O145" t="s">
        <v>4485</v>
      </c>
      <c r="P145" s="1">
        <v>46016</v>
      </c>
      <c r="Q145" t="str">
        <f t="shared" si="8"/>
        <v>10+ Years</v>
      </c>
      <c r="R145" t="str">
        <f>IF(Table7[[#This Row],[Age]]&lt;=25,"20-25",IF(Table7[[#This Row],[Age]]&lt;=30,"26-30",IF(Table7[[#This Row],[Age]]&lt;=35,"31-35","36+")))</f>
        <v>26-30</v>
      </c>
      <c r="S145" t="str">
        <f t="shared" si="9"/>
        <v>December</v>
      </c>
      <c r="T145" s="2" t="str">
        <f t="shared" si="10"/>
        <v>Q4</v>
      </c>
      <c r="U145" s="2">
        <f t="shared" si="11"/>
        <v>2025</v>
      </c>
    </row>
    <row r="146" spans="1:21" x14ac:dyDescent="0.3">
      <c r="A146" t="s">
        <v>1969</v>
      </c>
      <c r="B146" t="s">
        <v>4784</v>
      </c>
      <c r="C146" t="s">
        <v>4785</v>
      </c>
      <c r="D146" t="s">
        <v>4372</v>
      </c>
      <c r="E146">
        <v>36</v>
      </c>
      <c r="F146" t="s">
        <v>4786</v>
      </c>
      <c r="G146">
        <v>9276755499</v>
      </c>
      <c r="H146" t="s">
        <v>4374</v>
      </c>
      <c r="I146" t="s">
        <v>4375</v>
      </c>
      <c r="J146" t="s">
        <v>4376</v>
      </c>
      <c r="K146">
        <v>1.1000000000000001</v>
      </c>
      <c r="L146">
        <v>9.4</v>
      </c>
      <c r="M146">
        <v>12.8</v>
      </c>
      <c r="N146" t="s">
        <v>4368</v>
      </c>
      <c r="O146" t="s">
        <v>4391</v>
      </c>
      <c r="P146" s="1">
        <v>46014</v>
      </c>
      <c r="Q146" t="str">
        <f t="shared" si="8"/>
        <v>10+ Years</v>
      </c>
      <c r="R146" t="str">
        <f>IF(Table7[[#This Row],[Age]]&lt;=25,"20-25",IF(Table7[[#This Row],[Age]]&lt;=30,"26-30",IF(Table7[[#This Row],[Age]]&lt;=35,"31-35","36+")))</f>
        <v>36+</v>
      </c>
      <c r="S146" t="str">
        <f t="shared" si="9"/>
        <v>December</v>
      </c>
      <c r="T146" s="2" t="str">
        <f t="shared" si="10"/>
        <v>Q4</v>
      </c>
      <c r="U146" s="2">
        <f t="shared" si="11"/>
        <v>2025</v>
      </c>
    </row>
    <row r="147" spans="1:21" x14ac:dyDescent="0.3">
      <c r="A147" t="s">
        <v>1443</v>
      </c>
      <c r="B147" t="s">
        <v>4787</v>
      </c>
      <c r="C147" t="s">
        <v>4747</v>
      </c>
      <c r="D147" t="s">
        <v>4363</v>
      </c>
      <c r="E147">
        <v>29</v>
      </c>
      <c r="F147" t="s">
        <v>4788</v>
      </c>
      <c r="G147">
        <v>9418705292</v>
      </c>
      <c r="H147" t="s">
        <v>4506</v>
      </c>
      <c r="I147" t="s">
        <v>4507</v>
      </c>
      <c r="J147" t="s">
        <v>4415</v>
      </c>
      <c r="K147">
        <v>5.3</v>
      </c>
      <c r="L147">
        <v>11.6</v>
      </c>
      <c r="M147">
        <v>14.6</v>
      </c>
      <c r="N147" t="s">
        <v>4494</v>
      </c>
      <c r="O147" t="s">
        <v>4456</v>
      </c>
      <c r="P147" s="1">
        <v>45750</v>
      </c>
      <c r="Q147" t="str">
        <f t="shared" si="8"/>
        <v>10+ Years</v>
      </c>
      <c r="R147" t="str">
        <f>IF(Table7[[#This Row],[Age]]&lt;=25,"20-25",IF(Table7[[#This Row],[Age]]&lt;=30,"26-30",IF(Table7[[#This Row],[Age]]&lt;=35,"31-35","36+")))</f>
        <v>26-30</v>
      </c>
      <c r="S147" t="str">
        <f t="shared" si="9"/>
        <v>April</v>
      </c>
      <c r="T147" s="2" t="str">
        <f t="shared" si="10"/>
        <v>Q2</v>
      </c>
      <c r="U147" s="2">
        <f t="shared" si="11"/>
        <v>2025</v>
      </c>
    </row>
    <row r="148" spans="1:21" x14ac:dyDescent="0.3">
      <c r="A148" t="s">
        <v>1360</v>
      </c>
      <c r="B148" t="s">
        <v>4407</v>
      </c>
      <c r="C148" t="s">
        <v>4561</v>
      </c>
      <c r="D148" t="s">
        <v>4363</v>
      </c>
      <c r="E148">
        <v>25</v>
      </c>
      <c r="F148" t="s">
        <v>4789</v>
      </c>
      <c r="G148">
        <v>9794197228</v>
      </c>
      <c r="H148" t="s">
        <v>4410</v>
      </c>
      <c r="I148" t="s">
        <v>4411</v>
      </c>
      <c r="J148" t="s">
        <v>4367</v>
      </c>
      <c r="K148">
        <v>0.5</v>
      </c>
      <c r="L148">
        <v>9.4</v>
      </c>
      <c r="M148">
        <v>10.7</v>
      </c>
      <c r="N148" t="s">
        <v>4390</v>
      </c>
      <c r="O148" t="s">
        <v>4419</v>
      </c>
      <c r="P148" s="1">
        <v>45706</v>
      </c>
      <c r="Q148" t="str">
        <f t="shared" si="8"/>
        <v>10+ Years</v>
      </c>
      <c r="R148" t="str">
        <f>IF(Table7[[#This Row],[Age]]&lt;=25,"20-25",IF(Table7[[#This Row],[Age]]&lt;=30,"26-30",IF(Table7[[#This Row],[Age]]&lt;=35,"31-35","36+")))</f>
        <v>20-25</v>
      </c>
      <c r="S148" t="str">
        <f t="shared" si="9"/>
        <v>February</v>
      </c>
      <c r="T148" s="2" t="str">
        <f t="shared" si="10"/>
        <v>Q1</v>
      </c>
      <c r="U148" s="2">
        <f t="shared" si="11"/>
        <v>2025</v>
      </c>
    </row>
    <row r="149" spans="1:21" x14ac:dyDescent="0.3">
      <c r="A149" t="s">
        <v>1729</v>
      </c>
      <c r="B149" t="s">
        <v>4467</v>
      </c>
      <c r="C149" t="s">
        <v>4535</v>
      </c>
      <c r="D149" t="s">
        <v>4372</v>
      </c>
      <c r="E149">
        <v>35</v>
      </c>
      <c r="F149" t="s">
        <v>4790</v>
      </c>
      <c r="G149">
        <v>9913006991</v>
      </c>
      <c r="H149" t="s">
        <v>4387</v>
      </c>
      <c r="I149" t="s">
        <v>4388</v>
      </c>
      <c r="J149" t="s">
        <v>4367</v>
      </c>
      <c r="K149">
        <v>5.5</v>
      </c>
      <c r="L149">
        <v>12.8</v>
      </c>
      <c r="M149">
        <v>15.2</v>
      </c>
      <c r="N149" t="s">
        <v>4390</v>
      </c>
      <c r="O149" t="s">
        <v>4369</v>
      </c>
      <c r="P149" s="1">
        <v>45706</v>
      </c>
      <c r="Q149" t="str">
        <f t="shared" si="8"/>
        <v>10+ Years</v>
      </c>
      <c r="R149" t="str">
        <f>IF(Table7[[#This Row],[Age]]&lt;=25,"20-25",IF(Table7[[#This Row],[Age]]&lt;=30,"26-30",IF(Table7[[#This Row],[Age]]&lt;=35,"31-35","36+")))</f>
        <v>31-35</v>
      </c>
      <c r="S149" t="str">
        <f t="shared" si="9"/>
        <v>February</v>
      </c>
      <c r="T149" s="2" t="str">
        <f t="shared" si="10"/>
        <v>Q1</v>
      </c>
      <c r="U149" s="2">
        <f t="shared" si="11"/>
        <v>2025</v>
      </c>
    </row>
    <row r="150" spans="1:21" x14ac:dyDescent="0.3">
      <c r="A150" t="s">
        <v>2515</v>
      </c>
      <c r="B150" t="s">
        <v>4668</v>
      </c>
      <c r="C150" t="s">
        <v>4767</v>
      </c>
      <c r="D150" t="s">
        <v>4363</v>
      </c>
      <c r="E150">
        <v>26</v>
      </c>
      <c r="F150" t="s">
        <v>4791</v>
      </c>
      <c r="G150">
        <v>9466480328</v>
      </c>
      <c r="H150" t="s">
        <v>4491</v>
      </c>
      <c r="I150" t="s">
        <v>4491</v>
      </c>
      <c r="K150">
        <v>0.7</v>
      </c>
      <c r="L150">
        <v>7.3</v>
      </c>
      <c r="M150">
        <v>9.5</v>
      </c>
      <c r="N150" t="s">
        <v>4377</v>
      </c>
      <c r="O150" t="s">
        <v>4391</v>
      </c>
      <c r="P150" s="1">
        <v>45833</v>
      </c>
      <c r="Q150" t="str">
        <f t="shared" si="8"/>
        <v>10+ Years</v>
      </c>
      <c r="R150" t="str">
        <f>IF(Table7[[#This Row],[Age]]&lt;=25,"20-25",IF(Table7[[#This Row],[Age]]&lt;=30,"26-30",IF(Table7[[#This Row],[Age]]&lt;=35,"31-35","36+")))</f>
        <v>26-30</v>
      </c>
      <c r="S150" t="str">
        <f t="shared" si="9"/>
        <v>June</v>
      </c>
      <c r="T150" s="2" t="str">
        <f t="shared" si="10"/>
        <v>Q2</v>
      </c>
      <c r="U150" s="2">
        <f t="shared" si="11"/>
        <v>2025</v>
      </c>
    </row>
    <row r="151" spans="1:21" x14ac:dyDescent="0.3">
      <c r="A151" t="s">
        <v>4792</v>
      </c>
      <c r="B151" t="s">
        <v>4793</v>
      </c>
      <c r="C151" t="s">
        <v>4794</v>
      </c>
      <c r="D151" t="s">
        <v>4372</v>
      </c>
      <c r="E151">
        <v>23</v>
      </c>
      <c r="F151" t="s">
        <v>4795</v>
      </c>
      <c r="G151">
        <v>9156607974</v>
      </c>
      <c r="H151" t="s">
        <v>4506</v>
      </c>
      <c r="I151" t="s">
        <v>4507</v>
      </c>
      <c r="J151" t="s">
        <v>4432</v>
      </c>
      <c r="K151">
        <v>12.4</v>
      </c>
      <c r="L151">
        <v>24.8</v>
      </c>
      <c r="M151">
        <v>30.7</v>
      </c>
      <c r="N151" t="s">
        <v>4390</v>
      </c>
      <c r="O151" t="s">
        <v>4391</v>
      </c>
      <c r="P151" s="1">
        <v>45797</v>
      </c>
      <c r="Q151" t="str">
        <f t="shared" si="8"/>
        <v>10+ Years</v>
      </c>
      <c r="R151" t="str">
        <f>IF(Table7[[#This Row],[Age]]&lt;=25,"20-25",IF(Table7[[#This Row],[Age]]&lt;=30,"26-30",IF(Table7[[#This Row],[Age]]&lt;=35,"31-35","36+")))</f>
        <v>20-25</v>
      </c>
      <c r="S151" t="str">
        <f t="shared" si="9"/>
        <v>May</v>
      </c>
      <c r="T151" s="2" t="str">
        <f t="shared" si="10"/>
        <v>Q2</v>
      </c>
      <c r="U151" s="2">
        <f t="shared" si="11"/>
        <v>2025</v>
      </c>
    </row>
    <row r="152" spans="1:21" x14ac:dyDescent="0.3">
      <c r="A152" t="s">
        <v>825</v>
      </c>
      <c r="B152" t="s">
        <v>4796</v>
      </c>
      <c r="C152" t="s">
        <v>4797</v>
      </c>
      <c r="D152" t="s">
        <v>4363</v>
      </c>
      <c r="E152">
        <v>24</v>
      </c>
      <c r="F152" t="s">
        <v>4798</v>
      </c>
      <c r="G152">
        <v>9318540283</v>
      </c>
      <c r="H152" t="s">
        <v>4395</v>
      </c>
      <c r="I152" t="s">
        <v>4396</v>
      </c>
      <c r="J152" t="s">
        <v>4415</v>
      </c>
      <c r="K152">
        <v>1.4</v>
      </c>
      <c r="L152">
        <v>9.6999999999999993</v>
      </c>
      <c r="M152">
        <v>11.2</v>
      </c>
      <c r="N152" t="s">
        <v>4368</v>
      </c>
      <c r="O152" t="s">
        <v>4456</v>
      </c>
      <c r="P152" s="1">
        <v>45723</v>
      </c>
      <c r="Q152" t="str">
        <f t="shared" si="8"/>
        <v>10+ Years</v>
      </c>
      <c r="R152" t="str">
        <f>IF(Table7[[#This Row],[Age]]&lt;=25,"20-25",IF(Table7[[#This Row],[Age]]&lt;=30,"26-30",IF(Table7[[#This Row],[Age]]&lt;=35,"31-35","36+")))</f>
        <v>20-25</v>
      </c>
      <c r="S152" t="str">
        <f t="shared" si="9"/>
        <v>March</v>
      </c>
      <c r="T152" s="2" t="str">
        <f t="shared" si="10"/>
        <v>Q1</v>
      </c>
      <c r="U152" s="2">
        <f t="shared" si="11"/>
        <v>2025</v>
      </c>
    </row>
    <row r="153" spans="1:21" x14ac:dyDescent="0.3">
      <c r="A153" t="s">
        <v>2179</v>
      </c>
      <c r="B153" t="s">
        <v>4799</v>
      </c>
      <c r="C153" t="s">
        <v>4538</v>
      </c>
      <c r="D153" t="s">
        <v>4363</v>
      </c>
      <c r="E153">
        <v>28</v>
      </c>
      <c r="F153" t="s">
        <v>4800</v>
      </c>
      <c r="G153">
        <v>9194034249</v>
      </c>
      <c r="H153" t="s">
        <v>4473</v>
      </c>
      <c r="I153" t="s">
        <v>4473</v>
      </c>
      <c r="J153" t="s">
        <v>4608</v>
      </c>
      <c r="K153">
        <v>0.3</v>
      </c>
      <c r="L153">
        <v>5.4</v>
      </c>
      <c r="M153">
        <v>6.8</v>
      </c>
      <c r="N153" t="s">
        <v>4390</v>
      </c>
      <c r="O153" t="s">
        <v>4391</v>
      </c>
      <c r="P153" s="1">
        <v>45951</v>
      </c>
      <c r="Q153" t="str">
        <f t="shared" si="8"/>
        <v>10+ Years</v>
      </c>
      <c r="R153" t="str">
        <f>IF(Table7[[#This Row],[Age]]&lt;=25,"20-25",IF(Table7[[#This Row],[Age]]&lt;=30,"26-30",IF(Table7[[#This Row],[Age]]&lt;=35,"31-35","36+")))</f>
        <v>26-30</v>
      </c>
      <c r="S153" t="str">
        <f t="shared" si="9"/>
        <v>October</v>
      </c>
      <c r="T153" s="2" t="str">
        <f t="shared" si="10"/>
        <v>Q4</v>
      </c>
      <c r="U153" s="2">
        <f t="shared" si="11"/>
        <v>2025</v>
      </c>
    </row>
    <row r="154" spans="1:21" x14ac:dyDescent="0.3">
      <c r="A154" t="s">
        <v>2588</v>
      </c>
      <c r="B154" t="s">
        <v>4787</v>
      </c>
      <c r="C154" t="s">
        <v>4801</v>
      </c>
      <c r="D154" t="s">
        <v>4372</v>
      </c>
      <c r="E154">
        <v>28</v>
      </c>
      <c r="F154" t="s">
        <v>4802</v>
      </c>
      <c r="G154">
        <v>9216501538</v>
      </c>
      <c r="H154" t="s">
        <v>4410</v>
      </c>
      <c r="I154" t="s">
        <v>4411</v>
      </c>
      <c r="J154" t="s">
        <v>4367</v>
      </c>
      <c r="K154">
        <v>2.7</v>
      </c>
      <c r="L154">
        <v>11.7</v>
      </c>
      <c r="M154">
        <v>16.3</v>
      </c>
      <c r="N154" t="s">
        <v>4390</v>
      </c>
      <c r="O154" t="s">
        <v>4400</v>
      </c>
      <c r="P154" s="1">
        <v>45688</v>
      </c>
      <c r="Q154" t="str">
        <f t="shared" si="8"/>
        <v>10+ Years</v>
      </c>
      <c r="R154" t="str">
        <f>IF(Table7[[#This Row],[Age]]&lt;=25,"20-25",IF(Table7[[#This Row],[Age]]&lt;=30,"26-30",IF(Table7[[#This Row],[Age]]&lt;=35,"31-35","36+")))</f>
        <v>26-30</v>
      </c>
      <c r="S154" t="str">
        <f t="shared" si="9"/>
        <v>January</v>
      </c>
      <c r="T154" s="2" t="str">
        <f t="shared" si="10"/>
        <v>Q1</v>
      </c>
      <c r="U154" s="2">
        <f t="shared" si="11"/>
        <v>2025</v>
      </c>
    </row>
    <row r="155" spans="1:21" x14ac:dyDescent="0.3">
      <c r="A155" t="s">
        <v>3337</v>
      </c>
      <c r="B155" t="s">
        <v>4803</v>
      </c>
      <c r="C155" t="s">
        <v>4804</v>
      </c>
      <c r="D155" t="s">
        <v>4363</v>
      </c>
      <c r="E155">
        <v>32</v>
      </c>
      <c r="F155" t="s">
        <v>4805</v>
      </c>
      <c r="G155">
        <v>9756850935</v>
      </c>
      <c r="H155" t="s">
        <v>4381</v>
      </c>
      <c r="I155" t="s">
        <v>4382</v>
      </c>
      <c r="J155" t="s">
        <v>4376</v>
      </c>
      <c r="K155">
        <v>1.5</v>
      </c>
      <c r="L155">
        <v>10.199999999999999</v>
      </c>
      <c r="M155">
        <v>13.5</v>
      </c>
      <c r="N155" t="s">
        <v>4390</v>
      </c>
      <c r="O155" t="s">
        <v>4383</v>
      </c>
      <c r="P155" s="1">
        <v>46006</v>
      </c>
      <c r="Q155" t="str">
        <f t="shared" si="8"/>
        <v>10+ Years</v>
      </c>
      <c r="R155" t="str">
        <f>IF(Table7[[#This Row],[Age]]&lt;=25,"20-25",IF(Table7[[#This Row],[Age]]&lt;=30,"26-30",IF(Table7[[#This Row],[Age]]&lt;=35,"31-35","36+")))</f>
        <v>31-35</v>
      </c>
      <c r="S155" t="str">
        <f t="shared" si="9"/>
        <v>December</v>
      </c>
      <c r="T155" s="2" t="str">
        <f t="shared" si="10"/>
        <v>Q4</v>
      </c>
      <c r="U155" s="2">
        <f t="shared" si="11"/>
        <v>2025</v>
      </c>
    </row>
    <row r="156" spans="1:21" x14ac:dyDescent="0.3">
      <c r="A156" t="s">
        <v>1276</v>
      </c>
      <c r="B156" t="s">
        <v>4806</v>
      </c>
      <c r="C156" t="s">
        <v>4807</v>
      </c>
      <c r="D156" t="s">
        <v>4372</v>
      </c>
      <c r="E156">
        <v>31</v>
      </c>
      <c r="F156" t="s">
        <v>4808</v>
      </c>
      <c r="G156">
        <v>9816188128</v>
      </c>
      <c r="H156" t="s">
        <v>4395</v>
      </c>
      <c r="I156" t="s">
        <v>4396</v>
      </c>
      <c r="J156" t="s">
        <v>4415</v>
      </c>
      <c r="K156">
        <v>8.6999999999999993</v>
      </c>
      <c r="L156">
        <v>18.7</v>
      </c>
      <c r="M156">
        <v>25.7</v>
      </c>
      <c r="N156" t="s">
        <v>4406</v>
      </c>
      <c r="O156" t="s">
        <v>4369</v>
      </c>
      <c r="P156" s="1">
        <v>45676</v>
      </c>
      <c r="Q156" t="str">
        <f t="shared" si="8"/>
        <v>10+ Years</v>
      </c>
      <c r="R156" t="str">
        <f>IF(Table7[[#This Row],[Age]]&lt;=25,"20-25",IF(Table7[[#This Row],[Age]]&lt;=30,"26-30",IF(Table7[[#This Row],[Age]]&lt;=35,"31-35","36+")))</f>
        <v>31-35</v>
      </c>
      <c r="S156" t="str">
        <f t="shared" si="9"/>
        <v>January</v>
      </c>
      <c r="T156" s="2" t="str">
        <f t="shared" si="10"/>
        <v>Q1</v>
      </c>
      <c r="U156" s="2">
        <f t="shared" si="11"/>
        <v>2025</v>
      </c>
    </row>
    <row r="157" spans="1:21" x14ac:dyDescent="0.3">
      <c r="A157" t="s">
        <v>2526</v>
      </c>
      <c r="B157" t="s">
        <v>4457</v>
      </c>
      <c r="C157" t="s">
        <v>4504</v>
      </c>
      <c r="D157" t="s">
        <v>4372</v>
      </c>
      <c r="E157">
        <v>25</v>
      </c>
      <c r="F157" t="s">
        <v>4809</v>
      </c>
      <c r="G157">
        <v>9804071242</v>
      </c>
      <c r="H157" t="s">
        <v>4410</v>
      </c>
      <c r="I157" t="s">
        <v>4411</v>
      </c>
      <c r="J157" t="s">
        <v>4482</v>
      </c>
      <c r="K157">
        <v>1.4</v>
      </c>
      <c r="L157">
        <v>6.7</v>
      </c>
      <c r="M157">
        <v>9.3000000000000007</v>
      </c>
      <c r="N157" t="s">
        <v>4377</v>
      </c>
      <c r="O157" t="s">
        <v>4383</v>
      </c>
      <c r="P157" s="1">
        <v>45790</v>
      </c>
      <c r="Q157" t="str">
        <f t="shared" si="8"/>
        <v>10+ Years</v>
      </c>
      <c r="R157" t="str">
        <f>IF(Table7[[#This Row],[Age]]&lt;=25,"20-25",IF(Table7[[#This Row],[Age]]&lt;=30,"26-30",IF(Table7[[#This Row],[Age]]&lt;=35,"31-35","36+")))</f>
        <v>20-25</v>
      </c>
      <c r="S157" t="str">
        <f t="shared" si="9"/>
        <v>May</v>
      </c>
      <c r="T157" s="2" t="str">
        <f t="shared" si="10"/>
        <v>Q2</v>
      </c>
      <c r="U157" s="2">
        <f t="shared" si="11"/>
        <v>2025</v>
      </c>
    </row>
    <row r="158" spans="1:21" x14ac:dyDescent="0.3">
      <c r="A158" t="s">
        <v>1304</v>
      </c>
      <c r="B158" t="s">
        <v>4810</v>
      </c>
      <c r="C158" t="s">
        <v>4811</v>
      </c>
      <c r="D158" t="s">
        <v>4363</v>
      </c>
      <c r="E158">
        <v>26</v>
      </c>
      <c r="F158" t="s">
        <v>4812</v>
      </c>
      <c r="G158">
        <v>9552887885</v>
      </c>
      <c r="H158" t="s">
        <v>4410</v>
      </c>
      <c r="I158" t="s">
        <v>4411</v>
      </c>
      <c r="J158" t="s">
        <v>4432</v>
      </c>
      <c r="K158">
        <v>0.1</v>
      </c>
      <c r="L158">
        <v>3.3</v>
      </c>
      <c r="M158">
        <v>4.2</v>
      </c>
      <c r="N158" t="s">
        <v>4390</v>
      </c>
      <c r="O158" t="s">
        <v>4485</v>
      </c>
      <c r="P158" s="1">
        <v>45685</v>
      </c>
      <c r="Q158" t="str">
        <f t="shared" si="8"/>
        <v>10+ Years</v>
      </c>
      <c r="R158" t="str">
        <f>IF(Table7[[#This Row],[Age]]&lt;=25,"20-25",IF(Table7[[#This Row],[Age]]&lt;=30,"26-30",IF(Table7[[#This Row],[Age]]&lt;=35,"31-35","36+")))</f>
        <v>26-30</v>
      </c>
      <c r="S158" t="str">
        <f t="shared" si="9"/>
        <v>January</v>
      </c>
      <c r="T158" s="2" t="str">
        <f t="shared" si="10"/>
        <v>Q1</v>
      </c>
      <c r="U158" s="2">
        <f t="shared" si="11"/>
        <v>2025</v>
      </c>
    </row>
    <row r="159" spans="1:21" x14ac:dyDescent="0.3">
      <c r="A159" t="s">
        <v>4813</v>
      </c>
      <c r="B159" t="s">
        <v>4563</v>
      </c>
      <c r="C159" t="s">
        <v>4814</v>
      </c>
      <c r="D159" t="s">
        <v>4372</v>
      </c>
      <c r="E159">
        <v>30</v>
      </c>
      <c r="F159" t="s">
        <v>4815</v>
      </c>
      <c r="G159">
        <v>9142283358</v>
      </c>
      <c r="H159" t="s">
        <v>4506</v>
      </c>
      <c r="I159" t="s">
        <v>4507</v>
      </c>
      <c r="J159" t="s">
        <v>4367</v>
      </c>
      <c r="K159">
        <v>1.9</v>
      </c>
      <c r="L159">
        <v>10.3</v>
      </c>
      <c r="M159">
        <v>14.3</v>
      </c>
      <c r="N159" t="s">
        <v>4390</v>
      </c>
      <c r="O159" t="s">
        <v>4485</v>
      </c>
      <c r="P159" s="1">
        <v>45886</v>
      </c>
      <c r="Q159" t="str">
        <f t="shared" si="8"/>
        <v>10+ Years</v>
      </c>
      <c r="R159" t="str">
        <f>IF(Table7[[#This Row],[Age]]&lt;=25,"20-25",IF(Table7[[#This Row],[Age]]&lt;=30,"26-30",IF(Table7[[#This Row],[Age]]&lt;=35,"31-35","36+")))</f>
        <v>26-30</v>
      </c>
      <c r="S159" t="str">
        <f t="shared" si="9"/>
        <v>August</v>
      </c>
      <c r="T159" s="2" t="str">
        <f t="shared" si="10"/>
        <v>Q3</v>
      </c>
      <c r="U159" s="2">
        <f t="shared" si="11"/>
        <v>2025</v>
      </c>
    </row>
    <row r="160" spans="1:21" x14ac:dyDescent="0.3">
      <c r="A160" t="s">
        <v>2237</v>
      </c>
      <c r="B160" t="s">
        <v>4704</v>
      </c>
      <c r="C160" t="s">
        <v>4816</v>
      </c>
      <c r="D160" t="s">
        <v>4372</v>
      </c>
      <c r="E160">
        <v>22</v>
      </c>
      <c r="F160" t="s">
        <v>4817</v>
      </c>
      <c r="G160">
        <v>9515691458</v>
      </c>
      <c r="H160" t="s">
        <v>4521</v>
      </c>
      <c r="I160" t="s">
        <v>4522</v>
      </c>
      <c r="J160" t="s">
        <v>4376</v>
      </c>
      <c r="K160">
        <v>1.9</v>
      </c>
      <c r="L160">
        <v>7.3</v>
      </c>
      <c r="M160">
        <v>10.4</v>
      </c>
      <c r="N160" t="s">
        <v>4494</v>
      </c>
      <c r="O160" t="s">
        <v>4391</v>
      </c>
      <c r="P160" s="1">
        <v>45869</v>
      </c>
      <c r="Q160" t="str">
        <f t="shared" si="8"/>
        <v>10+ Years</v>
      </c>
      <c r="R160" t="str">
        <f>IF(Table7[[#This Row],[Age]]&lt;=25,"20-25",IF(Table7[[#This Row],[Age]]&lt;=30,"26-30",IF(Table7[[#This Row],[Age]]&lt;=35,"31-35","36+")))</f>
        <v>20-25</v>
      </c>
      <c r="S160" t="str">
        <f t="shared" si="9"/>
        <v>July</v>
      </c>
      <c r="T160" s="2" t="str">
        <f t="shared" si="10"/>
        <v>Q3</v>
      </c>
      <c r="U160" s="2">
        <f t="shared" si="11"/>
        <v>2025</v>
      </c>
    </row>
    <row r="161" spans="1:21" x14ac:dyDescent="0.3">
      <c r="A161" t="s">
        <v>3670</v>
      </c>
      <c r="B161" t="s">
        <v>4818</v>
      </c>
      <c r="C161" t="s">
        <v>4608</v>
      </c>
      <c r="D161" t="s">
        <v>4363</v>
      </c>
      <c r="E161">
        <v>31</v>
      </c>
      <c r="F161" t="s">
        <v>4819</v>
      </c>
      <c r="G161">
        <v>9792032856</v>
      </c>
      <c r="H161" t="s">
        <v>4491</v>
      </c>
      <c r="I161" t="s">
        <v>4491</v>
      </c>
      <c r="J161" t="s">
        <v>4367</v>
      </c>
      <c r="K161">
        <v>3</v>
      </c>
      <c r="L161">
        <v>10.1</v>
      </c>
      <c r="M161">
        <v>11.8</v>
      </c>
      <c r="N161" t="s">
        <v>4406</v>
      </c>
      <c r="O161" t="s">
        <v>4369</v>
      </c>
      <c r="P161" s="1">
        <v>46008</v>
      </c>
      <c r="Q161" t="str">
        <f t="shared" si="8"/>
        <v>10+ Years</v>
      </c>
      <c r="R161" t="str">
        <f>IF(Table7[[#This Row],[Age]]&lt;=25,"20-25",IF(Table7[[#This Row],[Age]]&lt;=30,"26-30",IF(Table7[[#This Row],[Age]]&lt;=35,"31-35","36+")))</f>
        <v>31-35</v>
      </c>
      <c r="S161" t="str">
        <f t="shared" si="9"/>
        <v>December</v>
      </c>
      <c r="T161" s="2" t="str">
        <f t="shared" si="10"/>
        <v>Q4</v>
      </c>
      <c r="U161" s="2">
        <f t="shared" si="11"/>
        <v>2025</v>
      </c>
    </row>
    <row r="162" spans="1:21" x14ac:dyDescent="0.3">
      <c r="A162" t="s">
        <v>1234</v>
      </c>
      <c r="B162" t="s">
        <v>4820</v>
      </c>
      <c r="C162" t="s">
        <v>4600</v>
      </c>
      <c r="D162" t="s">
        <v>4363</v>
      </c>
      <c r="E162">
        <v>24</v>
      </c>
      <c r="F162" t="s">
        <v>4821</v>
      </c>
      <c r="G162">
        <v>9334339003</v>
      </c>
      <c r="H162" t="s">
        <v>4506</v>
      </c>
      <c r="I162" t="s">
        <v>4507</v>
      </c>
      <c r="J162" t="s">
        <v>4367</v>
      </c>
      <c r="K162">
        <v>1.6</v>
      </c>
      <c r="L162">
        <v>6.7</v>
      </c>
      <c r="M162">
        <v>8.5</v>
      </c>
      <c r="O162" t="s">
        <v>4383</v>
      </c>
      <c r="P162" s="1">
        <v>45888</v>
      </c>
      <c r="Q162" t="str">
        <f t="shared" si="8"/>
        <v>10+ Years</v>
      </c>
      <c r="R162" t="str">
        <f>IF(Table7[[#This Row],[Age]]&lt;=25,"20-25",IF(Table7[[#This Row],[Age]]&lt;=30,"26-30",IF(Table7[[#This Row],[Age]]&lt;=35,"31-35","36+")))</f>
        <v>20-25</v>
      </c>
      <c r="S162" t="str">
        <f t="shared" si="9"/>
        <v>August</v>
      </c>
      <c r="T162" s="2" t="str">
        <f t="shared" si="10"/>
        <v>Q3</v>
      </c>
      <c r="U162" s="2">
        <f t="shared" si="11"/>
        <v>2025</v>
      </c>
    </row>
    <row r="163" spans="1:21" x14ac:dyDescent="0.3">
      <c r="A163" t="s">
        <v>921</v>
      </c>
      <c r="B163" t="s">
        <v>4741</v>
      </c>
      <c r="C163" t="s">
        <v>4440</v>
      </c>
      <c r="D163" t="s">
        <v>4363</v>
      </c>
      <c r="E163">
        <v>33</v>
      </c>
      <c r="F163" t="s">
        <v>4822</v>
      </c>
      <c r="G163">
        <v>9153836024</v>
      </c>
      <c r="H163" t="s">
        <v>4476</v>
      </c>
      <c r="I163" t="s">
        <v>4477</v>
      </c>
      <c r="J163" t="s">
        <v>4389</v>
      </c>
      <c r="K163">
        <v>6.2</v>
      </c>
      <c r="L163">
        <v>13.5</v>
      </c>
      <c r="M163">
        <v>18.3</v>
      </c>
      <c r="N163" t="s">
        <v>4377</v>
      </c>
      <c r="O163" t="s">
        <v>4456</v>
      </c>
      <c r="P163" s="1">
        <v>45701</v>
      </c>
      <c r="Q163" t="str">
        <f t="shared" si="8"/>
        <v>10+ Years</v>
      </c>
      <c r="R163" t="str">
        <f>IF(Table7[[#This Row],[Age]]&lt;=25,"20-25",IF(Table7[[#This Row],[Age]]&lt;=30,"26-30",IF(Table7[[#This Row],[Age]]&lt;=35,"31-35","36+")))</f>
        <v>31-35</v>
      </c>
      <c r="S163" t="str">
        <f t="shared" si="9"/>
        <v>February</v>
      </c>
      <c r="T163" s="2" t="str">
        <f t="shared" si="10"/>
        <v>Q1</v>
      </c>
      <c r="U163" s="2">
        <f t="shared" si="11"/>
        <v>2025</v>
      </c>
    </row>
    <row r="164" spans="1:21" x14ac:dyDescent="0.3">
      <c r="A164" t="s">
        <v>2311</v>
      </c>
      <c r="B164" t="s">
        <v>4596</v>
      </c>
      <c r="C164" t="s">
        <v>4823</v>
      </c>
      <c r="D164" t="s">
        <v>4372</v>
      </c>
      <c r="E164">
        <v>30</v>
      </c>
      <c r="F164" t="s">
        <v>4824</v>
      </c>
      <c r="G164">
        <v>9861535445</v>
      </c>
      <c r="H164" t="s">
        <v>4491</v>
      </c>
      <c r="I164" t="s">
        <v>4491</v>
      </c>
      <c r="J164" t="s">
        <v>4415</v>
      </c>
      <c r="K164">
        <v>2.2999999999999998</v>
      </c>
      <c r="L164">
        <v>7.9</v>
      </c>
      <c r="M164">
        <v>11.3</v>
      </c>
      <c r="N164" t="s">
        <v>4368</v>
      </c>
      <c r="O164" t="s">
        <v>4419</v>
      </c>
      <c r="P164" s="1">
        <v>45674</v>
      </c>
      <c r="Q164" t="str">
        <f t="shared" si="8"/>
        <v>10+ Years</v>
      </c>
      <c r="R164" t="str">
        <f>IF(Table7[[#This Row],[Age]]&lt;=25,"20-25",IF(Table7[[#This Row],[Age]]&lt;=30,"26-30",IF(Table7[[#This Row],[Age]]&lt;=35,"31-35","36+")))</f>
        <v>26-30</v>
      </c>
      <c r="S164" t="str">
        <f t="shared" si="9"/>
        <v>January</v>
      </c>
      <c r="T164" s="2" t="str">
        <f t="shared" si="10"/>
        <v>Q1</v>
      </c>
      <c r="U164" s="2">
        <f t="shared" si="11"/>
        <v>2025</v>
      </c>
    </row>
    <row r="165" spans="1:21" x14ac:dyDescent="0.3">
      <c r="A165" t="s">
        <v>1546</v>
      </c>
      <c r="B165" t="s">
        <v>4825</v>
      </c>
      <c r="C165" t="s">
        <v>4826</v>
      </c>
      <c r="D165" t="s">
        <v>4372</v>
      </c>
      <c r="E165">
        <v>21</v>
      </c>
      <c r="F165" t="s">
        <v>4827</v>
      </c>
      <c r="G165">
        <v>9798681096</v>
      </c>
      <c r="H165" t="s">
        <v>4395</v>
      </c>
      <c r="I165" t="s">
        <v>4396</v>
      </c>
      <c r="J165" t="s">
        <v>4446</v>
      </c>
      <c r="K165">
        <v>3.1</v>
      </c>
      <c r="L165">
        <v>14.1</v>
      </c>
      <c r="M165">
        <v>16.2</v>
      </c>
      <c r="N165" t="s">
        <v>4368</v>
      </c>
      <c r="O165" t="s">
        <v>4456</v>
      </c>
      <c r="P165" s="1">
        <v>45742</v>
      </c>
      <c r="Q165" t="str">
        <f t="shared" si="8"/>
        <v>10+ Years</v>
      </c>
      <c r="R165" t="str">
        <f>IF(Table7[[#This Row],[Age]]&lt;=25,"20-25",IF(Table7[[#This Row],[Age]]&lt;=30,"26-30",IF(Table7[[#This Row],[Age]]&lt;=35,"31-35","36+")))</f>
        <v>20-25</v>
      </c>
      <c r="S165" t="str">
        <f t="shared" si="9"/>
        <v>March</v>
      </c>
      <c r="T165" s="2" t="str">
        <f t="shared" si="10"/>
        <v>Q1</v>
      </c>
      <c r="U165" s="2">
        <f t="shared" si="11"/>
        <v>2025</v>
      </c>
    </row>
    <row r="166" spans="1:21" x14ac:dyDescent="0.3">
      <c r="A166" t="s">
        <v>328</v>
      </c>
      <c r="B166" t="s">
        <v>4828</v>
      </c>
      <c r="C166" t="s">
        <v>4594</v>
      </c>
      <c r="D166" t="s">
        <v>4363</v>
      </c>
      <c r="E166">
        <v>29</v>
      </c>
      <c r="F166" t="s">
        <v>4829</v>
      </c>
      <c r="G166">
        <v>9753853155</v>
      </c>
      <c r="H166" t="s">
        <v>4410</v>
      </c>
      <c r="I166" t="s">
        <v>4411</v>
      </c>
      <c r="K166">
        <v>5</v>
      </c>
      <c r="L166">
        <v>10.6</v>
      </c>
      <c r="M166">
        <v>15.2</v>
      </c>
      <c r="N166" t="s">
        <v>4390</v>
      </c>
      <c r="O166" t="s">
        <v>4391</v>
      </c>
      <c r="P166" s="1">
        <v>45743</v>
      </c>
      <c r="Q166" t="str">
        <f t="shared" si="8"/>
        <v>10+ Years</v>
      </c>
      <c r="R166" t="str">
        <f>IF(Table7[[#This Row],[Age]]&lt;=25,"20-25",IF(Table7[[#This Row],[Age]]&lt;=30,"26-30",IF(Table7[[#This Row],[Age]]&lt;=35,"31-35","36+")))</f>
        <v>26-30</v>
      </c>
      <c r="S166" t="str">
        <f t="shared" si="9"/>
        <v>March</v>
      </c>
      <c r="T166" s="2" t="str">
        <f t="shared" si="10"/>
        <v>Q1</v>
      </c>
      <c r="U166" s="2">
        <f t="shared" si="11"/>
        <v>2025</v>
      </c>
    </row>
    <row r="167" spans="1:21" x14ac:dyDescent="0.3">
      <c r="A167" t="s">
        <v>554</v>
      </c>
      <c r="B167" t="s">
        <v>4830</v>
      </c>
      <c r="C167" t="s">
        <v>4434</v>
      </c>
      <c r="D167" t="s">
        <v>4372</v>
      </c>
      <c r="E167">
        <v>25</v>
      </c>
      <c r="F167" t="s">
        <v>4831</v>
      </c>
      <c r="G167">
        <v>9490053461</v>
      </c>
      <c r="H167" t="s">
        <v>4395</v>
      </c>
      <c r="I167" t="s">
        <v>4396</v>
      </c>
      <c r="J167" t="s">
        <v>4367</v>
      </c>
      <c r="K167">
        <v>0.6</v>
      </c>
      <c r="L167">
        <v>7.8</v>
      </c>
      <c r="M167">
        <v>10.8</v>
      </c>
      <c r="N167" t="s">
        <v>4390</v>
      </c>
      <c r="O167" t="s">
        <v>4400</v>
      </c>
      <c r="P167" s="1">
        <v>45889</v>
      </c>
      <c r="Q167" t="str">
        <f t="shared" si="8"/>
        <v>10+ Years</v>
      </c>
      <c r="R167" t="str">
        <f>IF(Table7[[#This Row],[Age]]&lt;=25,"20-25",IF(Table7[[#This Row],[Age]]&lt;=30,"26-30",IF(Table7[[#This Row],[Age]]&lt;=35,"31-35","36+")))</f>
        <v>20-25</v>
      </c>
      <c r="S167" t="str">
        <f t="shared" si="9"/>
        <v>August</v>
      </c>
      <c r="T167" s="2" t="str">
        <f t="shared" si="10"/>
        <v>Q3</v>
      </c>
      <c r="U167" s="2">
        <f t="shared" si="11"/>
        <v>2025</v>
      </c>
    </row>
    <row r="168" spans="1:21" x14ac:dyDescent="0.3">
      <c r="A168" t="s">
        <v>4832</v>
      </c>
      <c r="B168" t="s">
        <v>4606</v>
      </c>
      <c r="C168" t="s">
        <v>4833</v>
      </c>
      <c r="D168" t="s">
        <v>4363</v>
      </c>
      <c r="E168">
        <v>23</v>
      </c>
      <c r="F168" t="s">
        <v>4834</v>
      </c>
      <c r="G168">
        <v>9708614627</v>
      </c>
      <c r="H168" t="s">
        <v>4476</v>
      </c>
      <c r="I168" t="s">
        <v>4477</v>
      </c>
      <c r="J168" t="s">
        <v>4432</v>
      </c>
      <c r="K168">
        <v>0.9</v>
      </c>
      <c r="L168">
        <v>9.8000000000000007</v>
      </c>
      <c r="M168">
        <v>11.2</v>
      </c>
      <c r="N168" t="s">
        <v>4494</v>
      </c>
      <c r="O168" t="s">
        <v>4456</v>
      </c>
      <c r="P168" s="1">
        <v>45965</v>
      </c>
      <c r="Q168" t="str">
        <f t="shared" si="8"/>
        <v>10+ Years</v>
      </c>
      <c r="R168" t="str">
        <f>IF(Table7[[#This Row],[Age]]&lt;=25,"20-25",IF(Table7[[#This Row],[Age]]&lt;=30,"26-30",IF(Table7[[#This Row],[Age]]&lt;=35,"31-35","36+")))</f>
        <v>20-25</v>
      </c>
      <c r="S168" t="str">
        <f t="shared" si="9"/>
        <v>November</v>
      </c>
      <c r="T168" s="2" t="str">
        <f t="shared" si="10"/>
        <v>Q4</v>
      </c>
      <c r="U168" s="2">
        <f t="shared" si="11"/>
        <v>2025</v>
      </c>
    </row>
    <row r="169" spans="1:21" x14ac:dyDescent="0.3">
      <c r="A169" t="s">
        <v>3917</v>
      </c>
      <c r="B169" t="s">
        <v>4461</v>
      </c>
      <c r="C169" t="s">
        <v>4835</v>
      </c>
      <c r="D169" t="s">
        <v>4372</v>
      </c>
      <c r="E169">
        <v>24</v>
      </c>
      <c r="F169" t="s">
        <v>4836</v>
      </c>
      <c r="G169">
        <v>9879224582</v>
      </c>
      <c r="H169" t="s">
        <v>4410</v>
      </c>
      <c r="I169" t="s">
        <v>4411</v>
      </c>
      <c r="J169" t="s">
        <v>4446</v>
      </c>
      <c r="K169">
        <v>1.1000000000000001</v>
      </c>
      <c r="L169">
        <v>7.9</v>
      </c>
      <c r="M169">
        <v>10.4</v>
      </c>
      <c r="N169" t="s">
        <v>4368</v>
      </c>
      <c r="O169" t="s">
        <v>4391</v>
      </c>
      <c r="P169" s="1">
        <v>45784</v>
      </c>
      <c r="Q169" t="str">
        <f t="shared" si="8"/>
        <v>10+ Years</v>
      </c>
      <c r="R169" t="str">
        <f>IF(Table7[[#This Row],[Age]]&lt;=25,"20-25",IF(Table7[[#This Row],[Age]]&lt;=30,"26-30",IF(Table7[[#This Row],[Age]]&lt;=35,"31-35","36+")))</f>
        <v>20-25</v>
      </c>
      <c r="S169" t="str">
        <f t="shared" si="9"/>
        <v>May</v>
      </c>
      <c r="T169" s="2" t="str">
        <f t="shared" si="10"/>
        <v>Q2</v>
      </c>
      <c r="U169" s="2">
        <f t="shared" si="11"/>
        <v>2025</v>
      </c>
    </row>
    <row r="170" spans="1:21" x14ac:dyDescent="0.3">
      <c r="A170" t="s">
        <v>3028</v>
      </c>
      <c r="B170" t="s">
        <v>4837</v>
      </c>
      <c r="C170" t="s">
        <v>4729</v>
      </c>
      <c r="D170" t="s">
        <v>4372</v>
      </c>
      <c r="E170">
        <v>28</v>
      </c>
      <c r="F170" t="s">
        <v>4838</v>
      </c>
      <c r="G170">
        <v>9503941567</v>
      </c>
      <c r="H170" t="s">
        <v>4521</v>
      </c>
      <c r="I170" t="s">
        <v>4522</v>
      </c>
      <c r="J170" t="s">
        <v>4389</v>
      </c>
      <c r="K170">
        <v>3.7</v>
      </c>
      <c r="M170">
        <v>11.7</v>
      </c>
      <c r="N170" t="s">
        <v>4390</v>
      </c>
      <c r="O170" t="s">
        <v>4456</v>
      </c>
      <c r="P170" s="1">
        <v>45822</v>
      </c>
      <c r="Q170" t="str">
        <f t="shared" si="8"/>
        <v>10+ Years</v>
      </c>
      <c r="R170" t="str">
        <f>IF(Table7[[#This Row],[Age]]&lt;=25,"20-25",IF(Table7[[#This Row],[Age]]&lt;=30,"26-30",IF(Table7[[#This Row],[Age]]&lt;=35,"31-35","36+")))</f>
        <v>26-30</v>
      </c>
      <c r="S170" t="str">
        <f t="shared" si="9"/>
        <v>June</v>
      </c>
      <c r="T170" s="2" t="str">
        <f t="shared" si="10"/>
        <v>Q2</v>
      </c>
      <c r="U170" s="2">
        <f t="shared" si="11"/>
        <v>2025</v>
      </c>
    </row>
    <row r="171" spans="1:21" x14ac:dyDescent="0.3">
      <c r="A171" t="s">
        <v>784</v>
      </c>
      <c r="B171" t="s">
        <v>4754</v>
      </c>
      <c r="C171" t="s">
        <v>4839</v>
      </c>
      <c r="D171" t="s">
        <v>4372</v>
      </c>
      <c r="E171">
        <v>21</v>
      </c>
      <c r="F171" t="s">
        <v>4840</v>
      </c>
      <c r="G171">
        <v>9268878587</v>
      </c>
      <c r="H171" t="s">
        <v>4521</v>
      </c>
      <c r="I171" t="s">
        <v>4522</v>
      </c>
      <c r="J171" t="s">
        <v>4450</v>
      </c>
      <c r="K171">
        <v>0.4</v>
      </c>
      <c r="L171">
        <v>9.1</v>
      </c>
      <c r="M171">
        <v>12.5</v>
      </c>
      <c r="N171" t="s">
        <v>4377</v>
      </c>
      <c r="O171" t="s">
        <v>4391</v>
      </c>
      <c r="P171" s="1">
        <v>45730</v>
      </c>
      <c r="Q171" t="str">
        <f t="shared" si="8"/>
        <v>10+ Years</v>
      </c>
      <c r="R171" t="str">
        <f>IF(Table7[[#This Row],[Age]]&lt;=25,"20-25",IF(Table7[[#This Row],[Age]]&lt;=30,"26-30",IF(Table7[[#This Row],[Age]]&lt;=35,"31-35","36+")))</f>
        <v>20-25</v>
      </c>
      <c r="S171" t="str">
        <f t="shared" si="9"/>
        <v>March</v>
      </c>
      <c r="T171" s="2" t="str">
        <f t="shared" si="10"/>
        <v>Q1</v>
      </c>
      <c r="U171" s="2">
        <f t="shared" si="11"/>
        <v>2025</v>
      </c>
    </row>
    <row r="172" spans="1:21" x14ac:dyDescent="0.3">
      <c r="A172" t="s">
        <v>2581</v>
      </c>
      <c r="B172" t="s">
        <v>4841</v>
      </c>
      <c r="C172" t="s">
        <v>4842</v>
      </c>
      <c r="D172" t="s">
        <v>4363</v>
      </c>
      <c r="E172">
        <v>34</v>
      </c>
      <c r="F172" t="s">
        <v>4843</v>
      </c>
      <c r="G172">
        <v>9257838996</v>
      </c>
      <c r="H172" t="s">
        <v>4454</v>
      </c>
      <c r="I172" t="s">
        <v>4455</v>
      </c>
      <c r="J172" t="s">
        <v>4618</v>
      </c>
      <c r="K172">
        <v>3.4</v>
      </c>
      <c r="L172">
        <v>10.5</v>
      </c>
      <c r="M172">
        <v>14.5</v>
      </c>
      <c r="N172" t="s">
        <v>4390</v>
      </c>
      <c r="O172" t="s">
        <v>4400</v>
      </c>
      <c r="P172" s="1">
        <v>45913</v>
      </c>
      <c r="Q172" t="str">
        <f t="shared" si="8"/>
        <v>10+ Years</v>
      </c>
      <c r="R172" t="str">
        <f>IF(Table7[[#This Row],[Age]]&lt;=25,"20-25",IF(Table7[[#This Row],[Age]]&lt;=30,"26-30",IF(Table7[[#This Row],[Age]]&lt;=35,"31-35","36+")))</f>
        <v>31-35</v>
      </c>
      <c r="S172" t="str">
        <f t="shared" si="9"/>
        <v>September</v>
      </c>
      <c r="T172" s="2" t="str">
        <f t="shared" si="10"/>
        <v>Q3</v>
      </c>
      <c r="U172" s="2">
        <f t="shared" si="11"/>
        <v>2025</v>
      </c>
    </row>
    <row r="173" spans="1:21" x14ac:dyDescent="0.3">
      <c r="A173" t="s">
        <v>2706</v>
      </c>
      <c r="B173" t="s">
        <v>4430</v>
      </c>
      <c r="C173" t="s">
        <v>4844</v>
      </c>
      <c r="D173" t="s">
        <v>4372</v>
      </c>
      <c r="E173">
        <v>22</v>
      </c>
      <c r="F173" t="s">
        <v>4845</v>
      </c>
      <c r="G173">
        <v>9679800384</v>
      </c>
      <c r="H173" t="s">
        <v>4374</v>
      </c>
      <c r="I173" t="s">
        <v>4375</v>
      </c>
      <c r="J173" t="s">
        <v>4415</v>
      </c>
      <c r="K173">
        <v>1.3</v>
      </c>
      <c r="L173">
        <v>6.2</v>
      </c>
      <c r="M173">
        <v>7.7</v>
      </c>
      <c r="N173" t="s">
        <v>4377</v>
      </c>
      <c r="O173" t="s">
        <v>4456</v>
      </c>
      <c r="P173" s="1">
        <v>45777</v>
      </c>
      <c r="Q173" t="str">
        <f t="shared" si="8"/>
        <v>10+ Years</v>
      </c>
      <c r="R173" t="str">
        <f>IF(Table7[[#This Row],[Age]]&lt;=25,"20-25",IF(Table7[[#This Row],[Age]]&lt;=30,"26-30",IF(Table7[[#This Row],[Age]]&lt;=35,"31-35","36+")))</f>
        <v>20-25</v>
      </c>
      <c r="S173" t="str">
        <f t="shared" si="9"/>
        <v>April</v>
      </c>
      <c r="T173" s="2" t="str">
        <f t="shared" si="10"/>
        <v>Q2</v>
      </c>
      <c r="U173" s="2">
        <f t="shared" si="11"/>
        <v>2025</v>
      </c>
    </row>
    <row r="174" spans="1:21" x14ac:dyDescent="0.3">
      <c r="A174" t="s">
        <v>3080</v>
      </c>
      <c r="B174" t="s">
        <v>4648</v>
      </c>
      <c r="C174" t="s">
        <v>4846</v>
      </c>
      <c r="D174" t="s">
        <v>4372</v>
      </c>
      <c r="E174">
        <v>23</v>
      </c>
      <c r="F174" t="s">
        <v>4847</v>
      </c>
      <c r="G174">
        <v>9827634013</v>
      </c>
      <c r="H174" t="s">
        <v>4381</v>
      </c>
      <c r="I174" t="s">
        <v>4382</v>
      </c>
      <c r="J174" t="s">
        <v>4415</v>
      </c>
      <c r="K174">
        <v>0.1</v>
      </c>
      <c r="L174">
        <v>5.0999999999999996</v>
      </c>
      <c r="M174">
        <v>6.1</v>
      </c>
      <c r="N174" t="s">
        <v>4368</v>
      </c>
      <c r="O174" t="s">
        <v>4400</v>
      </c>
      <c r="P174" s="1">
        <v>45855</v>
      </c>
      <c r="Q174" t="str">
        <f t="shared" si="8"/>
        <v>10+ Years</v>
      </c>
      <c r="R174" t="str">
        <f>IF(Table7[[#This Row],[Age]]&lt;=25,"20-25",IF(Table7[[#This Row],[Age]]&lt;=30,"26-30",IF(Table7[[#This Row],[Age]]&lt;=35,"31-35","36+")))</f>
        <v>20-25</v>
      </c>
      <c r="S174" t="str">
        <f t="shared" si="9"/>
        <v>July</v>
      </c>
      <c r="T174" s="2" t="str">
        <f t="shared" si="10"/>
        <v>Q3</v>
      </c>
      <c r="U174" s="2">
        <f t="shared" si="11"/>
        <v>2025</v>
      </c>
    </row>
    <row r="175" spans="1:21" x14ac:dyDescent="0.3">
      <c r="A175" t="s">
        <v>728</v>
      </c>
      <c r="B175" t="s">
        <v>4848</v>
      </c>
      <c r="C175" t="s">
        <v>4849</v>
      </c>
      <c r="D175" t="s">
        <v>4372</v>
      </c>
      <c r="E175">
        <v>26</v>
      </c>
      <c r="F175" t="s">
        <v>4850</v>
      </c>
      <c r="G175">
        <v>9675688772</v>
      </c>
      <c r="H175" t="s">
        <v>4473</v>
      </c>
      <c r="I175" t="s">
        <v>4473</v>
      </c>
      <c r="J175" t="s">
        <v>4482</v>
      </c>
      <c r="K175">
        <v>5.6</v>
      </c>
      <c r="L175">
        <v>22.3</v>
      </c>
      <c r="M175">
        <v>25.4</v>
      </c>
      <c r="N175" t="s">
        <v>4390</v>
      </c>
      <c r="O175" t="s">
        <v>4383</v>
      </c>
      <c r="P175" s="1">
        <v>45790</v>
      </c>
      <c r="Q175" t="str">
        <f t="shared" si="8"/>
        <v>10+ Years</v>
      </c>
      <c r="R175" t="str">
        <f>IF(Table7[[#This Row],[Age]]&lt;=25,"20-25",IF(Table7[[#This Row],[Age]]&lt;=30,"26-30",IF(Table7[[#This Row],[Age]]&lt;=35,"31-35","36+")))</f>
        <v>26-30</v>
      </c>
      <c r="S175" t="str">
        <f t="shared" si="9"/>
        <v>May</v>
      </c>
      <c r="T175" s="2" t="str">
        <f t="shared" si="10"/>
        <v>Q2</v>
      </c>
      <c r="U175" s="2">
        <f t="shared" si="11"/>
        <v>2025</v>
      </c>
    </row>
    <row r="176" spans="1:21" x14ac:dyDescent="0.3">
      <c r="A176" t="s">
        <v>3954</v>
      </c>
      <c r="B176" t="s">
        <v>4436</v>
      </c>
      <c r="C176" t="s">
        <v>4646</v>
      </c>
      <c r="D176" t="s">
        <v>4363</v>
      </c>
      <c r="E176">
        <v>38</v>
      </c>
      <c r="F176" t="s">
        <v>4851</v>
      </c>
      <c r="G176">
        <v>9444663392</v>
      </c>
      <c r="H176" t="s">
        <v>4491</v>
      </c>
      <c r="I176" t="s">
        <v>4491</v>
      </c>
      <c r="J176" t="s">
        <v>4415</v>
      </c>
      <c r="K176">
        <v>0.5</v>
      </c>
      <c r="L176">
        <v>4.7</v>
      </c>
      <c r="M176">
        <v>5.6</v>
      </c>
      <c r="N176" t="s">
        <v>4368</v>
      </c>
      <c r="O176" t="s">
        <v>4369</v>
      </c>
      <c r="P176" s="1">
        <v>46016</v>
      </c>
      <c r="Q176" t="str">
        <f t="shared" si="8"/>
        <v>10+ Years</v>
      </c>
      <c r="R176" t="str">
        <f>IF(Table7[[#This Row],[Age]]&lt;=25,"20-25",IF(Table7[[#This Row],[Age]]&lt;=30,"26-30",IF(Table7[[#This Row],[Age]]&lt;=35,"31-35","36+")))</f>
        <v>36+</v>
      </c>
      <c r="S176" t="str">
        <f t="shared" si="9"/>
        <v>December</v>
      </c>
      <c r="T176" s="2" t="str">
        <f t="shared" si="10"/>
        <v>Q4</v>
      </c>
      <c r="U176" s="2">
        <f t="shared" si="11"/>
        <v>2025</v>
      </c>
    </row>
    <row r="177" spans="1:21" x14ac:dyDescent="0.3">
      <c r="A177" t="s">
        <v>259</v>
      </c>
      <c r="B177" t="s">
        <v>4568</v>
      </c>
      <c r="C177" t="s">
        <v>4801</v>
      </c>
      <c r="D177" t="s">
        <v>4372</v>
      </c>
      <c r="E177">
        <v>28</v>
      </c>
      <c r="F177" t="s">
        <v>4852</v>
      </c>
      <c r="G177">
        <v>9706052959</v>
      </c>
      <c r="H177" t="s">
        <v>4476</v>
      </c>
      <c r="I177" t="s">
        <v>4477</v>
      </c>
      <c r="K177">
        <v>0.4</v>
      </c>
      <c r="L177">
        <v>3.7</v>
      </c>
      <c r="M177">
        <v>4.8</v>
      </c>
      <c r="N177" t="s">
        <v>4406</v>
      </c>
      <c r="O177" t="s">
        <v>4369</v>
      </c>
      <c r="P177" s="1">
        <v>45910</v>
      </c>
      <c r="Q177" t="str">
        <f t="shared" si="8"/>
        <v>10+ Years</v>
      </c>
      <c r="R177" t="str">
        <f>IF(Table7[[#This Row],[Age]]&lt;=25,"20-25",IF(Table7[[#This Row],[Age]]&lt;=30,"26-30",IF(Table7[[#This Row],[Age]]&lt;=35,"31-35","36+")))</f>
        <v>26-30</v>
      </c>
      <c r="S177" t="str">
        <f t="shared" si="9"/>
        <v>September</v>
      </c>
      <c r="T177" s="2" t="str">
        <f t="shared" si="10"/>
        <v>Q3</v>
      </c>
      <c r="U177" s="2">
        <f t="shared" si="11"/>
        <v>2025</v>
      </c>
    </row>
    <row r="178" spans="1:21" x14ac:dyDescent="0.3">
      <c r="A178" t="s">
        <v>4853</v>
      </c>
      <c r="B178" t="s">
        <v>4854</v>
      </c>
      <c r="C178" t="s">
        <v>4855</v>
      </c>
      <c r="D178" t="s">
        <v>4372</v>
      </c>
      <c r="E178">
        <v>30</v>
      </c>
      <c r="F178" t="s">
        <v>4856</v>
      </c>
      <c r="G178">
        <v>9499075839</v>
      </c>
      <c r="H178" t="s">
        <v>4395</v>
      </c>
      <c r="I178" t="s">
        <v>4396</v>
      </c>
      <c r="J178" t="s">
        <v>4415</v>
      </c>
      <c r="K178">
        <v>0.7</v>
      </c>
      <c r="L178">
        <v>15</v>
      </c>
      <c r="M178">
        <v>17.2</v>
      </c>
      <c r="N178" t="s">
        <v>4368</v>
      </c>
      <c r="O178" t="s">
        <v>4369</v>
      </c>
      <c r="P178" s="1">
        <v>45801</v>
      </c>
      <c r="Q178" t="str">
        <f t="shared" si="8"/>
        <v>10+ Years</v>
      </c>
      <c r="R178" t="str">
        <f>IF(Table7[[#This Row],[Age]]&lt;=25,"20-25",IF(Table7[[#This Row],[Age]]&lt;=30,"26-30",IF(Table7[[#This Row],[Age]]&lt;=35,"31-35","36+")))</f>
        <v>26-30</v>
      </c>
      <c r="S178" t="str">
        <f t="shared" si="9"/>
        <v>May</v>
      </c>
      <c r="T178" s="2" t="str">
        <f t="shared" si="10"/>
        <v>Q2</v>
      </c>
      <c r="U178" s="2">
        <f t="shared" si="11"/>
        <v>2025</v>
      </c>
    </row>
    <row r="179" spans="1:21" x14ac:dyDescent="0.3">
      <c r="A179" t="s">
        <v>2379</v>
      </c>
      <c r="B179" t="s">
        <v>4582</v>
      </c>
      <c r="C179" t="s">
        <v>4857</v>
      </c>
      <c r="D179" t="s">
        <v>4372</v>
      </c>
      <c r="E179">
        <v>42</v>
      </c>
      <c r="F179" t="s">
        <v>4858</v>
      </c>
      <c r="G179">
        <v>9201022751</v>
      </c>
      <c r="H179" t="s">
        <v>4410</v>
      </c>
      <c r="I179" t="s">
        <v>4411</v>
      </c>
      <c r="K179">
        <v>3</v>
      </c>
      <c r="L179">
        <v>10.199999999999999</v>
      </c>
      <c r="M179">
        <v>14.4</v>
      </c>
      <c r="N179" t="s">
        <v>4390</v>
      </c>
      <c r="O179" t="s">
        <v>4383</v>
      </c>
      <c r="P179" s="1">
        <v>45767</v>
      </c>
      <c r="Q179" t="str">
        <f t="shared" si="8"/>
        <v>10+ Years</v>
      </c>
      <c r="R179" t="str">
        <f>IF(Table7[[#This Row],[Age]]&lt;=25,"20-25",IF(Table7[[#This Row],[Age]]&lt;=30,"26-30",IF(Table7[[#This Row],[Age]]&lt;=35,"31-35","36+")))</f>
        <v>36+</v>
      </c>
      <c r="S179" t="str">
        <f t="shared" si="9"/>
        <v>April</v>
      </c>
      <c r="T179" s="2" t="str">
        <f t="shared" si="10"/>
        <v>Q2</v>
      </c>
      <c r="U179" s="2">
        <f t="shared" si="11"/>
        <v>2025</v>
      </c>
    </row>
    <row r="180" spans="1:21" x14ac:dyDescent="0.3">
      <c r="A180" t="s">
        <v>250</v>
      </c>
      <c r="B180" t="s">
        <v>4407</v>
      </c>
      <c r="C180" t="s">
        <v>4440</v>
      </c>
      <c r="D180" t="s">
        <v>4372</v>
      </c>
      <c r="E180">
        <v>25</v>
      </c>
      <c r="F180" t="s">
        <v>4859</v>
      </c>
      <c r="G180">
        <v>9557360319</v>
      </c>
      <c r="H180" t="s">
        <v>4445</v>
      </c>
      <c r="I180" t="s">
        <v>4396</v>
      </c>
      <c r="J180" t="s">
        <v>4450</v>
      </c>
      <c r="K180">
        <v>5.2</v>
      </c>
      <c r="L180">
        <v>14.6</v>
      </c>
      <c r="M180">
        <v>20</v>
      </c>
      <c r="O180" t="s">
        <v>4419</v>
      </c>
      <c r="P180" s="1">
        <v>45788</v>
      </c>
      <c r="Q180" t="str">
        <f t="shared" si="8"/>
        <v>10+ Years</v>
      </c>
      <c r="R180" t="str">
        <f>IF(Table7[[#This Row],[Age]]&lt;=25,"20-25",IF(Table7[[#This Row],[Age]]&lt;=30,"26-30",IF(Table7[[#This Row],[Age]]&lt;=35,"31-35","36+")))</f>
        <v>20-25</v>
      </c>
      <c r="S180" t="str">
        <f t="shared" si="9"/>
        <v>May</v>
      </c>
      <c r="T180" s="2" t="str">
        <f t="shared" si="10"/>
        <v>Q2</v>
      </c>
      <c r="U180" s="2">
        <f t="shared" si="11"/>
        <v>2025</v>
      </c>
    </row>
    <row r="181" spans="1:21" x14ac:dyDescent="0.3">
      <c r="A181" t="s">
        <v>1112</v>
      </c>
      <c r="B181" t="s">
        <v>4860</v>
      </c>
      <c r="C181" t="s">
        <v>4729</v>
      </c>
      <c r="D181" t="s">
        <v>4363</v>
      </c>
      <c r="E181">
        <v>31</v>
      </c>
      <c r="F181" t="s">
        <v>4861</v>
      </c>
      <c r="G181">
        <v>9315810415</v>
      </c>
      <c r="H181" t="s">
        <v>4395</v>
      </c>
      <c r="I181" t="s">
        <v>4396</v>
      </c>
      <c r="J181" t="s">
        <v>4482</v>
      </c>
      <c r="K181">
        <v>15.5</v>
      </c>
      <c r="L181">
        <v>22.6</v>
      </c>
      <c r="M181">
        <v>25.5</v>
      </c>
      <c r="N181" t="s">
        <v>4406</v>
      </c>
      <c r="O181" t="s">
        <v>4391</v>
      </c>
      <c r="P181" s="1">
        <v>46019</v>
      </c>
      <c r="Q181" t="str">
        <f t="shared" si="8"/>
        <v>10+ Years</v>
      </c>
      <c r="R181" t="str">
        <f>IF(Table7[[#This Row],[Age]]&lt;=25,"20-25",IF(Table7[[#This Row],[Age]]&lt;=30,"26-30",IF(Table7[[#This Row],[Age]]&lt;=35,"31-35","36+")))</f>
        <v>31-35</v>
      </c>
      <c r="S181" t="str">
        <f t="shared" si="9"/>
        <v>December</v>
      </c>
      <c r="T181" s="2" t="str">
        <f t="shared" si="10"/>
        <v>Q4</v>
      </c>
      <c r="U181" s="2">
        <f t="shared" si="11"/>
        <v>2025</v>
      </c>
    </row>
    <row r="182" spans="1:21" x14ac:dyDescent="0.3">
      <c r="A182" t="s">
        <v>3434</v>
      </c>
      <c r="B182" t="s">
        <v>4566</v>
      </c>
      <c r="C182" t="s">
        <v>4862</v>
      </c>
      <c r="D182" t="s">
        <v>4372</v>
      </c>
      <c r="E182">
        <v>31</v>
      </c>
      <c r="F182" t="s">
        <v>4863</v>
      </c>
      <c r="G182">
        <v>9742170818</v>
      </c>
      <c r="H182" t="s">
        <v>4395</v>
      </c>
      <c r="I182" t="s">
        <v>4396</v>
      </c>
      <c r="J182" t="s">
        <v>4482</v>
      </c>
      <c r="K182">
        <v>2.6</v>
      </c>
      <c r="L182">
        <v>11.4</v>
      </c>
      <c r="M182">
        <v>13.2</v>
      </c>
      <c r="N182" t="s">
        <v>4494</v>
      </c>
      <c r="O182" t="s">
        <v>4369</v>
      </c>
      <c r="P182" s="1">
        <v>45947</v>
      </c>
      <c r="Q182" t="str">
        <f t="shared" si="8"/>
        <v>10+ Years</v>
      </c>
      <c r="R182" t="str">
        <f>IF(Table7[[#This Row],[Age]]&lt;=25,"20-25",IF(Table7[[#This Row],[Age]]&lt;=30,"26-30",IF(Table7[[#This Row],[Age]]&lt;=35,"31-35","36+")))</f>
        <v>31-35</v>
      </c>
      <c r="S182" t="str">
        <f t="shared" si="9"/>
        <v>October</v>
      </c>
      <c r="T182" s="2" t="str">
        <f t="shared" si="10"/>
        <v>Q4</v>
      </c>
      <c r="U182" s="2">
        <f t="shared" si="11"/>
        <v>2025</v>
      </c>
    </row>
    <row r="183" spans="1:21" x14ac:dyDescent="0.3">
      <c r="A183" t="s">
        <v>3720</v>
      </c>
      <c r="B183" t="s">
        <v>4803</v>
      </c>
      <c r="C183" t="s">
        <v>4675</v>
      </c>
      <c r="D183" t="s">
        <v>4372</v>
      </c>
      <c r="E183">
        <v>32</v>
      </c>
      <c r="F183" t="s">
        <v>4864</v>
      </c>
      <c r="G183">
        <v>9819107969</v>
      </c>
      <c r="H183" t="s">
        <v>4374</v>
      </c>
      <c r="I183" t="s">
        <v>4375</v>
      </c>
      <c r="J183" t="s">
        <v>4482</v>
      </c>
      <c r="K183">
        <v>2.2000000000000002</v>
      </c>
      <c r="L183">
        <v>9.1999999999999993</v>
      </c>
      <c r="M183">
        <v>11.7</v>
      </c>
      <c r="N183" t="s">
        <v>4368</v>
      </c>
      <c r="O183" t="s">
        <v>4419</v>
      </c>
      <c r="P183" s="1">
        <v>45771</v>
      </c>
      <c r="Q183" t="str">
        <f t="shared" si="8"/>
        <v>10+ Years</v>
      </c>
      <c r="R183" t="str">
        <f>IF(Table7[[#This Row],[Age]]&lt;=25,"20-25",IF(Table7[[#This Row],[Age]]&lt;=30,"26-30",IF(Table7[[#This Row],[Age]]&lt;=35,"31-35","36+")))</f>
        <v>31-35</v>
      </c>
      <c r="S183" t="str">
        <f t="shared" si="9"/>
        <v>April</v>
      </c>
      <c r="T183" s="2" t="str">
        <f t="shared" si="10"/>
        <v>Q2</v>
      </c>
      <c r="U183" s="2">
        <f t="shared" si="11"/>
        <v>2025</v>
      </c>
    </row>
    <row r="184" spans="1:21" x14ac:dyDescent="0.3">
      <c r="A184" t="s">
        <v>2047</v>
      </c>
      <c r="B184" t="s">
        <v>4865</v>
      </c>
      <c r="C184" t="s">
        <v>4434</v>
      </c>
      <c r="D184" t="s">
        <v>4372</v>
      </c>
      <c r="E184">
        <v>26</v>
      </c>
      <c r="F184" t="s">
        <v>4866</v>
      </c>
      <c r="G184">
        <v>9477968850</v>
      </c>
      <c r="H184" t="s">
        <v>4410</v>
      </c>
      <c r="I184" t="s">
        <v>4411</v>
      </c>
      <c r="J184" t="s">
        <v>4450</v>
      </c>
      <c r="K184">
        <v>0.9</v>
      </c>
      <c r="L184">
        <v>7.7</v>
      </c>
      <c r="M184">
        <v>10.9</v>
      </c>
      <c r="N184" t="s">
        <v>4377</v>
      </c>
      <c r="O184" t="s">
        <v>4369</v>
      </c>
      <c r="P184" s="1">
        <v>45920</v>
      </c>
      <c r="Q184" t="str">
        <f t="shared" si="8"/>
        <v>10+ Years</v>
      </c>
      <c r="R184" t="str">
        <f>IF(Table7[[#This Row],[Age]]&lt;=25,"20-25",IF(Table7[[#This Row],[Age]]&lt;=30,"26-30",IF(Table7[[#This Row],[Age]]&lt;=35,"31-35","36+")))</f>
        <v>26-30</v>
      </c>
      <c r="S184" t="str">
        <f t="shared" si="9"/>
        <v>September</v>
      </c>
      <c r="T184" s="2" t="str">
        <f t="shared" si="10"/>
        <v>Q3</v>
      </c>
      <c r="U184" s="2">
        <f t="shared" si="11"/>
        <v>2025</v>
      </c>
    </row>
    <row r="185" spans="1:21" x14ac:dyDescent="0.3">
      <c r="A185" t="s">
        <v>1268</v>
      </c>
      <c r="B185" t="s">
        <v>4392</v>
      </c>
      <c r="C185" t="s">
        <v>4867</v>
      </c>
      <c r="D185" t="s">
        <v>4363</v>
      </c>
      <c r="E185">
        <v>35</v>
      </c>
      <c r="F185" t="s">
        <v>4868</v>
      </c>
      <c r="G185">
        <v>9917815280</v>
      </c>
      <c r="H185" t="s">
        <v>4491</v>
      </c>
      <c r="I185" t="s">
        <v>4491</v>
      </c>
      <c r="J185" t="s">
        <v>4367</v>
      </c>
      <c r="K185">
        <v>0.5</v>
      </c>
      <c r="L185">
        <v>4.4000000000000004</v>
      </c>
      <c r="M185">
        <v>5.0999999999999996</v>
      </c>
      <c r="N185" t="s">
        <v>4377</v>
      </c>
      <c r="O185" t="s">
        <v>4485</v>
      </c>
      <c r="P185" s="1">
        <v>46004</v>
      </c>
      <c r="Q185" t="str">
        <f t="shared" si="8"/>
        <v>10+ Years</v>
      </c>
      <c r="R185" t="str">
        <f>IF(Table7[[#This Row],[Age]]&lt;=25,"20-25",IF(Table7[[#This Row],[Age]]&lt;=30,"26-30",IF(Table7[[#This Row],[Age]]&lt;=35,"31-35","36+")))</f>
        <v>31-35</v>
      </c>
      <c r="S185" t="str">
        <f t="shared" si="9"/>
        <v>December</v>
      </c>
      <c r="T185" s="2" t="str">
        <f t="shared" si="10"/>
        <v>Q4</v>
      </c>
      <c r="U185" s="2">
        <f t="shared" si="11"/>
        <v>2025</v>
      </c>
    </row>
    <row r="186" spans="1:21" x14ac:dyDescent="0.3">
      <c r="A186" t="s">
        <v>691</v>
      </c>
      <c r="B186" t="s">
        <v>4869</v>
      </c>
      <c r="C186" t="s">
        <v>4870</v>
      </c>
      <c r="D186" t="s">
        <v>4363</v>
      </c>
      <c r="E186">
        <v>34</v>
      </c>
      <c r="F186" t="s">
        <v>4871</v>
      </c>
      <c r="G186">
        <v>9735081064</v>
      </c>
      <c r="H186" t="s">
        <v>4491</v>
      </c>
      <c r="I186" t="s">
        <v>4491</v>
      </c>
      <c r="J186" t="s">
        <v>4389</v>
      </c>
      <c r="K186">
        <v>3.6</v>
      </c>
      <c r="L186">
        <v>7.5</v>
      </c>
      <c r="M186">
        <v>8.6999999999999993</v>
      </c>
      <c r="N186" t="s">
        <v>4368</v>
      </c>
      <c r="O186" t="s">
        <v>4369</v>
      </c>
      <c r="P186" s="1">
        <v>45721</v>
      </c>
      <c r="Q186" t="str">
        <f t="shared" si="8"/>
        <v>10+ Years</v>
      </c>
      <c r="R186" t="str">
        <f>IF(Table7[[#This Row],[Age]]&lt;=25,"20-25",IF(Table7[[#This Row],[Age]]&lt;=30,"26-30",IF(Table7[[#This Row],[Age]]&lt;=35,"31-35","36+")))</f>
        <v>31-35</v>
      </c>
      <c r="S186" t="str">
        <f t="shared" si="9"/>
        <v>March</v>
      </c>
      <c r="T186" s="2" t="str">
        <f t="shared" si="10"/>
        <v>Q1</v>
      </c>
      <c r="U186" s="2">
        <f t="shared" si="11"/>
        <v>2025</v>
      </c>
    </row>
    <row r="187" spans="1:21" x14ac:dyDescent="0.3">
      <c r="A187" t="s">
        <v>2584</v>
      </c>
      <c r="B187" t="s">
        <v>4565</v>
      </c>
      <c r="C187" t="s">
        <v>4872</v>
      </c>
      <c r="D187" t="s">
        <v>4372</v>
      </c>
      <c r="E187">
        <v>22</v>
      </c>
      <c r="F187" t="s">
        <v>4873</v>
      </c>
      <c r="G187">
        <v>9281008353</v>
      </c>
      <c r="H187" t="s">
        <v>4491</v>
      </c>
      <c r="I187" t="s">
        <v>4491</v>
      </c>
      <c r="J187" t="s">
        <v>4432</v>
      </c>
      <c r="K187">
        <v>0.5</v>
      </c>
      <c r="L187">
        <v>6.8</v>
      </c>
      <c r="M187">
        <v>7.9</v>
      </c>
      <c r="N187" t="s">
        <v>4390</v>
      </c>
      <c r="O187" t="s">
        <v>4369</v>
      </c>
      <c r="P187" s="1">
        <v>45757</v>
      </c>
      <c r="Q187" t="str">
        <f t="shared" si="8"/>
        <v>10+ Years</v>
      </c>
      <c r="R187" t="str">
        <f>IF(Table7[[#This Row],[Age]]&lt;=25,"20-25",IF(Table7[[#This Row],[Age]]&lt;=30,"26-30",IF(Table7[[#This Row],[Age]]&lt;=35,"31-35","36+")))</f>
        <v>20-25</v>
      </c>
      <c r="S187" t="str">
        <f t="shared" si="9"/>
        <v>April</v>
      </c>
      <c r="T187" s="2" t="str">
        <f t="shared" si="10"/>
        <v>Q2</v>
      </c>
      <c r="U187" s="2">
        <f t="shared" si="11"/>
        <v>2025</v>
      </c>
    </row>
    <row r="188" spans="1:21" x14ac:dyDescent="0.3">
      <c r="A188" t="s">
        <v>2080</v>
      </c>
      <c r="B188" t="s">
        <v>4874</v>
      </c>
      <c r="C188" t="s">
        <v>4875</v>
      </c>
      <c r="D188" t="s">
        <v>4363</v>
      </c>
      <c r="E188">
        <v>27</v>
      </c>
      <c r="F188" t="s">
        <v>4876</v>
      </c>
      <c r="G188">
        <v>9994251041</v>
      </c>
      <c r="H188" t="s">
        <v>4365</v>
      </c>
      <c r="I188" t="s">
        <v>4366</v>
      </c>
      <c r="J188" t="s">
        <v>4367</v>
      </c>
      <c r="K188">
        <v>0.6</v>
      </c>
      <c r="L188">
        <v>4.2</v>
      </c>
      <c r="M188">
        <v>5.6</v>
      </c>
      <c r="N188" t="s">
        <v>4390</v>
      </c>
      <c r="O188" t="s">
        <v>4400</v>
      </c>
      <c r="P188" s="1">
        <v>45886</v>
      </c>
      <c r="Q188" t="str">
        <f t="shared" si="8"/>
        <v>10+ Years</v>
      </c>
      <c r="R188" t="str">
        <f>IF(Table7[[#This Row],[Age]]&lt;=25,"20-25",IF(Table7[[#This Row],[Age]]&lt;=30,"26-30",IF(Table7[[#This Row],[Age]]&lt;=35,"31-35","36+")))</f>
        <v>26-30</v>
      </c>
      <c r="S188" t="str">
        <f t="shared" si="9"/>
        <v>August</v>
      </c>
      <c r="T188" s="2" t="str">
        <f t="shared" si="10"/>
        <v>Q3</v>
      </c>
      <c r="U188" s="2">
        <f t="shared" si="11"/>
        <v>2025</v>
      </c>
    </row>
    <row r="189" spans="1:21" x14ac:dyDescent="0.3">
      <c r="A189" t="s">
        <v>398</v>
      </c>
      <c r="B189" t="s">
        <v>4877</v>
      </c>
      <c r="C189" t="s">
        <v>4878</v>
      </c>
      <c r="D189" t="s">
        <v>4363</v>
      </c>
      <c r="E189">
        <v>30</v>
      </c>
      <c r="F189" t="s">
        <v>4879</v>
      </c>
      <c r="G189">
        <v>9123338996</v>
      </c>
      <c r="H189" t="s">
        <v>4395</v>
      </c>
      <c r="I189" t="s">
        <v>4396</v>
      </c>
      <c r="J189" t="s">
        <v>4367</v>
      </c>
      <c r="K189">
        <v>1.7</v>
      </c>
      <c r="L189">
        <v>8.4</v>
      </c>
      <c r="M189">
        <v>12.1</v>
      </c>
      <c r="N189" t="s">
        <v>4368</v>
      </c>
      <c r="O189" t="s">
        <v>4369</v>
      </c>
      <c r="P189" s="1">
        <v>45717</v>
      </c>
      <c r="Q189" t="str">
        <f t="shared" si="8"/>
        <v>10+ Years</v>
      </c>
      <c r="R189" t="str">
        <f>IF(Table7[[#This Row],[Age]]&lt;=25,"20-25",IF(Table7[[#This Row],[Age]]&lt;=30,"26-30",IF(Table7[[#This Row],[Age]]&lt;=35,"31-35","36+")))</f>
        <v>26-30</v>
      </c>
      <c r="S189" t="str">
        <f t="shared" si="9"/>
        <v>March</v>
      </c>
      <c r="T189" s="2" t="str">
        <f t="shared" si="10"/>
        <v>Q1</v>
      </c>
      <c r="U189" s="2">
        <f t="shared" si="11"/>
        <v>2025</v>
      </c>
    </row>
    <row r="190" spans="1:21" x14ac:dyDescent="0.3">
      <c r="A190" t="s">
        <v>2556</v>
      </c>
      <c r="B190" t="s">
        <v>4880</v>
      </c>
      <c r="C190" t="s">
        <v>4881</v>
      </c>
      <c r="D190" t="s">
        <v>4363</v>
      </c>
      <c r="E190">
        <v>29</v>
      </c>
      <c r="F190" t="s">
        <v>4882</v>
      </c>
      <c r="G190">
        <v>9456459817</v>
      </c>
      <c r="H190" t="s">
        <v>4365</v>
      </c>
      <c r="I190" t="s">
        <v>4366</v>
      </c>
      <c r="J190" t="s">
        <v>4389</v>
      </c>
      <c r="K190">
        <v>9.1</v>
      </c>
      <c r="L190">
        <v>13.8</v>
      </c>
      <c r="M190">
        <v>16.3</v>
      </c>
      <c r="N190" t="s">
        <v>4390</v>
      </c>
      <c r="O190" t="s">
        <v>4485</v>
      </c>
      <c r="P190" s="1">
        <v>45882</v>
      </c>
      <c r="Q190" t="str">
        <f t="shared" si="8"/>
        <v>10+ Years</v>
      </c>
      <c r="R190" t="str">
        <f>IF(Table7[[#This Row],[Age]]&lt;=25,"20-25",IF(Table7[[#This Row],[Age]]&lt;=30,"26-30",IF(Table7[[#This Row],[Age]]&lt;=35,"31-35","36+")))</f>
        <v>26-30</v>
      </c>
      <c r="S190" t="str">
        <f t="shared" si="9"/>
        <v>August</v>
      </c>
      <c r="T190" s="2" t="str">
        <f t="shared" si="10"/>
        <v>Q3</v>
      </c>
      <c r="U190" s="2">
        <f t="shared" si="11"/>
        <v>2025</v>
      </c>
    </row>
    <row r="191" spans="1:21" x14ac:dyDescent="0.3">
      <c r="A191" t="s">
        <v>2258</v>
      </c>
      <c r="B191" t="s">
        <v>4883</v>
      </c>
      <c r="C191" t="s">
        <v>4884</v>
      </c>
      <c r="D191" t="s">
        <v>4363</v>
      </c>
      <c r="E191">
        <v>21</v>
      </c>
      <c r="F191" t="s">
        <v>4885</v>
      </c>
      <c r="G191">
        <v>9549106497</v>
      </c>
      <c r="H191" t="s">
        <v>4381</v>
      </c>
      <c r="I191" t="s">
        <v>4382</v>
      </c>
      <c r="J191" t="s">
        <v>4432</v>
      </c>
      <c r="K191">
        <v>2.1</v>
      </c>
      <c r="L191">
        <v>11.3</v>
      </c>
      <c r="M191">
        <v>12.8</v>
      </c>
      <c r="N191" t="s">
        <v>4390</v>
      </c>
      <c r="O191" t="s">
        <v>4391</v>
      </c>
      <c r="P191" s="1">
        <v>45743</v>
      </c>
      <c r="Q191" t="str">
        <f t="shared" si="8"/>
        <v>10+ Years</v>
      </c>
      <c r="R191" t="str">
        <f>IF(Table7[[#This Row],[Age]]&lt;=25,"20-25",IF(Table7[[#This Row],[Age]]&lt;=30,"26-30",IF(Table7[[#This Row],[Age]]&lt;=35,"31-35","36+")))</f>
        <v>20-25</v>
      </c>
      <c r="S191" t="str">
        <f t="shared" si="9"/>
        <v>March</v>
      </c>
      <c r="T191" s="2" t="str">
        <f t="shared" si="10"/>
        <v>Q1</v>
      </c>
      <c r="U191" s="2">
        <f t="shared" si="11"/>
        <v>2025</v>
      </c>
    </row>
    <row r="192" spans="1:21" x14ac:dyDescent="0.3">
      <c r="A192" t="s">
        <v>237</v>
      </c>
      <c r="B192" t="s">
        <v>4886</v>
      </c>
      <c r="C192" t="s">
        <v>4887</v>
      </c>
      <c r="D192" t="s">
        <v>4372</v>
      </c>
      <c r="E192">
        <v>25</v>
      </c>
      <c r="F192" t="s">
        <v>4888</v>
      </c>
      <c r="G192">
        <v>9441521687</v>
      </c>
      <c r="H192" t="s">
        <v>4491</v>
      </c>
      <c r="I192" t="s">
        <v>4491</v>
      </c>
      <c r="J192" t="s">
        <v>4450</v>
      </c>
      <c r="K192">
        <v>7</v>
      </c>
      <c r="L192">
        <v>12.4</v>
      </c>
      <c r="M192">
        <v>14.4</v>
      </c>
      <c r="N192" t="s">
        <v>4494</v>
      </c>
      <c r="O192" t="s">
        <v>4369</v>
      </c>
      <c r="P192" s="1">
        <v>46000</v>
      </c>
      <c r="Q192" t="str">
        <f t="shared" si="8"/>
        <v>10+ Years</v>
      </c>
      <c r="R192" t="str">
        <f>IF(Table7[[#This Row],[Age]]&lt;=25,"20-25",IF(Table7[[#This Row],[Age]]&lt;=30,"26-30",IF(Table7[[#This Row],[Age]]&lt;=35,"31-35","36+")))</f>
        <v>20-25</v>
      </c>
      <c r="S192" t="str">
        <f t="shared" si="9"/>
        <v>December</v>
      </c>
      <c r="T192" s="2" t="str">
        <f t="shared" si="10"/>
        <v>Q4</v>
      </c>
      <c r="U192" s="2">
        <f t="shared" si="11"/>
        <v>2025</v>
      </c>
    </row>
    <row r="193" spans="1:21" x14ac:dyDescent="0.3">
      <c r="A193" t="s">
        <v>3475</v>
      </c>
      <c r="B193" t="s">
        <v>4889</v>
      </c>
      <c r="C193" t="s">
        <v>4890</v>
      </c>
      <c r="D193" t="s">
        <v>4363</v>
      </c>
      <c r="E193">
        <v>23</v>
      </c>
      <c r="F193" t="s">
        <v>4891</v>
      </c>
      <c r="G193">
        <v>9612663781</v>
      </c>
      <c r="H193" t="s">
        <v>4506</v>
      </c>
      <c r="I193" t="s">
        <v>4507</v>
      </c>
      <c r="J193" t="s">
        <v>4432</v>
      </c>
      <c r="K193">
        <v>0.2</v>
      </c>
      <c r="L193">
        <v>5.7</v>
      </c>
      <c r="M193">
        <v>6.9</v>
      </c>
      <c r="N193" t="s">
        <v>4368</v>
      </c>
      <c r="O193" t="s">
        <v>4391</v>
      </c>
      <c r="P193" s="1">
        <v>45791</v>
      </c>
      <c r="Q193" t="str">
        <f t="shared" si="8"/>
        <v>10+ Years</v>
      </c>
      <c r="R193" t="str">
        <f>IF(Table7[[#This Row],[Age]]&lt;=25,"20-25",IF(Table7[[#This Row],[Age]]&lt;=30,"26-30",IF(Table7[[#This Row],[Age]]&lt;=35,"31-35","36+")))</f>
        <v>20-25</v>
      </c>
      <c r="S193" t="str">
        <f t="shared" si="9"/>
        <v>May</v>
      </c>
      <c r="T193" s="2" t="str">
        <f t="shared" si="10"/>
        <v>Q2</v>
      </c>
      <c r="U193" s="2">
        <f t="shared" si="11"/>
        <v>2025</v>
      </c>
    </row>
    <row r="194" spans="1:21" x14ac:dyDescent="0.3">
      <c r="A194" t="s">
        <v>4892</v>
      </c>
      <c r="B194" t="s">
        <v>4893</v>
      </c>
      <c r="C194" t="s">
        <v>4894</v>
      </c>
      <c r="D194" t="s">
        <v>4720</v>
      </c>
      <c r="E194">
        <v>35</v>
      </c>
      <c r="F194" t="s">
        <v>4895</v>
      </c>
      <c r="G194">
        <v>9204759463</v>
      </c>
      <c r="H194" t="s">
        <v>4381</v>
      </c>
      <c r="I194" t="s">
        <v>4382</v>
      </c>
      <c r="J194" t="s">
        <v>4432</v>
      </c>
      <c r="K194">
        <v>3.7</v>
      </c>
      <c r="L194">
        <v>14.9</v>
      </c>
      <c r="M194">
        <v>21.1</v>
      </c>
      <c r="N194" t="s">
        <v>4406</v>
      </c>
      <c r="O194" t="s">
        <v>4456</v>
      </c>
      <c r="P194" s="1">
        <v>45808</v>
      </c>
      <c r="Q194" t="str">
        <f t="shared" ref="Q194:Q257" si="12">IF(P194&lt;=2,"0-2 Years",IF(P194&lt;=5,"3-5 Years",IF(P194&lt;=10,"6-10 Years","10+ Years")))</f>
        <v>10+ Years</v>
      </c>
      <c r="R194" t="str">
        <f>IF(Table7[[#This Row],[Age]]&lt;=25,"20-25",IF(Table7[[#This Row],[Age]]&lt;=30,"26-30",IF(Table7[[#This Row],[Age]]&lt;=35,"31-35","36+")))</f>
        <v>31-35</v>
      </c>
      <c r="S194" t="str">
        <f t="shared" ref="S194:S257" si="13">TEXT(P194,"mmmm")</f>
        <v>May</v>
      </c>
      <c r="T194" s="2" t="str">
        <f t="shared" ref="T194:T257" si="14">"Q"&amp;ROUNDUP(MONTH(P194)/3,0)</f>
        <v>Q2</v>
      </c>
      <c r="U194" s="2">
        <f t="shared" ref="U194:U257" si="15">YEAR(P194)</f>
        <v>2025</v>
      </c>
    </row>
    <row r="195" spans="1:21" x14ac:dyDescent="0.3">
      <c r="A195" t="s">
        <v>227</v>
      </c>
      <c r="B195" t="s">
        <v>4679</v>
      </c>
      <c r="C195" t="s">
        <v>4896</v>
      </c>
      <c r="D195" t="s">
        <v>4372</v>
      </c>
      <c r="E195">
        <v>43</v>
      </c>
      <c r="F195" t="s">
        <v>4897</v>
      </c>
      <c r="G195">
        <v>9117210500</v>
      </c>
      <c r="H195" t="s">
        <v>4491</v>
      </c>
      <c r="I195" t="s">
        <v>4491</v>
      </c>
      <c r="J195" t="s">
        <v>4446</v>
      </c>
      <c r="K195">
        <v>4.0999999999999996</v>
      </c>
      <c r="L195">
        <v>10.6</v>
      </c>
      <c r="M195">
        <v>13.1</v>
      </c>
      <c r="N195" t="s">
        <v>4406</v>
      </c>
      <c r="O195" t="s">
        <v>4369</v>
      </c>
      <c r="P195" s="1">
        <v>45927</v>
      </c>
      <c r="Q195" t="str">
        <f t="shared" si="12"/>
        <v>10+ Years</v>
      </c>
      <c r="R195" t="str">
        <f>IF(Table7[[#This Row],[Age]]&lt;=25,"20-25",IF(Table7[[#This Row],[Age]]&lt;=30,"26-30",IF(Table7[[#This Row],[Age]]&lt;=35,"31-35","36+")))</f>
        <v>36+</v>
      </c>
      <c r="S195" t="str">
        <f t="shared" si="13"/>
        <v>September</v>
      </c>
      <c r="T195" s="2" t="str">
        <f t="shared" si="14"/>
        <v>Q3</v>
      </c>
      <c r="U195" s="2">
        <f t="shared" si="15"/>
        <v>2025</v>
      </c>
    </row>
    <row r="196" spans="1:21" x14ac:dyDescent="0.3">
      <c r="A196" t="s">
        <v>755</v>
      </c>
      <c r="B196" t="s">
        <v>4898</v>
      </c>
      <c r="C196" t="s">
        <v>4899</v>
      </c>
      <c r="D196" t="s">
        <v>4372</v>
      </c>
      <c r="E196">
        <v>37</v>
      </c>
      <c r="F196" t="s">
        <v>4900</v>
      </c>
      <c r="G196">
        <v>9567345470</v>
      </c>
      <c r="H196" t="s">
        <v>4410</v>
      </c>
      <c r="I196" t="s">
        <v>4411</v>
      </c>
      <c r="J196" t="s">
        <v>4450</v>
      </c>
      <c r="K196">
        <v>0.4</v>
      </c>
      <c r="L196">
        <v>7</v>
      </c>
      <c r="M196">
        <v>8.3000000000000007</v>
      </c>
      <c r="N196" t="s">
        <v>4390</v>
      </c>
      <c r="O196" t="s">
        <v>4369</v>
      </c>
      <c r="P196" s="1">
        <v>45750</v>
      </c>
      <c r="Q196" t="str">
        <f t="shared" si="12"/>
        <v>10+ Years</v>
      </c>
      <c r="R196" t="str">
        <f>IF(Table7[[#This Row],[Age]]&lt;=25,"20-25",IF(Table7[[#This Row],[Age]]&lt;=30,"26-30",IF(Table7[[#This Row],[Age]]&lt;=35,"31-35","36+")))</f>
        <v>36+</v>
      </c>
      <c r="S196" t="str">
        <f t="shared" si="13"/>
        <v>April</v>
      </c>
      <c r="T196" s="2" t="str">
        <f t="shared" si="14"/>
        <v>Q2</v>
      </c>
      <c r="U196" s="2">
        <f t="shared" si="15"/>
        <v>2025</v>
      </c>
    </row>
    <row r="197" spans="1:21" x14ac:dyDescent="0.3">
      <c r="A197" t="s">
        <v>321</v>
      </c>
      <c r="B197" t="s">
        <v>4901</v>
      </c>
      <c r="C197" t="s">
        <v>4902</v>
      </c>
      <c r="D197" t="s">
        <v>4372</v>
      </c>
      <c r="E197">
        <v>29</v>
      </c>
      <c r="F197" t="s">
        <v>4903</v>
      </c>
      <c r="G197">
        <v>9864094322</v>
      </c>
      <c r="H197" t="s">
        <v>4395</v>
      </c>
      <c r="I197" t="s">
        <v>4396</v>
      </c>
      <c r="J197" t="s">
        <v>4367</v>
      </c>
      <c r="K197">
        <v>1.1000000000000001</v>
      </c>
      <c r="L197">
        <v>10</v>
      </c>
      <c r="M197">
        <v>11.5</v>
      </c>
      <c r="N197" t="s">
        <v>4406</v>
      </c>
      <c r="O197" t="s">
        <v>4383</v>
      </c>
      <c r="P197" s="1">
        <v>45911</v>
      </c>
      <c r="Q197" t="str">
        <f t="shared" si="12"/>
        <v>10+ Years</v>
      </c>
      <c r="R197" t="str">
        <f>IF(Table7[[#This Row],[Age]]&lt;=25,"20-25",IF(Table7[[#This Row],[Age]]&lt;=30,"26-30",IF(Table7[[#This Row],[Age]]&lt;=35,"31-35","36+")))</f>
        <v>26-30</v>
      </c>
      <c r="S197" t="str">
        <f t="shared" si="13"/>
        <v>September</v>
      </c>
      <c r="T197" s="2" t="str">
        <f t="shared" si="14"/>
        <v>Q3</v>
      </c>
      <c r="U197" s="2">
        <f t="shared" si="15"/>
        <v>2025</v>
      </c>
    </row>
    <row r="198" spans="1:21" x14ac:dyDescent="0.3">
      <c r="A198" t="s">
        <v>4904</v>
      </c>
      <c r="B198" t="s">
        <v>4898</v>
      </c>
      <c r="C198" t="s">
        <v>4905</v>
      </c>
      <c r="D198" t="s">
        <v>4363</v>
      </c>
      <c r="E198">
        <v>33</v>
      </c>
      <c r="F198" t="s">
        <v>4906</v>
      </c>
      <c r="G198">
        <v>9321225083</v>
      </c>
      <c r="H198" t="s">
        <v>4395</v>
      </c>
      <c r="I198" t="s">
        <v>4396</v>
      </c>
      <c r="J198" t="s">
        <v>4376</v>
      </c>
      <c r="K198">
        <v>2.6</v>
      </c>
      <c r="L198">
        <v>11.7</v>
      </c>
      <c r="M198">
        <v>15.8</v>
      </c>
      <c r="N198" t="s">
        <v>4377</v>
      </c>
      <c r="O198" t="s">
        <v>4383</v>
      </c>
      <c r="P198" s="1">
        <v>45761</v>
      </c>
      <c r="Q198" t="str">
        <f t="shared" si="12"/>
        <v>10+ Years</v>
      </c>
      <c r="R198" t="str">
        <f>IF(Table7[[#This Row],[Age]]&lt;=25,"20-25",IF(Table7[[#This Row],[Age]]&lt;=30,"26-30",IF(Table7[[#This Row],[Age]]&lt;=35,"31-35","36+")))</f>
        <v>31-35</v>
      </c>
      <c r="S198" t="str">
        <f t="shared" si="13"/>
        <v>April</v>
      </c>
      <c r="T198" s="2" t="str">
        <f t="shared" si="14"/>
        <v>Q2</v>
      </c>
      <c r="U198" s="2">
        <f t="shared" si="15"/>
        <v>2025</v>
      </c>
    </row>
    <row r="199" spans="1:21" x14ac:dyDescent="0.3">
      <c r="A199" t="s">
        <v>2182</v>
      </c>
      <c r="B199" t="s">
        <v>4907</v>
      </c>
      <c r="C199" t="s">
        <v>4908</v>
      </c>
      <c r="D199" t="s">
        <v>4372</v>
      </c>
      <c r="E199">
        <v>29</v>
      </c>
      <c r="F199" t="s">
        <v>4909</v>
      </c>
      <c r="G199">
        <v>9886747013</v>
      </c>
      <c r="H199" t="s">
        <v>4374</v>
      </c>
      <c r="I199" t="s">
        <v>4375</v>
      </c>
      <c r="J199" t="s">
        <v>4482</v>
      </c>
      <c r="K199">
        <v>1.8</v>
      </c>
      <c r="L199">
        <v>3</v>
      </c>
      <c r="M199">
        <v>4.0999999999999996</v>
      </c>
      <c r="N199" t="s">
        <v>4406</v>
      </c>
      <c r="O199" t="s">
        <v>4400</v>
      </c>
      <c r="P199" s="1">
        <v>45829</v>
      </c>
      <c r="Q199" t="str">
        <f t="shared" si="12"/>
        <v>10+ Years</v>
      </c>
      <c r="R199" t="str">
        <f>IF(Table7[[#This Row],[Age]]&lt;=25,"20-25",IF(Table7[[#This Row],[Age]]&lt;=30,"26-30",IF(Table7[[#This Row],[Age]]&lt;=35,"31-35","36+")))</f>
        <v>26-30</v>
      </c>
      <c r="S199" t="str">
        <f t="shared" si="13"/>
        <v>June</v>
      </c>
      <c r="T199" s="2" t="str">
        <f t="shared" si="14"/>
        <v>Q2</v>
      </c>
      <c r="U199" s="2">
        <f t="shared" si="15"/>
        <v>2025</v>
      </c>
    </row>
    <row r="200" spans="1:21" x14ac:dyDescent="0.3">
      <c r="A200" t="s">
        <v>3637</v>
      </c>
      <c r="B200" t="s">
        <v>4910</v>
      </c>
      <c r="C200" t="s">
        <v>4911</v>
      </c>
      <c r="D200" t="s">
        <v>4372</v>
      </c>
      <c r="E200">
        <v>28</v>
      </c>
      <c r="F200" t="s">
        <v>4912</v>
      </c>
      <c r="G200">
        <v>9629373090</v>
      </c>
      <c r="H200" t="s">
        <v>4445</v>
      </c>
      <c r="I200" t="s">
        <v>4396</v>
      </c>
      <c r="J200" t="s">
        <v>4367</v>
      </c>
      <c r="K200">
        <v>4</v>
      </c>
      <c r="L200">
        <v>9</v>
      </c>
      <c r="M200">
        <v>12.8</v>
      </c>
      <c r="N200" t="s">
        <v>4390</v>
      </c>
      <c r="O200" t="s">
        <v>4485</v>
      </c>
      <c r="P200" s="1">
        <v>45794</v>
      </c>
      <c r="Q200" t="str">
        <f t="shared" si="12"/>
        <v>10+ Years</v>
      </c>
      <c r="R200" t="str">
        <f>IF(Table7[[#This Row],[Age]]&lt;=25,"20-25",IF(Table7[[#This Row],[Age]]&lt;=30,"26-30",IF(Table7[[#This Row],[Age]]&lt;=35,"31-35","36+")))</f>
        <v>26-30</v>
      </c>
      <c r="S200" t="str">
        <f t="shared" si="13"/>
        <v>May</v>
      </c>
      <c r="T200" s="2" t="str">
        <f t="shared" si="14"/>
        <v>Q2</v>
      </c>
      <c r="U200" s="2">
        <f t="shared" si="15"/>
        <v>2025</v>
      </c>
    </row>
    <row r="201" spans="1:21" x14ac:dyDescent="0.3">
      <c r="A201" t="s">
        <v>864</v>
      </c>
      <c r="B201" t="s">
        <v>4913</v>
      </c>
      <c r="C201" t="s">
        <v>4662</v>
      </c>
      <c r="D201" t="s">
        <v>4372</v>
      </c>
      <c r="E201">
        <v>36</v>
      </c>
      <c r="F201" t="s">
        <v>4914</v>
      </c>
      <c r="G201">
        <v>9992948204</v>
      </c>
      <c r="H201" t="s">
        <v>4476</v>
      </c>
      <c r="I201" t="s">
        <v>4477</v>
      </c>
      <c r="J201" t="s">
        <v>4367</v>
      </c>
      <c r="K201">
        <v>6.3</v>
      </c>
      <c r="L201">
        <v>14.7</v>
      </c>
      <c r="M201">
        <v>19.899999999999999</v>
      </c>
      <c r="N201" t="s">
        <v>4390</v>
      </c>
      <c r="O201" t="s">
        <v>4485</v>
      </c>
      <c r="P201" s="1">
        <v>45840</v>
      </c>
      <c r="Q201" t="str">
        <f t="shared" si="12"/>
        <v>10+ Years</v>
      </c>
      <c r="R201" t="str">
        <f>IF(Table7[[#This Row],[Age]]&lt;=25,"20-25",IF(Table7[[#This Row],[Age]]&lt;=30,"26-30",IF(Table7[[#This Row],[Age]]&lt;=35,"31-35","36+")))</f>
        <v>36+</v>
      </c>
      <c r="S201" t="str">
        <f t="shared" si="13"/>
        <v>July</v>
      </c>
      <c r="T201" s="2" t="str">
        <f t="shared" si="14"/>
        <v>Q3</v>
      </c>
      <c r="U201" s="2">
        <f t="shared" si="15"/>
        <v>2025</v>
      </c>
    </row>
    <row r="202" spans="1:21" x14ac:dyDescent="0.3">
      <c r="A202" t="s">
        <v>1009</v>
      </c>
      <c r="B202" t="s">
        <v>4715</v>
      </c>
      <c r="C202" t="s">
        <v>4915</v>
      </c>
      <c r="D202" t="s">
        <v>4372</v>
      </c>
      <c r="E202">
        <v>35</v>
      </c>
      <c r="F202" t="s">
        <v>4916</v>
      </c>
      <c r="G202">
        <v>9653648588</v>
      </c>
      <c r="H202" t="s">
        <v>4445</v>
      </c>
      <c r="I202" t="s">
        <v>4396</v>
      </c>
      <c r="J202" t="s">
        <v>4367</v>
      </c>
      <c r="K202">
        <v>1.4</v>
      </c>
      <c r="L202">
        <v>4.0999999999999996</v>
      </c>
      <c r="M202">
        <v>5.6</v>
      </c>
      <c r="N202" t="s">
        <v>4377</v>
      </c>
      <c r="O202" t="s">
        <v>4485</v>
      </c>
      <c r="P202" s="1">
        <v>45822</v>
      </c>
      <c r="Q202" t="str">
        <f t="shared" si="12"/>
        <v>10+ Years</v>
      </c>
      <c r="R202" t="str">
        <f>IF(Table7[[#This Row],[Age]]&lt;=25,"20-25",IF(Table7[[#This Row],[Age]]&lt;=30,"26-30",IF(Table7[[#This Row],[Age]]&lt;=35,"31-35","36+")))</f>
        <v>31-35</v>
      </c>
      <c r="S202" t="str">
        <f t="shared" si="13"/>
        <v>June</v>
      </c>
      <c r="T202" s="2" t="str">
        <f t="shared" si="14"/>
        <v>Q2</v>
      </c>
      <c r="U202" s="2">
        <f t="shared" si="15"/>
        <v>2025</v>
      </c>
    </row>
    <row r="203" spans="1:21" x14ac:dyDescent="0.3">
      <c r="A203" t="s">
        <v>1368</v>
      </c>
      <c r="B203" t="s">
        <v>4619</v>
      </c>
      <c r="C203" t="s">
        <v>4434</v>
      </c>
      <c r="D203" t="s">
        <v>4363</v>
      </c>
      <c r="E203">
        <v>34</v>
      </c>
      <c r="F203" t="s">
        <v>4917</v>
      </c>
      <c r="G203">
        <v>9718810062</v>
      </c>
      <c r="H203" t="s">
        <v>4473</v>
      </c>
      <c r="I203" t="s">
        <v>4473</v>
      </c>
      <c r="K203">
        <v>1</v>
      </c>
      <c r="L203">
        <v>2.9</v>
      </c>
      <c r="M203">
        <v>3.5</v>
      </c>
      <c r="N203" t="s">
        <v>4406</v>
      </c>
      <c r="O203" t="s">
        <v>4400</v>
      </c>
      <c r="P203" s="1">
        <v>45886</v>
      </c>
      <c r="Q203" t="str">
        <f t="shared" si="12"/>
        <v>10+ Years</v>
      </c>
      <c r="R203" t="str">
        <f>IF(Table7[[#This Row],[Age]]&lt;=25,"20-25",IF(Table7[[#This Row],[Age]]&lt;=30,"26-30",IF(Table7[[#This Row],[Age]]&lt;=35,"31-35","36+")))</f>
        <v>31-35</v>
      </c>
      <c r="S203" t="str">
        <f t="shared" si="13"/>
        <v>August</v>
      </c>
      <c r="T203" s="2" t="str">
        <f t="shared" si="14"/>
        <v>Q3</v>
      </c>
      <c r="U203" s="2">
        <f t="shared" si="15"/>
        <v>2025</v>
      </c>
    </row>
    <row r="204" spans="1:21" x14ac:dyDescent="0.3">
      <c r="A204" t="s">
        <v>4918</v>
      </c>
      <c r="B204" t="s">
        <v>4919</v>
      </c>
      <c r="C204" t="s">
        <v>4652</v>
      </c>
      <c r="D204" t="s">
        <v>4372</v>
      </c>
      <c r="E204">
        <v>30</v>
      </c>
      <c r="F204" t="s">
        <v>4920</v>
      </c>
      <c r="G204">
        <v>9963827604</v>
      </c>
      <c r="H204" t="s">
        <v>4374</v>
      </c>
      <c r="I204" t="s">
        <v>4375</v>
      </c>
      <c r="J204" t="s">
        <v>4367</v>
      </c>
      <c r="K204">
        <v>2.4</v>
      </c>
      <c r="L204">
        <v>9</v>
      </c>
      <c r="M204">
        <v>10.8</v>
      </c>
      <c r="O204" t="s">
        <v>4383</v>
      </c>
      <c r="P204" s="1">
        <v>45743</v>
      </c>
      <c r="Q204" t="str">
        <f t="shared" si="12"/>
        <v>10+ Years</v>
      </c>
      <c r="R204" t="str">
        <f>IF(Table7[[#This Row],[Age]]&lt;=25,"20-25",IF(Table7[[#This Row],[Age]]&lt;=30,"26-30",IF(Table7[[#This Row],[Age]]&lt;=35,"31-35","36+")))</f>
        <v>26-30</v>
      </c>
      <c r="S204" t="str">
        <f t="shared" si="13"/>
        <v>March</v>
      </c>
      <c r="T204" s="2" t="str">
        <f t="shared" si="14"/>
        <v>Q1</v>
      </c>
      <c r="U204" s="2">
        <f t="shared" si="15"/>
        <v>2025</v>
      </c>
    </row>
    <row r="205" spans="1:21" x14ac:dyDescent="0.3">
      <c r="A205" t="s">
        <v>1226</v>
      </c>
      <c r="B205" t="s">
        <v>4921</v>
      </c>
      <c r="C205" t="s">
        <v>4922</v>
      </c>
      <c r="D205" t="s">
        <v>4372</v>
      </c>
      <c r="E205">
        <v>23</v>
      </c>
      <c r="F205" t="s">
        <v>4923</v>
      </c>
      <c r="G205">
        <v>9696313505</v>
      </c>
      <c r="H205" t="s">
        <v>4506</v>
      </c>
      <c r="I205" t="s">
        <v>4507</v>
      </c>
      <c r="J205" t="s">
        <v>4618</v>
      </c>
      <c r="K205">
        <v>8.6999999999999993</v>
      </c>
      <c r="L205">
        <v>11.4</v>
      </c>
      <c r="M205">
        <v>12.8</v>
      </c>
      <c r="N205" t="s">
        <v>4377</v>
      </c>
      <c r="O205" t="s">
        <v>4400</v>
      </c>
      <c r="P205" s="1">
        <v>45791</v>
      </c>
      <c r="Q205" t="str">
        <f t="shared" si="12"/>
        <v>10+ Years</v>
      </c>
      <c r="R205" t="str">
        <f>IF(Table7[[#This Row],[Age]]&lt;=25,"20-25",IF(Table7[[#This Row],[Age]]&lt;=30,"26-30",IF(Table7[[#This Row],[Age]]&lt;=35,"31-35","36+")))</f>
        <v>20-25</v>
      </c>
      <c r="S205" t="str">
        <f t="shared" si="13"/>
        <v>May</v>
      </c>
      <c r="T205" s="2" t="str">
        <f t="shared" si="14"/>
        <v>Q2</v>
      </c>
      <c r="U205" s="2">
        <f t="shared" si="15"/>
        <v>2025</v>
      </c>
    </row>
    <row r="206" spans="1:21" x14ac:dyDescent="0.3">
      <c r="A206" t="s">
        <v>3599</v>
      </c>
      <c r="B206" t="s">
        <v>4566</v>
      </c>
      <c r="C206" t="s">
        <v>4924</v>
      </c>
      <c r="D206" t="s">
        <v>4372</v>
      </c>
      <c r="E206">
        <v>25</v>
      </c>
      <c r="F206" t="s">
        <v>4925</v>
      </c>
      <c r="G206">
        <v>9783798727</v>
      </c>
      <c r="H206" t="s">
        <v>4521</v>
      </c>
      <c r="I206" t="s">
        <v>4522</v>
      </c>
      <c r="J206" t="s">
        <v>4415</v>
      </c>
      <c r="K206">
        <v>1.7</v>
      </c>
      <c r="L206">
        <v>9.5</v>
      </c>
      <c r="M206">
        <v>11.4</v>
      </c>
      <c r="N206" t="s">
        <v>4390</v>
      </c>
      <c r="O206" t="s">
        <v>4391</v>
      </c>
      <c r="P206" s="1">
        <v>45706</v>
      </c>
      <c r="Q206" t="str">
        <f t="shared" si="12"/>
        <v>10+ Years</v>
      </c>
      <c r="R206" t="str">
        <f>IF(Table7[[#This Row],[Age]]&lt;=25,"20-25",IF(Table7[[#This Row],[Age]]&lt;=30,"26-30",IF(Table7[[#This Row],[Age]]&lt;=35,"31-35","36+")))</f>
        <v>20-25</v>
      </c>
      <c r="S206" t="str">
        <f t="shared" si="13"/>
        <v>February</v>
      </c>
      <c r="T206" s="2" t="str">
        <f t="shared" si="14"/>
        <v>Q1</v>
      </c>
      <c r="U206" s="2">
        <f t="shared" si="15"/>
        <v>2025</v>
      </c>
    </row>
    <row r="207" spans="1:21" x14ac:dyDescent="0.3">
      <c r="A207" t="s">
        <v>3013</v>
      </c>
      <c r="B207" t="s">
        <v>4926</v>
      </c>
      <c r="C207" t="s">
        <v>4927</v>
      </c>
      <c r="D207" t="s">
        <v>4363</v>
      </c>
      <c r="E207">
        <v>21</v>
      </c>
      <c r="F207" t="s">
        <v>4928</v>
      </c>
      <c r="G207">
        <v>9393145555</v>
      </c>
      <c r="H207" t="s">
        <v>4445</v>
      </c>
      <c r="I207" t="s">
        <v>4396</v>
      </c>
      <c r="J207" t="s">
        <v>4415</v>
      </c>
      <c r="K207">
        <v>2</v>
      </c>
      <c r="L207">
        <v>9.6</v>
      </c>
      <c r="M207">
        <v>12.6</v>
      </c>
      <c r="N207" t="s">
        <v>4377</v>
      </c>
      <c r="O207" t="s">
        <v>4369</v>
      </c>
      <c r="P207" s="1">
        <v>45720</v>
      </c>
      <c r="Q207" t="str">
        <f t="shared" si="12"/>
        <v>10+ Years</v>
      </c>
      <c r="R207" t="str">
        <f>IF(Table7[[#This Row],[Age]]&lt;=25,"20-25",IF(Table7[[#This Row],[Age]]&lt;=30,"26-30",IF(Table7[[#This Row],[Age]]&lt;=35,"31-35","36+")))</f>
        <v>20-25</v>
      </c>
      <c r="S207" t="str">
        <f t="shared" si="13"/>
        <v>March</v>
      </c>
      <c r="T207" s="2" t="str">
        <f t="shared" si="14"/>
        <v>Q1</v>
      </c>
      <c r="U207" s="2">
        <f t="shared" si="15"/>
        <v>2025</v>
      </c>
    </row>
    <row r="208" spans="1:21" x14ac:dyDescent="0.3">
      <c r="A208" t="s">
        <v>3624</v>
      </c>
      <c r="B208" t="s">
        <v>4474</v>
      </c>
      <c r="C208" t="s">
        <v>4929</v>
      </c>
      <c r="D208" t="s">
        <v>4372</v>
      </c>
      <c r="E208">
        <v>27</v>
      </c>
      <c r="F208" t="s">
        <v>4930</v>
      </c>
      <c r="G208">
        <v>9681536088</v>
      </c>
      <c r="H208" t="s">
        <v>4521</v>
      </c>
      <c r="I208" t="s">
        <v>4522</v>
      </c>
      <c r="J208" t="s">
        <v>4432</v>
      </c>
      <c r="K208">
        <v>0.2</v>
      </c>
      <c r="L208">
        <v>8.9</v>
      </c>
      <c r="M208">
        <v>10.6</v>
      </c>
      <c r="N208" t="s">
        <v>4390</v>
      </c>
      <c r="O208" t="s">
        <v>4391</v>
      </c>
      <c r="P208" s="1">
        <v>45861</v>
      </c>
      <c r="Q208" t="str">
        <f t="shared" si="12"/>
        <v>10+ Years</v>
      </c>
      <c r="R208" t="str">
        <f>IF(Table7[[#This Row],[Age]]&lt;=25,"20-25",IF(Table7[[#This Row],[Age]]&lt;=30,"26-30",IF(Table7[[#This Row],[Age]]&lt;=35,"31-35","36+")))</f>
        <v>26-30</v>
      </c>
      <c r="S208" t="str">
        <f t="shared" si="13"/>
        <v>July</v>
      </c>
      <c r="T208" s="2" t="str">
        <f t="shared" si="14"/>
        <v>Q3</v>
      </c>
      <c r="U208" s="2">
        <f t="shared" si="15"/>
        <v>2025</v>
      </c>
    </row>
    <row r="209" spans="1:21" x14ac:dyDescent="0.3">
      <c r="A209" t="s">
        <v>651</v>
      </c>
      <c r="B209" t="s">
        <v>4931</v>
      </c>
      <c r="C209" t="s">
        <v>4932</v>
      </c>
      <c r="D209" t="s">
        <v>4372</v>
      </c>
      <c r="E209">
        <v>32</v>
      </c>
      <c r="F209" t="s">
        <v>4933</v>
      </c>
      <c r="G209">
        <v>9781816911</v>
      </c>
      <c r="H209" t="s">
        <v>4381</v>
      </c>
      <c r="I209" t="s">
        <v>4382</v>
      </c>
      <c r="J209" t="s">
        <v>4389</v>
      </c>
      <c r="K209">
        <v>1.2</v>
      </c>
      <c r="L209">
        <v>6</v>
      </c>
      <c r="M209">
        <v>7.9</v>
      </c>
      <c r="N209" t="s">
        <v>4390</v>
      </c>
      <c r="O209" t="s">
        <v>4369</v>
      </c>
      <c r="P209" s="1">
        <v>45684</v>
      </c>
      <c r="Q209" t="str">
        <f t="shared" si="12"/>
        <v>10+ Years</v>
      </c>
      <c r="R209" t="str">
        <f>IF(Table7[[#This Row],[Age]]&lt;=25,"20-25",IF(Table7[[#This Row],[Age]]&lt;=30,"26-30",IF(Table7[[#This Row],[Age]]&lt;=35,"31-35","36+")))</f>
        <v>31-35</v>
      </c>
      <c r="S209" t="str">
        <f t="shared" si="13"/>
        <v>January</v>
      </c>
      <c r="T209" s="2" t="str">
        <f t="shared" si="14"/>
        <v>Q1</v>
      </c>
      <c r="U209" s="2">
        <f t="shared" si="15"/>
        <v>2025</v>
      </c>
    </row>
    <row r="210" spans="1:21" x14ac:dyDescent="0.3">
      <c r="A210" t="s">
        <v>2094</v>
      </c>
      <c r="B210" t="s">
        <v>4934</v>
      </c>
      <c r="C210" t="s">
        <v>4935</v>
      </c>
      <c r="D210" t="s">
        <v>4363</v>
      </c>
      <c r="E210">
        <v>23</v>
      </c>
      <c r="F210" t="s">
        <v>4936</v>
      </c>
      <c r="G210">
        <v>9530255655</v>
      </c>
      <c r="H210" t="s">
        <v>4365</v>
      </c>
      <c r="I210" t="s">
        <v>4366</v>
      </c>
      <c r="J210" t="s">
        <v>4446</v>
      </c>
      <c r="K210">
        <v>6</v>
      </c>
      <c r="L210">
        <v>18</v>
      </c>
      <c r="M210">
        <v>24.4</v>
      </c>
      <c r="N210" t="s">
        <v>4377</v>
      </c>
      <c r="O210" t="s">
        <v>4383</v>
      </c>
      <c r="P210" s="1">
        <v>45822</v>
      </c>
      <c r="Q210" t="str">
        <f t="shared" si="12"/>
        <v>10+ Years</v>
      </c>
      <c r="R210" t="str">
        <f>IF(Table7[[#This Row],[Age]]&lt;=25,"20-25",IF(Table7[[#This Row],[Age]]&lt;=30,"26-30",IF(Table7[[#This Row],[Age]]&lt;=35,"31-35","36+")))</f>
        <v>20-25</v>
      </c>
      <c r="S210" t="str">
        <f t="shared" si="13"/>
        <v>June</v>
      </c>
      <c r="T210" s="2" t="str">
        <f t="shared" si="14"/>
        <v>Q2</v>
      </c>
      <c r="U210" s="2">
        <f t="shared" si="15"/>
        <v>2025</v>
      </c>
    </row>
    <row r="211" spans="1:21" x14ac:dyDescent="0.3">
      <c r="A211" t="s">
        <v>1202</v>
      </c>
      <c r="B211" t="s">
        <v>4937</v>
      </c>
      <c r="C211" t="s">
        <v>4938</v>
      </c>
      <c r="D211" t="s">
        <v>4363</v>
      </c>
      <c r="E211">
        <v>26</v>
      </c>
      <c r="F211" t="s">
        <v>4939</v>
      </c>
      <c r="G211">
        <v>9157502286</v>
      </c>
      <c r="H211" t="s">
        <v>4476</v>
      </c>
      <c r="I211" t="s">
        <v>4477</v>
      </c>
      <c r="J211" t="s">
        <v>4415</v>
      </c>
      <c r="K211">
        <v>3.3</v>
      </c>
      <c r="L211">
        <v>9.9</v>
      </c>
      <c r="M211">
        <v>14.2</v>
      </c>
      <c r="N211" t="s">
        <v>4494</v>
      </c>
      <c r="O211" t="s">
        <v>4369</v>
      </c>
      <c r="P211" s="1">
        <v>45874</v>
      </c>
      <c r="Q211" t="str">
        <f t="shared" si="12"/>
        <v>10+ Years</v>
      </c>
      <c r="R211" t="str">
        <f>IF(Table7[[#This Row],[Age]]&lt;=25,"20-25",IF(Table7[[#This Row],[Age]]&lt;=30,"26-30",IF(Table7[[#This Row],[Age]]&lt;=35,"31-35","36+")))</f>
        <v>26-30</v>
      </c>
      <c r="S211" t="str">
        <f t="shared" si="13"/>
        <v>August</v>
      </c>
      <c r="T211" s="2" t="str">
        <f t="shared" si="14"/>
        <v>Q3</v>
      </c>
      <c r="U211" s="2">
        <f t="shared" si="15"/>
        <v>2025</v>
      </c>
    </row>
    <row r="212" spans="1:21" x14ac:dyDescent="0.3">
      <c r="A212" t="s">
        <v>1904</v>
      </c>
      <c r="B212" t="s">
        <v>4526</v>
      </c>
      <c r="C212" t="s">
        <v>4940</v>
      </c>
      <c r="D212" t="s">
        <v>4363</v>
      </c>
      <c r="E212">
        <v>23</v>
      </c>
      <c r="F212" t="s">
        <v>4941</v>
      </c>
      <c r="G212">
        <v>9491305848</v>
      </c>
      <c r="H212" t="s">
        <v>4445</v>
      </c>
      <c r="I212" t="s">
        <v>4396</v>
      </c>
      <c r="J212" t="s">
        <v>4376</v>
      </c>
      <c r="K212">
        <v>3.5</v>
      </c>
      <c r="L212">
        <v>8.4</v>
      </c>
      <c r="M212">
        <v>9.6</v>
      </c>
      <c r="N212" t="s">
        <v>4390</v>
      </c>
      <c r="O212" t="s">
        <v>4383</v>
      </c>
      <c r="P212" s="1">
        <v>45668</v>
      </c>
      <c r="Q212" t="str">
        <f t="shared" si="12"/>
        <v>10+ Years</v>
      </c>
      <c r="R212" t="str">
        <f>IF(Table7[[#This Row],[Age]]&lt;=25,"20-25",IF(Table7[[#This Row],[Age]]&lt;=30,"26-30",IF(Table7[[#This Row],[Age]]&lt;=35,"31-35","36+")))</f>
        <v>20-25</v>
      </c>
      <c r="S212" t="str">
        <f t="shared" si="13"/>
        <v>January</v>
      </c>
      <c r="T212" s="2" t="str">
        <f t="shared" si="14"/>
        <v>Q1</v>
      </c>
      <c r="U212" s="2">
        <f t="shared" si="15"/>
        <v>2025</v>
      </c>
    </row>
    <row r="213" spans="1:21" x14ac:dyDescent="0.3">
      <c r="A213" t="s">
        <v>2881</v>
      </c>
      <c r="B213" t="s">
        <v>4741</v>
      </c>
      <c r="C213" t="s">
        <v>4942</v>
      </c>
      <c r="D213" t="s">
        <v>4372</v>
      </c>
      <c r="E213">
        <v>27</v>
      </c>
      <c r="F213" t="s">
        <v>4943</v>
      </c>
      <c r="G213">
        <v>9526330948</v>
      </c>
      <c r="H213" t="s">
        <v>4473</v>
      </c>
      <c r="I213" t="s">
        <v>4473</v>
      </c>
      <c r="J213" t="s">
        <v>4608</v>
      </c>
      <c r="K213">
        <v>5</v>
      </c>
      <c r="L213">
        <v>15.4</v>
      </c>
      <c r="M213">
        <v>19.600000000000001</v>
      </c>
      <c r="N213" t="s">
        <v>4406</v>
      </c>
      <c r="O213" t="s">
        <v>4419</v>
      </c>
      <c r="P213" s="1">
        <v>45678</v>
      </c>
      <c r="Q213" t="str">
        <f t="shared" si="12"/>
        <v>10+ Years</v>
      </c>
      <c r="R213" t="str">
        <f>IF(Table7[[#This Row],[Age]]&lt;=25,"20-25",IF(Table7[[#This Row],[Age]]&lt;=30,"26-30",IF(Table7[[#This Row],[Age]]&lt;=35,"31-35","36+")))</f>
        <v>26-30</v>
      </c>
      <c r="S213" t="str">
        <f t="shared" si="13"/>
        <v>January</v>
      </c>
      <c r="T213" s="2" t="str">
        <f t="shared" si="14"/>
        <v>Q1</v>
      </c>
      <c r="U213" s="2">
        <f t="shared" si="15"/>
        <v>2025</v>
      </c>
    </row>
    <row r="214" spans="1:21" x14ac:dyDescent="0.3">
      <c r="A214" t="s">
        <v>1061</v>
      </c>
      <c r="B214" t="s">
        <v>4787</v>
      </c>
      <c r="C214" t="s">
        <v>4751</v>
      </c>
      <c r="D214" t="s">
        <v>4372</v>
      </c>
      <c r="E214">
        <v>39</v>
      </c>
      <c r="F214" t="s">
        <v>4944</v>
      </c>
      <c r="G214">
        <v>9766714113</v>
      </c>
      <c r="H214" t="s">
        <v>4454</v>
      </c>
      <c r="I214" t="s">
        <v>4455</v>
      </c>
      <c r="J214" t="s">
        <v>4450</v>
      </c>
      <c r="K214">
        <v>0.8</v>
      </c>
      <c r="L214">
        <v>3.4</v>
      </c>
      <c r="M214">
        <v>4.5</v>
      </c>
      <c r="N214" t="s">
        <v>4390</v>
      </c>
      <c r="O214" t="s">
        <v>4400</v>
      </c>
      <c r="P214" s="1">
        <v>45676</v>
      </c>
      <c r="Q214" t="str">
        <f t="shared" si="12"/>
        <v>10+ Years</v>
      </c>
      <c r="R214" t="str">
        <f>IF(Table7[[#This Row],[Age]]&lt;=25,"20-25",IF(Table7[[#This Row],[Age]]&lt;=30,"26-30",IF(Table7[[#This Row],[Age]]&lt;=35,"31-35","36+")))</f>
        <v>36+</v>
      </c>
      <c r="S214" t="str">
        <f t="shared" si="13"/>
        <v>January</v>
      </c>
      <c r="T214" s="2" t="str">
        <f t="shared" si="14"/>
        <v>Q1</v>
      </c>
      <c r="U214" s="2">
        <f t="shared" si="15"/>
        <v>2025</v>
      </c>
    </row>
    <row r="215" spans="1:21" x14ac:dyDescent="0.3">
      <c r="A215" t="s">
        <v>2357</v>
      </c>
      <c r="B215" t="s">
        <v>4945</v>
      </c>
      <c r="C215" t="s">
        <v>4946</v>
      </c>
      <c r="D215" t="s">
        <v>4363</v>
      </c>
      <c r="E215">
        <v>23</v>
      </c>
      <c r="F215" t="s">
        <v>4947</v>
      </c>
      <c r="G215">
        <v>9230673949</v>
      </c>
      <c r="H215" t="s">
        <v>4374</v>
      </c>
      <c r="I215" t="s">
        <v>4375</v>
      </c>
      <c r="J215" t="s">
        <v>4367</v>
      </c>
      <c r="K215">
        <v>3.5</v>
      </c>
      <c r="L215">
        <v>2.5</v>
      </c>
      <c r="M215">
        <v>3</v>
      </c>
      <c r="N215" t="s">
        <v>4406</v>
      </c>
      <c r="O215" t="s">
        <v>4369</v>
      </c>
      <c r="P215" s="1">
        <v>45835</v>
      </c>
      <c r="Q215" t="str">
        <f t="shared" si="12"/>
        <v>10+ Years</v>
      </c>
      <c r="R215" t="str">
        <f>IF(Table7[[#This Row],[Age]]&lt;=25,"20-25",IF(Table7[[#This Row],[Age]]&lt;=30,"26-30",IF(Table7[[#This Row],[Age]]&lt;=35,"31-35","36+")))</f>
        <v>20-25</v>
      </c>
      <c r="S215" t="str">
        <f t="shared" si="13"/>
        <v>June</v>
      </c>
      <c r="T215" s="2" t="str">
        <f t="shared" si="14"/>
        <v>Q2</v>
      </c>
      <c r="U215" s="2">
        <f t="shared" si="15"/>
        <v>2025</v>
      </c>
    </row>
    <row r="216" spans="1:21" x14ac:dyDescent="0.3">
      <c r="A216" t="s">
        <v>3191</v>
      </c>
      <c r="B216" t="s">
        <v>4948</v>
      </c>
      <c r="C216" t="s">
        <v>4393</v>
      </c>
      <c r="D216" t="s">
        <v>4363</v>
      </c>
      <c r="E216">
        <v>26</v>
      </c>
      <c r="F216" t="s">
        <v>4949</v>
      </c>
      <c r="G216">
        <v>9164788806</v>
      </c>
      <c r="H216" t="s">
        <v>4521</v>
      </c>
      <c r="I216" t="s">
        <v>4522</v>
      </c>
      <c r="J216" t="s">
        <v>4618</v>
      </c>
      <c r="K216">
        <v>3</v>
      </c>
      <c r="L216">
        <v>6.7</v>
      </c>
      <c r="M216">
        <v>9.5</v>
      </c>
      <c r="O216" t="s">
        <v>4369</v>
      </c>
      <c r="P216" s="1">
        <v>45960</v>
      </c>
      <c r="Q216" t="str">
        <f t="shared" si="12"/>
        <v>10+ Years</v>
      </c>
      <c r="R216" t="str">
        <f>IF(Table7[[#This Row],[Age]]&lt;=25,"20-25",IF(Table7[[#This Row],[Age]]&lt;=30,"26-30",IF(Table7[[#This Row],[Age]]&lt;=35,"31-35","36+")))</f>
        <v>26-30</v>
      </c>
      <c r="S216" t="str">
        <f t="shared" si="13"/>
        <v>October</v>
      </c>
      <c r="T216" s="2" t="str">
        <f t="shared" si="14"/>
        <v>Q4</v>
      </c>
      <c r="U216" s="2">
        <f t="shared" si="15"/>
        <v>2025</v>
      </c>
    </row>
    <row r="217" spans="1:21" x14ac:dyDescent="0.3">
      <c r="A217" t="s">
        <v>84</v>
      </c>
      <c r="B217" t="s">
        <v>4734</v>
      </c>
      <c r="C217" t="s">
        <v>4950</v>
      </c>
      <c r="D217" t="s">
        <v>4372</v>
      </c>
      <c r="E217">
        <v>34</v>
      </c>
      <c r="F217" t="s">
        <v>4951</v>
      </c>
      <c r="G217">
        <v>9572421861</v>
      </c>
      <c r="H217" t="s">
        <v>4445</v>
      </c>
      <c r="I217" t="s">
        <v>4396</v>
      </c>
      <c r="J217" t="s">
        <v>4415</v>
      </c>
      <c r="K217">
        <v>0.9</v>
      </c>
      <c r="L217">
        <v>3</v>
      </c>
      <c r="M217">
        <v>4.2</v>
      </c>
      <c r="N217" t="s">
        <v>4377</v>
      </c>
      <c r="O217" t="s">
        <v>4383</v>
      </c>
      <c r="P217" s="1">
        <v>45798</v>
      </c>
      <c r="Q217" t="str">
        <f t="shared" si="12"/>
        <v>10+ Years</v>
      </c>
      <c r="R217" t="str">
        <f>IF(Table7[[#This Row],[Age]]&lt;=25,"20-25",IF(Table7[[#This Row],[Age]]&lt;=30,"26-30",IF(Table7[[#This Row],[Age]]&lt;=35,"31-35","36+")))</f>
        <v>31-35</v>
      </c>
      <c r="S217" t="str">
        <f t="shared" si="13"/>
        <v>May</v>
      </c>
      <c r="T217" s="2" t="str">
        <f t="shared" si="14"/>
        <v>Q2</v>
      </c>
      <c r="U217" s="2">
        <f t="shared" si="15"/>
        <v>2025</v>
      </c>
    </row>
    <row r="218" spans="1:21" x14ac:dyDescent="0.3">
      <c r="A218" t="s">
        <v>1431</v>
      </c>
      <c r="B218" t="s">
        <v>4952</v>
      </c>
      <c r="C218" t="s">
        <v>4953</v>
      </c>
      <c r="D218" t="s">
        <v>4372</v>
      </c>
      <c r="E218">
        <v>29</v>
      </c>
      <c r="F218" t="s">
        <v>4954</v>
      </c>
      <c r="G218">
        <v>9895002293</v>
      </c>
      <c r="H218" t="s">
        <v>4374</v>
      </c>
      <c r="I218" t="s">
        <v>4375</v>
      </c>
      <c r="J218" t="s">
        <v>4432</v>
      </c>
      <c r="K218">
        <v>4.2</v>
      </c>
      <c r="L218">
        <v>7.5</v>
      </c>
      <c r="M218">
        <v>9.5</v>
      </c>
      <c r="N218" t="s">
        <v>4390</v>
      </c>
      <c r="O218" t="s">
        <v>4369</v>
      </c>
      <c r="P218" s="1">
        <v>45855</v>
      </c>
      <c r="Q218" t="str">
        <f t="shared" si="12"/>
        <v>10+ Years</v>
      </c>
      <c r="R218" t="str">
        <f>IF(Table7[[#This Row],[Age]]&lt;=25,"20-25",IF(Table7[[#This Row],[Age]]&lt;=30,"26-30",IF(Table7[[#This Row],[Age]]&lt;=35,"31-35","36+")))</f>
        <v>26-30</v>
      </c>
      <c r="S218" t="str">
        <f t="shared" si="13"/>
        <v>July</v>
      </c>
      <c r="T218" s="2" t="str">
        <f t="shared" si="14"/>
        <v>Q3</v>
      </c>
      <c r="U218" s="2">
        <f t="shared" si="15"/>
        <v>2025</v>
      </c>
    </row>
    <row r="219" spans="1:21" x14ac:dyDescent="0.3">
      <c r="A219" t="s">
        <v>4955</v>
      </c>
      <c r="B219" t="s">
        <v>4956</v>
      </c>
      <c r="C219" t="s">
        <v>4957</v>
      </c>
      <c r="D219" t="s">
        <v>4372</v>
      </c>
      <c r="E219">
        <v>22</v>
      </c>
      <c r="F219" t="s">
        <v>4958</v>
      </c>
      <c r="G219">
        <v>9493863266</v>
      </c>
      <c r="H219" t="s">
        <v>4491</v>
      </c>
      <c r="I219" t="s">
        <v>4491</v>
      </c>
      <c r="J219" t="s">
        <v>4450</v>
      </c>
      <c r="K219">
        <v>11.8</v>
      </c>
      <c r="L219">
        <v>17.5</v>
      </c>
      <c r="M219">
        <v>21.4</v>
      </c>
      <c r="N219" t="s">
        <v>4390</v>
      </c>
      <c r="O219" t="s">
        <v>4400</v>
      </c>
      <c r="P219" s="1">
        <v>45673</v>
      </c>
      <c r="Q219" t="str">
        <f t="shared" si="12"/>
        <v>10+ Years</v>
      </c>
      <c r="R219" t="str">
        <f>IF(Table7[[#This Row],[Age]]&lt;=25,"20-25",IF(Table7[[#This Row],[Age]]&lt;=30,"26-30",IF(Table7[[#This Row],[Age]]&lt;=35,"31-35","36+")))</f>
        <v>20-25</v>
      </c>
      <c r="S219" t="str">
        <f t="shared" si="13"/>
        <v>January</v>
      </c>
      <c r="T219" s="2" t="str">
        <f t="shared" si="14"/>
        <v>Q1</v>
      </c>
      <c r="U219" s="2">
        <f t="shared" si="15"/>
        <v>2025</v>
      </c>
    </row>
    <row r="220" spans="1:21" x14ac:dyDescent="0.3">
      <c r="A220" t="s">
        <v>2722</v>
      </c>
      <c r="B220" t="s">
        <v>4959</v>
      </c>
      <c r="C220" t="s">
        <v>4608</v>
      </c>
      <c r="D220" t="s">
        <v>4372</v>
      </c>
      <c r="E220">
        <v>27</v>
      </c>
      <c r="F220" t="s">
        <v>4960</v>
      </c>
      <c r="G220">
        <v>9302726844</v>
      </c>
      <c r="H220" t="s">
        <v>4374</v>
      </c>
      <c r="I220" t="s">
        <v>4375</v>
      </c>
      <c r="J220" t="s">
        <v>4376</v>
      </c>
      <c r="K220">
        <v>0.3</v>
      </c>
      <c r="L220">
        <v>3.7</v>
      </c>
      <c r="M220">
        <v>5.3</v>
      </c>
      <c r="N220" t="s">
        <v>4390</v>
      </c>
      <c r="O220" t="s">
        <v>4485</v>
      </c>
      <c r="P220" s="1">
        <v>45741</v>
      </c>
      <c r="Q220" t="str">
        <f t="shared" si="12"/>
        <v>10+ Years</v>
      </c>
      <c r="R220" t="str">
        <f>IF(Table7[[#This Row],[Age]]&lt;=25,"20-25",IF(Table7[[#This Row],[Age]]&lt;=30,"26-30",IF(Table7[[#This Row],[Age]]&lt;=35,"31-35","36+")))</f>
        <v>26-30</v>
      </c>
      <c r="S220" t="str">
        <f t="shared" si="13"/>
        <v>March</v>
      </c>
      <c r="T220" s="2" t="str">
        <f t="shared" si="14"/>
        <v>Q1</v>
      </c>
      <c r="U220" s="2">
        <f t="shared" si="15"/>
        <v>2025</v>
      </c>
    </row>
    <row r="221" spans="1:21" x14ac:dyDescent="0.3">
      <c r="A221" t="s">
        <v>4961</v>
      </c>
      <c r="B221" t="s">
        <v>4820</v>
      </c>
      <c r="C221" t="s">
        <v>4962</v>
      </c>
      <c r="D221" t="s">
        <v>4363</v>
      </c>
      <c r="E221">
        <v>32</v>
      </c>
      <c r="F221" t="s">
        <v>4963</v>
      </c>
      <c r="G221">
        <v>9447841361</v>
      </c>
      <c r="H221" t="s">
        <v>4374</v>
      </c>
      <c r="I221" t="s">
        <v>4375</v>
      </c>
      <c r="J221" t="s">
        <v>4482</v>
      </c>
      <c r="K221">
        <v>1.8</v>
      </c>
      <c r="L221">
        <v>9.5</v>
      </c>
      <c r="M221">
        <v>11.5</v>
      </c>
      <c r="N221" t="s">
        <v>4377</v>
      </c>
      <c r="O221" t="s">
        <v>4369</v>
      </c>
      <c r="P221" s="1">
        <v>45687</v>
      </c>
      <c r="Q221" t="str">
        <f t="shared" si="12"/>
        <v>10+ Years</v>
      </c>
      <c r="R221" t="str">
        <f>IF(Table7[[#This Row],[Age]]&lt;=25,"20-25",IF(Table7[[#This Row],[Age]]&lt;=30,"26-30",IF(Table7[[#This Row],[Age]]&lt;=35,"31-35","36+")))</f>
        <v>31-35</v>
      </c>
      <c r="S221" t="str">
        <f t="shared" si="13"/>
        <v>January</v>
      </c>
      <c r="T221" s="2" t="str">
        <f t="shared" si="14"/>
        <v>Q1</v>
      </c>
      <c r="U221" s="2">
        <f t="shared" si="15"/>
        <v>2025</v>
      </c>
    </row>
    <row r="222" spans="1:21" x14ac:dyDescent="0.3">
      <c r="A222" t="s">
        <v>1711</v>
      </c>
      <c r="B222" t="s">
        <v>4964</v>
      </c>
      <c r="C222" t="s">
        <v>4965</v>
      </c>
      <c r="D222" t="s">
        <v>4363</v>
      </c>
      <c r="E222">
        <v>31</v>
      </c>
      <c r="F222" t="s">
        <v>4966</v>
      </c>
      <c r="G222">
        <v>9691769757</v>
      </c>
      <c r="H222" t="s">
        <v>4445</v>
      </c>
      <c r="I222" t="s">
        <v>4396</v>
      </c>
      <c r="J222" t="s">
        <v>4376</v>
      </c>
      <c r="K222">
        <v>0.9</v>
      </c>
      <c r="L222">
        <v>11.6</v>
      </c>
      <c r="M222">
        <v>14.3</v>
      </c>
      <c r="N222" t="s">
        <v>4390</v>
      </c>
      <c r="O222" t="s">
        <v>4383</v>
      </c>
      <c r="P222" s="1">
        <v>45883</v>
      </c>
      <c r="Q222" t="str">
        <f t="shared" si="12"/>
        <v>10+ Years</v>
      </c>
      <c r="R222" t="str">
        <f>IF(Table7[[#This Row],[Age]]&lt;=25,"20-25",IF(Table7[[#This Row],[Age]]&lt;=30,"26-30",IF(Table7[[#This Row],[Age]]&lt;=35,"31-35","36+")))</f>
        <v>31-35</v>
      </c>
      <c r="S222" t="str">
        <f t="shared" si="13"/>
        <v>August</v>
      </c>
      <c r="T222" s="2" t="str">
        <f t="shared" si="14"/>
        <v>Q3</v>
      </c>
      <c r="U222" s="2">
        <f t="shared" si="15"/>
        <v>2025</v>
      </c>
    </row>
    <row r="223" spans="1:21" x14ac:dyDescent="0.3">
      <c r="A223" t="s">
        <v>3934</v>
      </c>
      <c r="B223" t="s">
        <v>4967</v>
      </c>
      <c r="C223" t="s">
        <v>4968</v>
      </c>
      <c r="D223" t="s">
        <v>4372</v>
      </c>
      <c r="E223">
        <v>26</v>
      </c>
      <c r="F223" t="s">
        <v>4969</v>
      </c>
      <c r="G223">
        <v>9217300116</v>
      </c>
      <c r="H223" t="s">
        <v>4374</v>
      </c>
      <c r="I223" t="s">
        <v>4375</v>
      </c>
      <c r="J223" t="s">
        <v>4432</v>
      </c>
      <c r="K223">
        <v>1.9</v>
      </c>
      <c r="L223">
        <v>9</v>
      </c>
      <c r="M223">
        <v>12.9</v>
      </c>
      <c r="N223" t="s">
        <v>4390</v>
      </c>
      <c r="O223" t="s">
        <v>4369</v>
      </c>
      <c r="P223" s="1">
        <v>45830</v>
      </c>
      <c r="Q223" t="str">
        <f t="shared" si="12"/>
        <v>10+ Years</v>
      </c>
      <c r="R223" t="str">
        <f>IF(Table7[[#This Row],[Age]]&lt;=25,"20-25",IF(Table7[[#This Row],[Age]]&lt;=30,"26-30",IF(Table7[[#This Row],[Age]]&lt;=35,"31-35","36+")))</f>
        <v>26-30</v>
      </c>
      <c r="S223" t="str">
        <f t="shared" si="13"/>
        <v>June</v>
      </c>
      <c r="T223" s="2" t="str">
        <f t="shared" si="14"/>
        <v>Q2</v>
      </c>
      <c r="U223" s="2">
        <f t="shared" si="15"/>
        <v>2025</v>
      </c>
    </row>
    <row r="224" spans="1:21" x14ac:dyDescent="0.3">
      <c r="A224" t="s">
        <v>3879</v>
      </c>
      <c r="B224" t="s">
        <v>4970</v>
      </c>
      <c r="C224" t="s">
        <v>4971</v>
      </c>
      <c r="D224" t="s">
        <v>4363</v>
      </c>
      <c r="E224">
        <v>37</v>
      </c>
      <c r="F224" t="s">
        <v>4972</v>
      </c>
      <c r="G224">
        <v>9825145069</v>
      </c>
      <c r="H224" t="s">
        <v>4365</v>
      </c>
      <c r="I224" t="s">
        <v>4366</v>
      </c>
      <c r="J224" t="s">
        <v>4376</v>
      </c>
      <c r="K224">
        <v>6.1</v>
      </c>
      <c r="L224">
        <v>17.8</v>
      </c>
      <c r="M224">
        <v>24.9</v>
      </c>
      <c r="N224" t="s">
        <v>4377</v>
      </c>
      <c r="O224" t="s">
        <v>4383</v>
      </c>
      <c r="P224" s="1">
        <v>45901</v>
      </c>
      <c r="Q224" t="str">
        <f t="shared" si="12"/>
        <v>10+ Years</v>
      </c>
      <c r="R224" t="str">
        <f>IF(Table7[[#This Row],[Age]]&lt;=25,"20-25",IF(Table7[[#This Row],[Age]]&lt;=30,"26-30",IF(Table7[[#This Row],[Age]]&lt;=35,"31-35","36+")))</f>
        <v>36+</v>
      </c>
      <c r="S224" t="str">
        <f t="shared" si="13"/>
        <v>September</v>
      </c>
      <c r="T224" s="2" t="str">
        <f t="shared" si="14"/>
        <v>Q3</v>
      </c>
      <c r="U224" s="2">
        <f t="shared" si="15"/>
        <v>2025</v>
      </c>
    </row>
    <row r="225" spans="1:21" x14ac:dyDescent="0.3">
      <c r="A225" t="s">
        <v>1563</v>
      </c>
      <c r="B225" t="s">
        <v>4503</v>
      </c>
      <c r="C225" t="s">
        <v>4535</v>
      </c>
      <c r="D225" t="s">
        <v>4372</v>
      </c>
      <c r="E225">
        <v>21</v>
      </c>
      <c r="F225" t="s">
        <v>4973</v>
      </c>
      <c r="G225">
        <v>9860801941</v>
      </c>
      <c r="H225" t="s">
        <v>4395</v>
      </c>
      <c r="I225" t="s">
        <v>4396</v>
      </c>
      <c r="J225" t="s">
        <v>4450</v>
      </c>
      <c r="K225">
        <v>8.1999999999999993</v>
      </c>
      <c r="L225">
        <v>19.3</v>
      </c>
      <c r="M225">
        <v>22.4</v>
      </c>
      <c r="N225" t="s">
        <v>4377</v>
      </c>
      <c r="O225" t="s">
        <v>4369</v>
      </c>
      <c r="P225" s="1">
        <v>45939</v>
      </c>
      <c r="Q225" t="str">
        <f t="shared" si="12"/>
        <v>10+ Years</v>
      </c>
      <c r="R225" t="str">
        <f>IF(Table7[[#This Row],[Age]]&lt;=25,"20-25",IF(Table7[[#This Row],[Age]]&lt;=30,"26-30",IF(Table7[[#This Row],[Age]]&lt;=35,"31-35","36+")))</f>
        <v>20-25</v>
      </c>
      <c r="S225" t="str">
        <f t="shared" si="13"/>
        <v>October</v>
      </c>
      <c r="T225" s="2" t="str">
        <f t="shared" si="14"/>
        <v>Q4</v>
      </c>
      <c r="U225" s="2">
        <f t="shared" si="15"/>
        <v>2025</v>
      </c>
    </row>
    <row r="226" spans="1:21" x14ac:dyDescent="0.3">
      <c r="A226" t="s">
        <v>3185</v>
      </c>
      <c r="B226" t="s">
        <v>4687</v>
      </c>
      <c r="C226" t="s">
        <v>4974</v>
      </c>
      <c r="D226" t="s">
        <v>4363</v>
      </c>
      <c r="E226">
        <v>22</v>
      </c>
      <c r="F226" t="s">
        <v>4975</v>
      </c>
      <c r="G226">
        <v>9526805305</v>
      </c>
      <c r="H226" t="s">
        <v>4521</v>
      </c>
      <c r="I226" t="s">
        <v>4522</v>
      </c>
      <c r="J226" t="s">
        <v>4367</v>
      </c>
      <c r="K226">
        <v>1.2</v>
      </c>
      <c r="L226">
        <v>2.5</v>
      </c>
      <c r="M226">
        <v>3.5</v>
      </c>
      <c r="N226" t="s">
        <v>4368</v>
      </c>
      <c r="O226" t="s">
        <v>4383</v>
      </c>
      <c r="P226" s="1">
        <v>45714</v>
      </c>
      <c r="Q226" t="str">
        <f t="shared" si="12"/>
        <v>10+ Years</v>
      </c>
      <c r="R226" t="str">
        <f>IF(Table7[[#This Row],[Age]]&lt;=25,"20-25",IF(Table7[[#This Row],[Age]]&lt;=30,"26-30",IF(Table7[[#This Row],[Age]]&lt;=35,"31-35","36+")))</f>
        <v>20-25</v>
      </c>
      <c r="S226" t="str">
        <f t="shared" si="13"/>
        <v>February</v>
      </c>
      <c r="T226" s="2" t="str">
        <f t="shared" si="14"/>
        <v>Q1</v>
      </c>
      <c r="U226" s="2">
        <f t="shared" si="15"/>
        <v>2025</v>
      </c>
    </row>
    <row r="227" spans="1:21" x14ac:dyDescent="0.3">
      <c r="A227" t="s">
        <v>1206</v>
      </c>
      <c r="B227" t="s">
        <v>4654</v>
      </c>
      <c r="C227" t="s">
        <v>4976</v>
      </c>
      <c r="D227" t="s">
        <v>4372</v>
      </c>
      <c r="E227">
        <v>26</v>
      </c>
      <c r="F227" t="s">
        <v>4977</v>
      </c>
      <c r="G227">
        <v>9843720192</v>
      </c>
      <c r="H227" t="s">
        <v>4491</v>
      </c>
      <c r="I227" t="s">
        <v>4491</v>
      </c>
      <c r="J227" t="s">
        <v>4432</v>
      </c>
      <c r="K227">
        <v>0.7</v>
      </c>
      <c r="L227">
        <v>8.1</v>
      </c>
      <c r="M227">
        <v>10</v>
      </c>
      <c r="N227" t="s">
        <v>4390</v>
      </c>
      <c r="O227" t="s">
        <v>4383</v>
      </c>
      <c r="P227" s="1">
        <v>45962</v>
      </c>
      <c r="Q227" t="str">
        <f t="shared" si="12"/>
        <v>10+ Years</v>
      </c>
      <c r="R227" t="str">
        <f>IF(Table7[[#This Row],[Age]]&lt;=25,"20-25",IF(Table7[[#This Row],[Age]]&lt;=30,"26-30",IF(Table7[[#This Row],[Age]]&lt;=35,"31-35","36+")))</f>
        <v>26-30</v>
      </c>
      <c r="S227" t="str">
        <f t="shared" si="13"/>
        <v>November</v>
      </c>
      <c r="T227" s="2" t="str">
        <f t="shared" si="14"/>
        <v>Q4</v>
      </c>
      <c r="U227" s="2">
        <f t="shared" si="15"/>
        <v>2025</v>
      </c>
    </row>
    <row r="228" spans="1:21" x14ac:dyDescent="0.3">
      <c r="A228" t="s">
        <v>2517</v>
      </c>
      <c r="B228" t="s">
        <v>4457</v>
      </c>
      <c r="C228" t="s">
        <v>4978</v>
      </c>
      <c r="D228" t="s">
        <v>4372</v>
      </c>
      <c r="E228">
        <v>30</v>
      </c>
      <c r="F228" t="s">
        <v>4979</v>
      </c>
      <c r="G228">
        <v>9107260639</v>
      </c>
      <c r="H228" t="s">
        <v>4473</v>
      </c>
      <c r="I228" t="s">
        <v>4473</v>
      </c>
      <c r="J228" t="s">
        <v>4389</v>
      </c>
      <c r="K228">
        <v>1.2</v>
      </c>
      <c r="L228">
        <v>10.1</v>
      </c>
      <c r="M228">
        <v>14.6</v>
      </c>
      <c r="N228" t="s">
        <v>4390</v>
      </c>
      <c r="O228" t="s">
        <v>4391</v>
      </c>
      <c r="P228" s="1">
        <v>45932</v>
      </c>
      <c r="Q228" t="str">
        <f t="shared" si="12"/>
        <v>10+ Years</v>
      </c>
      <c r="R228" t="str">
        <f>IF(Table7[[#This Row],[Age]]&lt;=25,"20-25",IF(Table7[[#This Row],[Age]]&lt;=30,"26-30",IF(Table7[[#This Row],[Age]]&lt;=35,"31-35","36+")))</f>
        <v>26-30</v>
      </c>
      <c r="S228" t="str">
        <f t="shared" si="13"/>
        <v>October</v>
      </c>
      <c r="T228" s="2" t="str">
        <f t="shared" si="14"/>
        <v>Q4</v>
      </c>
      <c r="U228" s="2">
        <f t="shared" si="15"/>
        <v>2025</v>
      </c>
    </row>
    <row r="229" spans="1:21" x14ac:dyDescent="0.3">
      <c r="A229" t="s">
        <v>2758</v>
      </c>
      <c r="B229" t="s">
        <v>4854</v>
      </c>
      <c r="C229" t="s">
        <v>4980</v>
      </c>
      <c r="D229" t="s">
        <v>4372</v>
      </c>
      <c r="E229">
        <v>34</v>
      </c>
      <c r="F229" t="s">
        <v>4981</v>
      </c>
      <c r="G229">
        <v>9567771192</v>
      </c>
      <c r="H229" t="s">
        <v>4521</v>
      </c>
      <c r="I229" t="s">
        <v>4522</v>
      </c>
      <c r="J229" t="s">
        <v>4482</v>
      </c>
      <c r="K229">
        <v>4.5999999999999996</v>
      </c>
      <c r="L229">
        <v>10.9</v>
      </c>
      <c r="M229">
        <v>13</v>
      </c>
      <c r="N229" t="s">
        <v>4377</v>
      </c>
      <c r="O229" t="s">
        <v>4391</v>
      </c>
      <c r="P229" s="1">
        <v>45969</v>
      </c>
      <c r="Q229" t="str">
        <f t="shared" si="12"/>
        <v>10+ Years</v>
      </c>
      <c r="R229" t="str">
        <f>IF(Table7[[#This Row],[Age]]&lt;=25,"20-25",IF(Table7[[#This Row],[Age]]&lt;=30,"26-30",IF(Table7[[#This Row],[Age]]&lt;=35,"31-35","36+")))</f>
        <v>31-35</v>
      </c>
      <c r="S229" t="str">
        <f t="shared" si="13"/>
        <v>November</v>
      </c>
      <c r="T229" s="2" t="str">
        <f t="shared" si="14"/>
        <v>Q4</v>
      </c>
      <c r="U229" s="2">
        <f t="shared" si="15"/>
        <v>2025</v>
      </c>
    </row>
    <row r="230" spans="1:21" x14ac:dyDescent="0.3">
      <c r="A230" t="s">
        <v>235</v>
      </c>
      <c r="B230" t="s">
        <v>4467</v>
      </c>
      <c r="C230" t="s">
        <v>4982</v>
      </c>
      <c r="D230" t="s">
        <v>4363</v>
      </c>
      <c r="E230">
        <v>34</v>
      </c>
      <c r="F230" t="s">
        <v>4983</v>
      </c>
      <c r="G230">
        <v>9319375683</v>
      </c>
      <c r="H230" t="s">
        <v>4381</v>
      </c>
      <c r="I230" t="s">
        <v>4382</v>
      </c>
      <c r="J230" t="s">
        <v>4450</v>
      </c>
      <c r="K230">
        <v>3.2</v>
      </c>
      <c r="L230">
        <v>9.4</v>
      </c>
      <c r="M230">
        <v>13.5</v>
      </c>
      <c r="N230" t="s">
        <v>4406</v>
      </c>
      <c r="O230" t="s">
        <v>4369</v>
      </c>
      <c r="P230" s="1">
        <v>45912</v>
      </c>
      <c r="Q230" t="str">
        <f t="shared" si="12"/>
        <v>10+ Years</v>
      </c>
      <c r="R230" t="str">
        <f>IF(Table7[[#This Row],[Age]]&lt;=25,"20-25",IF(Table7[[#This Row],[Age]]&lt;=30,"26-30",IF(Table7[[#This Row],[Age]]&lt;=35,"31-35","36+")))</f>
        <v>31-35</v>
      </c>
      <c r="S230" t="str">
        <f t="shared" si="13"/>
        <v>September</v>
      </c>
      <c r="T230" s="2" t="str">
        <f t="shared" si="14"/>
        <v>Q3</v>
      </c>
      <c r="U230" s="2">
        <f t="shared" si="15"/>
        <v>2025</v>
      </c>
    </row>
    <row r="231" spans="1:21" x14ac:dyDescent="0.3">
      <c r="A231" t="s">
        <v>2112</v>
      </c>
      <c r="B231" t="s">
        <v>4984</v>
      </c>
      <c r="C231" t="s">
        <v>4985</v>
      </c>
      <c r="D231" t="s">
        <v>4372</v>
      </c>
      <c r="E231">
        <v>25</v>
      </c>
      <c r="F231" t="s">
        <v>4986</v>
      </c>
      <c r="G231">
        <v>9930519543</v>
      </c>
      <c r="H231" t="s">
        <v>4454</v>
      </c>
      <c r="I231" t="s">
        <v>4455</v>
      </c>
      <c r="J231" t="s">
        <v>4376</v>
      </c>
      <c r="K231">
        <v>2.8</v>
      </c>
      <c r="M231">
        <v>5.7</v>
      </c>
      <c r="N231" t="s">
        <v>4390</v>
      </c>
      <c r="O231" t="s">
        <v>4383</v>
      </c>
      <c r="P231" s="1">
        <v>46008</v>
      </c>
      <c r="Q231" t="str">
        <f t="shared" si="12"/>
        <v>10+ Years</v>
      </c>
      <c r="R231" t="str">
        <f>IF(Table7[[#This Row],[Age]]&lt;=25,"20-25",IF(Table7[[#This Row],[Age]]&lt;=30,"26-30",IF(Table7[[#This Row],[Age]]&lt;=35,"31-35","36+")))</f>
        <v>20-25</v>
      </c>
      <c r="S231" t="str">
        <f t="shared" si="13"/>
        <v>December</v>
      </c>
      <c r="T231" s="2" t="str">
        <f t="shared" si="14"/>
        <v>Q4</v>
      </c>
      <c r="U231" s="2">
        <f t="shared" si="15"/>
        <v>2025</v>
      </c>
    </row>
    <row r="232" spans="1:21" x14ac:dyDescent="0.3">
      <c r="A232" t="s">
        <v>1588</v>
      </c>
      <c r="B232" t="s">
        <v>4987</v>
      </c>
      <c r="C232" t="s">
        <v>4988</v>
      </c>
      <c r="D232" t="s">
        <v>4372</v>
      </c>
      <c r="E232">
        <v>30</v>
      </c>
      <c r="F232" t="s">
        <v>4989</v>
      </c>
      <c r="G232">
        <v>9484090395</v>
      </c>
      <c r="H232" t="s">
        <v>4410</v>
      </c>
      <c r="I232" t="s">
        <v>4411</v>
      </c>
      <c r="J232" t="s">
        <v>4376</v>
      </c>
      <c r="K232">
        <v>3.3</v>
      </c>
      <c r="L232">
        <v>15.9</v>
      </c>
      <c r="M232">
        <v>19.7</v>
      </c>
      <c r="N232" t="s">
        <v>4494</v>
      </c>
      <c r="O232" t="s">
        <v>4456</v>
      </c>
      <c r="P232" s="1">
        <v>45926</v>
      </c>
      <c r="Q232" t="str">
        <f t="shared" si="12"/>
        <v>10+ Years</v>
      </c>
      <c r="R232" t="str">
        <f>IF(Table7[[#This Row],[Age]]&lt;=25,"20-25",IF(Table7[[#This Row],[Age]]&lt;=30,"26-30",IF(Table7[[#This Row],[Age]]&lt;=35,"31-35","36+")))</f>
        <v>26-30</v>
      </c>
      <c r="S232" t="str">
        <f t="shared" si="13"/>
        <v>September</v>
      </c>
      <c r="T232" s="2" t="str">
        <f t="shared" si="14"/>
        <v>Q3</v>
      </c>
      <c r="U232" s="2">
        <f t="shared" si="15"/>
        <v>2025</v>
      </c>
    </row>
    <row r="233" spans="1:21" x14ac:dyDescent="0.3">
      <c r="A233" t="s">
        <v>705</v>
      </c>
      <c r="B233" t="s">
        <v>4565</v>
      </c>
      <c r="C233" t="s">
        <v>4990</v>
      </c>
      <c r="D233" t="s">
        <v>4372</v>
      </c>
      <c r="E233">
        <v>24</v>
      </c>
      <c r="F233" t="s">
        <v>4991</v>
      </c>
      <c r="G233">
        <v>9502025682</v>
      </c>
      <c r="H233" t="s">
        <v>4374</v>
      </c>
      <c r="I233" t="s">
        <v>4375</v>
      </c>
      <c r="J233" t="s">
        <v>4482</v>
      </c>
      <c r="K233">
        <v>3.7</v>
      </c>
      <c r="L233">
        <v>7.7</v>
      </c>
      <c r="M233">
        <v>10.1</v>
      </c>
      <c r="N233" t="s">
        <v>4390</v>
      </c>
      <c r="O233" t="s">
        <v>4485</v>
      </c>
      <c r="P233" s="1">
        <v>45873</v>
      </c>
      <c r="Q233" t="str">
        <f t="shared" si="12"/>
        <v>10+ Years</v>
      </c>
      <c r="R233" t="str">
        <f>IF(Table7[[#This Row],[Age]]&lt;=25,"20-25",IF(Table7[[#This Row],[Age]]&lt;=30,"26-30",IF(Table7[[#This Row],[Age]]&lt;=35,"31-35","36+")))</f>
        <v>20-25</v>
      </c>
      <c r="S233" t="str">
        <f t="shared" si="13"/>
        <v>August</v>
      </c>
      <c r="T233" s="2" t="str">
        <f t="shared" si="14"/>
        <v>Q3</v>
      </c>
      <c r="U233" s="2">
        <f t="shared" si="15"/>
        <v>2025</v>
      </c>
    </row>
    <row r="234" spans="1:21" x14ac:dyDescent="0.3">
      <c r="A234" t="s">
        <v>3405</v>
      </c>
      <c r="B234" t="s">
        <v>4460</v>
      </c>
      <c r="C234" t="s">
        <v>4992</v>
      </c>
      <c r="D234" t="s">
        <v>4372</v>
      </c>
      <c r="E234">
        <v>24</v>
      </c>
      <c r="F234" t="s">
        <v>4993</v>
      </c>
      <c r="G234">
        <v>9923912230</v>
      </c>
      <c r="H234" t="s">
        <v>4521</v>
      </c>
      <c r="I234" t="s">
        <v>4522</v>
      </c>
      <c r="J234" t="s">
        <v>4450</v>
      </c>
      <c r="K234">
        <v>9</v>
      </c>
      <c r="L234">
        <v>21.8</v>
      </c>
      <c r="M234">
        <v>28.6</v>
      </c>
      <c r="N234" t="s">
        <v>4390</v>
      </c>
      <c r="O234" t="s">
        <v>4400</v>
      </c>
      <c r="P234" s="1">
        <v>45705</v>
      </c>
      <c r="Q234" t="str">
        <f t="shared" si="12"/>
        <v>10+ Years</v>
      </c>
      <c r="R234" t="str">
        <f>IF(Table7[[#This Row],[Age]]&lt;=25,"20-25",IF(Table7[[#This Row],[Age]]&lt;=30,"26-30",IF(Table7[[#This Row],[Age]]&lt;=35,"31-35","36+")))</f>
        <v>20-25</v>
      </c>
      <c r="S234" t="str">
        <f t="shared" si="13"/>
        <v>February</v>
      </c>
      <c r="T234" s="2" t="str">
        <f t="shared" si="14"/>
        <v>Q1</v>
      </c>
      <c r="U234" s="2">
        <f t="shared" si="15"/>
        <v>2025</v>
      </c>
    </row>
    <row r="235" spans="1:21" x14ac:dyDescent="0.3">
      <c r="A235" t="s">
        <v>2540</v>
      </c>
      <c r="B235" t="s">
        <v>4460</v>
      </c>
      <c r="C235" t="s">
        <v>4994</v>
      </c>
      <c r="D235" t="s">
        <v>4372</v>
      </c>
      <c r="E235">
        <v>34</v>
      </c>
      <c r="F235" t="s">
        <v>4995</v>
      </c>
      <c r="G235">
        <v>9493695718</v>
      </c>
      <c r="H235" t="s">
        <v>4445</v>
      </c>
      <c r="I235" t="s">
        <v>4396</v>
      </c>
      <c r="J235" t="s">
        <v>4446</v>
      </c>
      <c r="K235">
        <v>1.6</v>
      </c>
      <c r="L235">
        <v>11.1</v>
      </c>
      <c r="M235">
        <v>14.3</v>
      </c>
      <c r="N235" t="s">
        <v>4406</v>
      </c>
      <c r="O235" t="s">
        <v>4485</v>
      </c>
      <c r="P235" s="1">
        <v>46011</v>
      </c>
      <c r="Q235" t="str">
        <f t="shared" si="12"/>
        <v>10+ Years</v>
      </c>
      <c r="R235" t="str">
        <f>IF(Table7[[#This Row],[Age]]&lt;=25,"20-25",IF(Table7[[#This Row],[Age]]&lt;=30,"26-30",IF(Table7[[#This Row],[Age]]&lt;=35,"31-35","36+")))</f>
        <v>31-35</v>
      </c>
      <c r="S235" t="str">
        <f t="shared" si="13"/>
        <v>December</v>
      </c>
      <c r="T235" s="2" t="str">
        <f t="shared" si="14"/>
        <v>Q4</v>
      </c>
      <c r="U235" s="2">
        <f t="shared" si="15"/>
        <v>2025</v>
      </c>
    </row>
    <row r="236" spans="1:21" x14ac:dyDescent="0.3">
      <c r="A236" t="s">
        <v>180</v>
      </c>
      <c r="B236" t="s">
        <v>4479</v>
      </c>
      <c r="C236" t="s">
        <v>4996</v>
      </c>
      <c r="D236" t="s">
        <v>4372</v>
      </c>
      <c r="E236">
        <v>24</v>
      </c>
      <c r="F236" t="s">
        <v>4997</v>
      </c>
      <c r="G236">
        <v>9551924124</v>
      </c>
      <c r="H236" t="s">
        <v>4395</v>
      </c>
      <c r="I236" t="s">
        <v>4396</v>
      </c>
      <c r="J236" t="s">
        <v>4367</v>
      </c>
      <c r="K236">
        <v>0.9</v>
      </c>
      <c r="M236">
        <v>7.1</v>
      </c>
      <c r="N236" t="s">
        <v>4390</v>
      </c>
      <c r="O236" t="s">
        <v>4383</v>
      </c>
      <c r="P236" s="1">
        <v>45754</v>
      </c>
      <c r="Q236" t="str">
        <f t="shared" si="12"/>
        <v>10+ Years</v>
      </c>
      <c r="R236" t="str">
        <f>IF(Table7[[#This Row],[Age]]&lt;=25,"20-25",IF(Table7[[#This Row],[Age]]&lt;=30,"26-30",IF(Table7[[#This Row],[Age]]&lt;=35,"31-35","36+")))</f>
        <v>20-25</v>
      </c>
      <c r="S236" t="str">
        <f t="shared" si="13"/>
        <v>April</v>
      </c>
      <c r="T236" s="2" t="str">
        <f t="shared" si="14"/>
        <v>Q2</v>
      </c>
      <c r="U236" s="2">
        <f t="shared" si="15"/>
        <v>2025</v>
      </c>
    </row>
    <row r="237" spans="1:21" x14ac:dyDescent="0.3">
      <c r="A237" t="s">
        <v>857</v>
      </c>
      <c r="B237" t="s">
        <v>4998</v>
      </c>
      <c r="C237" t="s">
        <v>4999</v>
      </c>
      <c r="D237" t="s">
        <v>4372</v>
      </c>
      <c r="E237">
        <v>38</v>
      </c>
      <c r="F237" t="s">
        <v>5000</v>
      </c>
      <c r="G237">
        <v>9776562780</v>
      </c>
      <c r="H237" t="s">
        <v>4521</v>
      </c>
      <c r="I237" t="s">
        <v>4522</v>
      </c>
      <c r="J237" t="s">
        <v>4376</v>
      </c>
      <c r="K237">
        <v>10.3</v>
      </c>
      <c r="L237">
        <v>20</v>
      </c>
      <c r="M237">
        <v>24.7</v>
      </c>
      <c r="N237" t="s">
        <v>4494</v>
      </c>
      <c r="O237" t="s">
        <v>4383</v>
      </c>
      <c r="P237" s="1">
        <v>45679</v>
      </c>
      <c r="Q237" t="str">
        <f t="shared" si="12"/>
        <v>10+ Years</v>
      </c>
      <c r="R237" t="str">
        <f>IF(Table7[[#This Row],[Age]]&lt;=25,"20-25",IF(Table7[[#This Row],[Age]]&lt;=30,"26-30",IF(Table7[[#This Row],[Age]]&lt;=35,"31-35","36+")))</f>
        <v>36+</v>
      </c>
      <c r="S237" t="str">
        <f t="shared" si="13"/>
        <v>January</v>
      </c>
      <c r="T237" s="2" t="str">
        <f t="shared" si="14"/>
        <v>Q1</v>
      </c>
      <c r="U237" s="2">
        <f t="shared" si="15"/>
        <v>2025</v>
      </c>
    </row>
    <row r="238" spans="1:21" x14ac:dyDescent="0.3">
      <c r="A238" t="s">
        <v>525</v>
      </c>
      <c r="B238" t="s">
        <v>4401</v>
      </c>
      <c r="C238" t="s">
        <v>5001</v>
      </c>
      <c r="D238" t="s">
        <v>4363</v>
      </c>
      <c r="E238">
        <v>31</v>
      </c>
      <c r="F238" t="s">
        <v>5002</v>
      </c>
      <c r="G238">
        <v>9945717365</v>
      </c>
      <c r="H238" t="s">
        <v>4410</v>
      </c>
      <c r="I238" t="s">
        <v>4411</v>
      </c>
      <c r="J238" t="s">
        <v>4432</v>
      </c>
      <c r="K238">
        <v>8.6</v>
      </c>
      <c r="L238">
        <v>17.7</v>
      </c>
      <c r="M238">
        <v>23.9</v>
      </c>
      <c r="N238" t="s">
        <v>4406</v>
      </c>
      <c r="O238" t="s">
        <v>4391</v>
      </c>
      <c r="P238" s="1">
        <v>45708</v>
      </c>
      <c r="Q238" t="str">
        <f t="shared" si="12"/>
        <v>10+ Years</v>
      </c>
      <c r="R238" t="str">
        <f>IF(Table7[[#This Row],[Age]]&lt;=25,"20-25",IF(Table7[[#This Row],[Age]]&lt;=30,"26-30",IF(Table7[[#This Row],[Age]]&lt;=35,"31-35","36+")))</f>
        <v>31-35</v>
      </c>
      <c r="S238" t="str">
        <f t="shared" si="13"/>
        <v>February</v>
      </c>
      <c r="T238" s="2" t="str">
        <f t="shared" si="14"/>
        <v>Q1</v>
      </c>
      <c r="U238" s="2">
        <f t="shared" si="15"/>
        <v>2025</v>
      </c>
    </row>
    <row r="239" spans="1:21" x14ac:dyDescent="0.3">
      <c r="A239" t="s">
        <v>556</v>
      </c>
      <c r="B239" t="s">
        <v>4563</v>
      </c>
      <c r="C239" t="s">
        <v>5003</v>
      </c>
      <c r="D239" t="s">
        <v>4363</v>
      </c>
      <c r="E239">
        <v>29</v>
      </c>
      <c r="F239" t="s">
        <v>5004</v>
      </c>
      <c r="G239">
        <v>9131709843</v>
      </c>
      <c r="H239" t="s">
        <v>4365</v>
      </c>
      <c r="I239" t="s">
        <v>4366</v>
      </c>
      <c r="J239" t="s">
        <v>4367</v>
      </c>
      <c r="K239">
        <v>2.9</v>
      </c>
      <c r="L239">
        <v>11.8</v>
      </c>
      <c r="M239">
        <v>16.2</v>
      </c>
      <c r="N239" t="s">
        <v>4390</v>
      </c>
      <c r="O239" t="s">
        <v>4485</v>
      </c>
      <c r="P239" s="1">
        <v>45930</v>
      </c>
      <c r="Q239" t="str">
        <f t="shared" si="12"/>
        <v>10+ Years</v>
      </c>
      <c r="R239" t="str">
        <f>IF(Table7[[#This Row],[Age]]&lt;=25,"20-25",IF(Table7[[#This Row],[Age]]&lt;=30,"26-30",IF(Table7[[#This Row],[Age]]&lt;=35,"31-35","36+")))</f>
        <v>26-30</v>
      </c>
      <c r="S239" t="str">
        <f t="shared" si="13"/>
        <v>September</v>
      </c>
      <c r="T239" s="2" t="str">
        <f t="shared" si="14"/>
        <v>Q3</v>
      </c>
      <c r="U239" s="2">
        <f t="shared" si="15"/>
        <v>2025</v>
      </c>
    </row>
    <row r="240" spans="1:21" x14ac:dyDescent="0.3">
      <c r="A240" t="s">
        <v>2956</v>
      </c>
      <c r="B240" t="s">
        <v>4563</v>
      </c>
      <c r="C240" t="s">
        <v>4398</v>
      </c>
      <c r="D240" t="s">
        <v>4372</v>
      </c>
      <c r="E240">
        <v>26</v>
      </c>
      <c r="F240" t="s">
        <v>5005</v>
      </c>
      <c r="G240">
        <v>9716830021</v>
      </c>
      <c r="H240" t="s">
        <v>4365</v>
      </c>
      <c r="I240" t="s">
        <v>4366</v>
      </c>
      <c r="J240" t="s">
        <v>4482</v>
      </c>
      <c r="K240">
        <v>4.4000000000000004</v>
      </c>
      <c r="L240">
        <v>15.1</v>
      </c>
      <c r="M240">
        <v>17.5</v>
      </c>
      <c r="N240" t="s">
        <v>4368</v>
      </c>
      <c r="O240" t="s">
        <v>4400</v>
      </c>
      <c r="P240" s="1">
        <v>45712</v>
      </c>
      <c r="Q240" t="str">
        <f t="shared" si="12"/>
        <v>10+ Years</v>
      </c>
      <c r="R240" t="str">
        <f>IF(Table7[[#This Row],[Age]]&lt;=25,"20-25",IF(Table7[[#This Row],[Age]]&lt;=30,"26-30",IF(Table7[[#This Row],[Age]]&lt;=35,"31-35","36+")))</f>
        <v>26-30</v>
      </c>
      <c r="S240" t="str">
        <f t="shared" si="13"/>
        <v>February</v>
      </c>
      <c r="T240" s="2" t="str">
        <f t="shared" si="14"/>
        <v>Q1</v>
      </c>
      <c r="U240" s="2">
        <f t="shared" si="15"/>
        <v>2025</v>
      </c>
    </row>
    <row r="241" spans="1:21" x14ac:dyDescent="0.3">
      <c r="A241" t="s">
        <v>3659</v>
      </c>
      <c r="B241" t="s">
        <v>4596</v>
      </c>
      <c r="C241" t="s">
        <v>5006</v>
      </c>
      <c r="D241" t="s">
        <v>4372</v>
      </c>
      <c r="E241">
        <v>22</v>
      </c>
      <c r="F241" t="s">
        <v>5007</v>
      </c>
      <c r="G241">
        <v>9283111403</v>
      </c>
      <c r="H241" t="s">
        <v>4374</v>
      </c>
      <c r="I241" t="s">
        <v>4375</v>
      </c>
      <c r="J241" t="s">
        <v>4415</v>
      </c>
      <c r="K241">
        <v>4.9000000000000004</v>
      </c>
      <c r="L241">
        <v>9.8000000000000007</v>
      </c>
      <c r="M241">
        <v>12.5</v>
      </c>
      <c r="N241" t="s">
        <v>4390</v>
      </c>
      <c r="O241" t="s">
        <v>4400</v>
      </c>
      <c r="P241" s="1">
        <v>45990</v>
      </c>
      <c r="Q241" t="str">
        <f t="shared" si="12"/>
        <v>10+ Years</v>
      </c>
      <c r="R241" t="str">
        <f>IF(Table7[[#This Row],[Age]]&lt;=25,"20-25",IF(Table7[[#This Row],[Age]]&lt;=30,"26-30",IF(Table7[[#This Row],[Age]]&lt;=35,"31-35","36+")))</f>
        <v>20-25</v>
      </c>
      <c r="S241" t="str">
        <f t="shared" si="13"/>
        <v>November</v>
      </c>
      <c r="T241" s="2" t="str">
        <f t="shared" si="14"/>
        <v>Q4</v>
      </c>
      <c r="U241" s="2">
        <f t="shared" si="15"/>
        <v>2025</v>
      </c>
    </row>
    <row r="242" spans="1:21" x14ac:dyDescent="0.3">
      <c r="A242" t="s">
        <v>3094</v>
      </c>
      <c r="B242" t="s">
        <v>5008</v>
      </c>
      <c r="C242" t="s">
        <v>5009</v>
      </c>
      <c r="D242" t="s">
        <v>4372</v>
      </c>
      <c r="E242">
        <v>24</v>
      </c>
      <c r="F242" t="s">
        <v>5010</v>
      </c>
      <c r="G242">
        <v>9721527842</v>
      </c>
      <c r="H242" t="s">
        <v>4476</v>
      </c>
      <c r="I242" t="s">
        <v>4477</v>
      </c>
      <c r="J242" t="s">
        <v>4367</v>
      </c>
      <c r="K242">
        <v>2.5</v>
      </c>
      <c r="L242">
        <v>13.2</v>
      </c>
      <c r="M242">
        <v>15.8</v>
      </c>
      <c r="N242" t="s">
        <v>4368</v>
      </c>
      <c r="O242" t="s">
        <v>4369</v>
      </c>
      <c r="P242" s="1">
        <v>45979</v>
      </c>
      <c r="Q242" t="str">
        <f t="shared" si="12"/>
        <v>10+ Years</v>
      </c>
      <c r="R242" t="str">
        <f>IF(Table7[[#This Row],[Age]]&lt;=25,"20-25",IF(Table7[[#This Row],[Age]]&lt;=30,"26-30",IF(Table7[[#This Row],[Age]]&lt;=35,"31-35","36+")))</f>
        <v>20-25</v>
      </c>
      <c r="S242" t="str">
        <f t="shared" si="13"/>
        <v>November</v>
      </c>
      <c r="T242" s="2" t="str">
        <f t="shared" si="14"/>
        <v>Q4</v>
      </c>
      <c r="U242" s="2">
        <f t="shared" si="15"/>
        <v>2025</v>
      </c>
    </row>
    <row r="243" spans="1:21" x14ac:dyDescent="0.3">
      <c r="A243" t="s">
        <v>822</v>
      </c>
      <c r="B243" t="s">
        <v>4907</v>
      </c>
      <c r="C243" t="s">
        <v>4893</v>
      </c>
      <c r="D243" t="s">
        <v>4372</v>
      </c>
      <c r="E243">
        <v>21</v>
      </c>
      <c r="F243" t="s">
        <v>5011</v>
      </c>
      <c r="G243">
        <v>9167669938</v>
      </c>
      <c r="H243" t="s">
        <v>4476</v>
      </c>
      <c r="I243" t="s">
        <v>4477</v>
      </c>
      <c r="J243" t="s">
        <v>4367</v>
      </c>
      <c r="K243">
        <v>2.2000000000000002</v>
      </c>
      <c r="L243">
        <v>12.3</v>
      </c>
      <c r="M243">
        <v>16.3</v>
      </c>
      <c r="N243" t="s">
        <v>4406</v>
      </c>
      <c r="O243" t="s">
        <v>4369</v>
      </c>
      <c r="P243" s="1">
        <v>45860</v>
      </c>
      <c r="Q243" t="str">
        <f t="shared" si="12"/>
        <v>10+ Years</v>
      </c>
      <c r="R243" t="str">
        <f>IF(Table7[[#This Row],[Age]]&lt;=25,"20-25",IF(Table7[[#This Row],[Age]]&lt;=30,"26-30",IF(Table7[[#This Row],[Age]]&lt;=35,"31-35","36+")))</f>
        <v>20-25</v>
      </c>
      <c r="S243" t="str">
        <f t="shared" si="13"/>
        <v>July</v>
      </c>
      <c r="T243" s="2" t="str">
        <f t="shared" si="14"/>
        <v>Q3</v>
      </c>
      <c r="U243" s="2">
        <f t="shared" si="15"/>
        <v>2025</v>
      </c>
    </row>
    <row r="244" spans="1:21" x14ac:dyDescent="0.3">
      <c r="A244" t="s">
        <v>5012</v>
      </c>
      <c r="B244" t="s">
        <v>4731</v>
      </c>
      <c r="C244" t="s">
        <v>4927</v>
      </c>
      <c r="D244" t="s">
        <v>4363</v>
      </c>
      <c r="E244">
        <v>30</v>
      </c>
      <c r="F244" t="s">
        <v>5013</v>
      </c>
      <c r="G244">
        <v>9572061016</v>
      </c>
      <c r="H244" t="s">
        <v>4410</v>
      </c>
      <c r="I244" t="s">
        <v>4411</v>
      </c>
      <c r="J244" t="s">
        <v>4376</v>
      </c>
      <c r="K244">
        <v>1.5</v>
      </c>
      <c r="L244">
        <v>2.5</v>
      </c>
      <c r="M244">
        <v>3</v>
      </c>
      <c r="N244" t="s">
        <v>4406</v>
      </c>
      <c r="O244" t="s">
        <v>4485</v>
      </c>
      <c r="P244" s="1">
        <v>45746</v>
      </c>
      <c r="Q244" t="str">
        <f t="shared" si="12"/>
        <v>10+ Years</v>
      </c>
      <c r="R244" t="str">
        <f>IF(Table7[[#This Row],[Age]]&lt;=25,"20-25",IF(Table7[[#This Row],[Age]]&lt;=30,"26-30",IF(Table7[[#This Row],[Age]]&lt;=35,"31-35","36+")))</f>
        <v>26-30</v>
      </c>
      <c r="S244" t="str">
        <f t="shared" si="13"/>
        <v>March</v>
      </c>
      <c r="T244" s="2" t="str">
        <f t="shared" si="14"/>
        <v>Q1</v>
      </c>
      <c r="U244" s="2">
        <f t="shared" si="15"/>
        <v>2025</v>
      </c>
    </row>
    <row r="245" spans="1:21" x14ac:dyDescent="0.3">
      <c r="A245" t="s">
        <v>2743</v>
      </c>
      <c r="B245" t="s">
        <v>4370</v>
      </c>
      <c r="C245" t="s">
        <v>5014</v>
      </c>
      <c r="D245" t="s">
        <v>4372</v>
      </c>
      <c r="E245">
        <v>35</v>
      </c>
      <c r="F245" t="s">
        <v>5015</v>
      </c>
      <c r="G245">
        <v>9426070212</v>
      </c>
      <c r="H245" t="s">
        <v>4381</v>
      </c>
      <c r="I245" t="s">
        <v>4382</v>
      </c>
      <c r="J245" t="s">
        <v>4376</v>
      </c>
      <c r="K245">
        <v>9.6</v>
      </c>
      <c r="L245">
        <v>21.3</v>
      </c>
      <c r="M245">
        <v>30.6</v>
      </c>
      <c r="N245" t="s">
        <v>4390</v>
      </c>
      <c r="O245" t="s">
        <v>4485</v>
      </c>
      <c r="P245" s="1">
        <v>45782</v>
      </c>
      <c r="Q245" t="str">
        <f t="shared" si="12"/>
        <v>10+ Years</v>
      </c>
      <c r="R245" t="str">
        <f>IF(Table7[[#This Row],[Age]]&lt;=25,"20-25",IF(Table7[[#This Row],[Age]]&lt;=30,"26-30",IF(Table7[[#This Row],[Age]]&lt;=35,"31-35","36+")))</f>
        <v>31-35</v>
      </c>
      <c r="S245" t="str">
        <f t="shared" si="13"/>
        <v>May</v>
      </c>
      <c r="T245" s="2" t="str">
        <f t="shared" si="14"/>
        <v>Q2</v>
      </c>
      <c r="U245" s="2">
        <f t="shared" si="15"/>
        <v>2025</v>
      </c>
    </row>
    <row r="246" spans="1:21" x14ac:dyDescent="0.3">
      <c r="A246" t="s">
        <v>3553</v>
      </c>
      <c r="B246" t="s">
        <v>5016</v>
      </c>
      <c r="C246" t="s">
        <v>5017</v>
      </c>
      <c r="D246" t="s">
        <v>4363</v>
      </c>
      <c r="E246">
        <v>33</v>
      </c>
      <c r="F246" t="s">
        <v>5018</v>
      </c>
      <c r="G246">
        <v>9871446735</v>
      </c>
      <c r="H246" t="s">
        <v>4521</v>
      </c>
      <c r="I246" t="s">
        <v>4522</v>
      </c>
      <c r="J246" t="s">
        <v>4432</v>
      </c>
      <c r="K246">
        <v>7.9</v>
      </c>
      <c r="L246">
        <v>21.6</v>
      </c>
      <c r="M246">
        <v>26.4</v>
      </c>
      <c r="N246" t="s">
        <v>4377</v>
      </c>
      <c r="O246" t="s">
        <v>4391</v>
      </c>
      <c r="P246" s="1">
        <v>45782</v>
      </c>
      <c r="Q246" t="str">
        <f t="shared" si="12"/>
        <v>10+ Years</v>
      </c>
      <c r="R246" t="str">
        <f>IF(Table7[[#This Row],[Age]]&lt;=25,"20-25",IF(Table7[[#This Row],[Age]]&lt;=30,"26-30",IF(Table7[[#This Row],[Age]]&lt;=35,"31-35","36+")))</f>
        <v>31-35</v>
      </c>
      <c r="S246" t="str">
        <f t="shared" si="13"/>
        <v>May</v>
      </c>
      <c r="T246" s="2" t="str">
        <f t="shared" si="14"/>
        <v>Q2</v>
      </c>
      <c r="U246" s="2">
        <f t="shared" si="15"/>
        <v>2025</v>
      </c>
    </row>
    <row r="247" spans="1:21" x14ac:dyDescent="0.3">
      <c r="A247" t="s">
        <v>641</v>
      </c>
      <c r="B247" t="s">
        <v>5019</v>
      </c>
      <c r="C247" t="s">
        <v>5020</v>
      </c>
      <c r="D247" t="s">
        <v>4372</v>
      </c>
      <c r="E247">
        <v>24</v>
      </c>
      <c r="F247" t="s">
        <v>5021</v>
      </c>
      <c r="G247">
        <v>9484824829</v>
      </c>
      <c r="H247" t="s">
        <v>4381</v>
      </c>
      <c r="I247" t="s">
        <v>4382</v>
      </c>
      <c r="J247" t="s">
        <v>4367</v>
      </c>
      <c r="K247">
        <v>5.4</v>
      </c>
      <c r="L247">
        <v>8</v>
      </c>
      <c r="M247">
        <v>11.5</v>
      </c>
      <c r="N247" t="s">
        <v>4368</v>
      </c>
      <c r="O247" t="s">
        <v>4383</v>
      </c>
      <c r="P247" s="1">
        <v>45716</v>
      </c>
      <c r="Q247" t="str">
        <f t="shared" si="12"/>
        <v>10+ Years</v>
      </c>
      <c r="R247" t="str">
        <f>IF(Table7[[#This Row],[Age]]&lt;=25,"20-25",IF(Table7[[#This Row],[Age]]&lt;=30,"26-30",IF(Table7[[#This Row],[Age]]&lt;=35,"31-35","36+")))</f>
        <v>20-25</v>
      </c>
      <c r="S247" t="str">
        <f t="shared" si="13"/>
        <v>February</v>
      </c>
      <c r="T247" s="2" t="str">
        <f t="shared" si="14"/>
        <v>Q1</v>
      </c>
      <c r="U247" s="2">
        <f t="shared" si="15"/>
        <v>2025</v>
      </c>
    </row>
    <row r="248" spans="1:21" x14ac:dyDescent="0.3">
      <c r="A248" t="s">
        <v>2500</v>
      </c>
      <c r="B248" t="s">
        <v>4439</v>
      </c>
      <c r="C248" t="s">
        <v>4905</v>
      </c>
      <c r="D248" t="s">
        <v>4372</v>
      </c>
      <c r="E248">
        <v>24</v>
      </c>
      <c r="F248" t="s">
        <v>5022</v>
      </c>
      <c r="G248">
        <v>9460648771</v>
      </c>
      <c r="H248" t="s">
        <v>4381</v>
      </c>
      <c r="I248" t="s">
        <v>4382</v>
      </c>
      <c r="J248" t="s">
        <v>4376</v>
      </c>
      <c r="K248">
        <v>1.9</v>
      </c>
      <c r="L248">
        <v>17</v>
      </c>
      <c r="M248">
        <v>24.4</v>
      </c>
      <c r="N248" t="s">
        <v>4390</v>
      </c>
      <c r="O248" t="s">
        <v>4485</v>
      </c>
      <c r="P248" s="1">
        <v>45941</v>
      </c>
      <c r="Q248" t="str">
        <f t="shared" si="12"/>
        <v>10+ Years</v>
      </c>
      <c r="R248" t="str">
        <f>IF(Table7[[#This Row],[Age]]&lt;=25,"20-25",IF(Table7[[#This Row],[Age]]&lt;=30,"26-30",IF(Table7[[#This Row],[Age]]&lt;=35,"31-35","36+")))</f>
        <v>20-25</v>
      </c>
      <c r="S248" t="str">
        <f t="shared" si="13"/>
        <v>October</v>
      </c>
      <c r="T248" s="2" t="str">
        <f t="shared" si="14"/>
        <v>Q4</v>
      </c>
      <c r="U248" s="2">
        <f t="shared" si="15"/>
        <v>2025</v>
      </c>
    </row>
    <row r="249" spans="1:21" x14ac:dyDescent="0.3">
      <c r="A249" t="s">
        <v>1692</v>
      </c>
      <c r="B249" t="s">
        <v>4416</v>
      </c>
      <c r="C249" t="s">
        <v>4693</v>
      </c>
      <c r="D249" t="s">
        <v>4372</v>
      </c>
      <c r="E249">
        <v>26</v>
      </c>
      <c r="F249" t="s">
        <v>5023</v>
      </c>
      <c r="G249">
        <v>9601452306</v>
      </c>
      <c r="H249" t="s">
        <v>4454</v>
      </c>
      <c r="I249" t="s">
        <v>4455</v>
      </c>
      <c r="J249" t="s">
        <v>4482</v>
      </c>
      <c r="K249">
        <v>0.7</v>
      </c>
      <c r="L249">
        <v>10.4</v>
      </c>
      <c r="M249">
        <v>13.1</v>
      </c>
      <c r="N249" t="s">
        <v>4368</v>
      </c>
      <c r="O249" t="s">
        <v>4369</v>
      </c>
      <c r="P249" s="1">
        <v>45737</v>
      </c>
      <c r="Q249" t="str">
        <f t="shared" si="12"/>
        <v>10+ Years</v>
      </c>
      <c r="R249" t="str">
        <f>IF(Table7[[#This Row],[Age]]&lt;=25,"20-25",IF(Table7[[#This Row],[Age]]&lt;=30,"26-30",IF(Table7[[#This Row],[Age]]&lt;=35,"31-35","36+")))</f>
        <v>26-30</v>
      </c>
      <c r="S249" t="str">
        <f t="shared" si="13"/>
        <v>March</v>
      </c>
      <c r="T249" s="2" t="str">
        <f t="shared" si="14"/>
        <v>Q1</v>
      </c>
      <c r="U249" s="2">
        <f t="shared" si="15"/>
        <v>2025</v>
      </c>
    </row>
    <row r="250" spans="1:21" x14ac:dyDescent="0.3">
      <c r="A250" t="s">
        <v>5024</v>
      </c>
      <c r="B250" t="s">
        <v>4704</v>
      </c>
      <c r="C250" t="s">
        <v>5025</v>
      </c>
      <c r="D250" t="s">
        <v>4372</v>
      </c>
      <c r="E250">
        <v>21</v>
      </c>
      <c r="F250" t="s">
        <v>5026</v>
      </c>
      <c r="G250">
        <v>9199462111</v>
      </c>
      <c r="H250" t="s">
        <v>4365</v>
      </c>
      <c r="I250" t="s">
        <v>4366</v>
      </c>
      <c r="J250" t="s">
        <v>4432</v>
      </c>
      <c r="K250">
        <v>7.9</v>
      </c>
      <c r="L250">
        <v>14.2</v>
      </c>
      <c r="M250">
        <v>19.8</v>
      </c>
      <c r="N250" t="s">
        <v>4406</v>
      </c>
      <c r="O250" t="s">
        <v>4391</v>
      </c>
      <c r="P250" s="1">
        <v>45780</v>
      </c>
      <c r="Q250" t="str">
        <f t="shared" si="12"/>
        <v>10+ Years</v>
      </c>
      <c r="R250" t="str">
        <f>IF(Table7[[#This Row],[Age]]&lt;=25,"20-25",IF(Table7[[#This Row],[Age]]&lt;=30,"26-30",IF(Table7[[#This Row],[Age]]&lt;=35,"31-35","36+")))</f>
        <v>20-25</v>
      </c>
      <c r="S250" t="str">
        <f t="shared" si="13"/>
        <v>May</v>
      </c>
      <c r="T250" s="2" t="str">
        <f t="shared" si="14"/>
        <v>Q2</v>
      </c>
      <c r="U250" s="2">
        <f t="shared" si="15"/>
        <v>2025</v>
      </c>
    </row>
    <row r="251" spans="1:21" x14ac:dyDescent="0.3">
      <c r="A251" t="s">
        <v>291</v>
      </c>
      <c r="B251" t="s">
        <v>4523</v>
      </c>
      <c r="C251" t="s">
        <v>5027</v>
      </c>
      <c r="D251" t="s">
        <v>4372</v>
      </c>
      <c r="E251">
        <v>21</v>
      </c>
      <c r="F251" t="s">
        <v>5028</v>
      </c>
      <c r="G251">
        <v>9332439504</v>
      </c>
      <c r="H251" t="s">
        <v>4404</v>
      </c>
      <c r="I251" t="s">
        <v>4405</v>
      </c>
      <c r="J251" t="s">
        <v>4482</v>
      </c>
      <c r="K251">
        <v>5.0999999999999996</v>
      </c>
      <c r="L251">
        <v>11</v>
      </c>
      <c r="M251">
        <v>14.6</v>
      </c>
      <c r="N251" t="s">
        <v>4390</v>
      </c>
      <c r="O251" t="s">
        <v>4391</v>
      </c>
      <c r="P251" s="1">
        <v>45901</v>
      </c>
      <c r="Q251" t="str">
        <f t="shared" si="12"/>
        <v>10+ Years</v>
      </c>
      <c r="R251" t="str">
        <f>IF(Table7[[#This Row],[Age]]&lt;=25,"20-25",IF(Table7[[#This Row],[Age]]&lt;=30,"26-30",IF(Table7[[#This Row],[Age]]&lt;=35,"31-35","36+")))</f>
        <v>20-25</v>
      </c>
      <c r="S251" t="str">
        <f t="shared" si="13"/>
        <v>September</v>
      </c>
      <c r="T251" s="2" t="str">
        <f t="shared" si="14"/>
        <v>Q3</v>
      </c>
      <c r="U251" s="2">
        <f t="shared" si="15"/>
        <v>2025</v>
      </c>
    </row>
    <row r="252" spans="1:21" x14ac:dyDescent="0.3">
      <c r="A252" t="s">
        <v>1735</v>
      </c>
      <c r="B252" t="s">
        <v>5029</v>
      </c>
      <c r="C252" t="s">
        <v>5030</v>
      </c>
      <c r="D252" t="s">
        <v>4372</v>
      </c>
      <c r="E252">
        <v>28</v>
      </c>
      <c r="F252" t="s">
        <v>5031</v>
      </c>
      <c r="G252">
        <v>9586074502</v>
      </c>
      <c r="H252" t="s">
        <v>4395</v>
      </c>
      <c r="I252" t="s">
        <v>4396</v>
      </c>
      <c r="J252" t="s">
        <v>4367</v>
      </c>
      <c r="K252">
        <v>2.7</v>
      </c>
      <c r="L252">
        <v>2.5</v>
      </c>
      <c r="M252">
        <v>3.4</v>
      </c>
      <c r="N252" t="s">
        <v>4368</v>
      </c>
      <c r="O252" t="s">
        <v>4485</v>
      </c>
      <c r="P252" s="1">
        <v>45958</v>
      </c>
      <c r="Q252" t="str">
        <f t="shared" si="12"/>
        <v>10+ Years</v>
      </c>
      <c r="R252" t="str">
        <f>IF(Table7[[#This Row],[Age]]&lt;=25,"20-25",IF(Table7[[#This Row],[Age]]&lt;=30,"26-30",IF(Table7[[#This Row],[Age]]&lt;=35,"31-35","36+")))</f>
        <v>26-30</v>
      </c>
      <c r="S252" t="str">
        <f t="shared" si="13"/>
        <v>October</v>
      </c>
      <c r="T252" s="2" t="str">
        <f t="shared" si="14"/>
        <v>Q4</v>
      </c>
      <c r="U252" s="2">
        <f t="shared" si="15"/>
        <v>2025</v>
      </c>
    </row>
    <row r="253" spans="1:21" x14ac:dyDescent="0.3">
      <c r="A253" t="s">
        <v>2291</v>
      </c>
      <c r="B253" t="s">
        <v>4407</v>
      </c>
      <c r="C253" t="s">
        <v>5032</v>
      </c>
      <c r="D253" t="s">
        <v>4720</v>
      </c>
      <c r="E253">
        <v>29</v>
      </c>
      <c r="F253" t="s">
        <v>5033</v>
      </c>
      <c r="G253">
        <v>9364409614</v>
      </c>
      <c r="H253" t="s">
        <v>4381</v>
      </c>
      <c r="I253" t="s">
        <v>4382</v>
      </c>
      <c r="J253" t="s">
        <v>4376</v>
      </c>
      <c r="K253">
        <v>8.8000000000000007</v>
      </c>
      <c r="L253">
        <v>18.399999999999999</v>
      </c>
      <c r="M253">
        <v>21.9</v>
      </c>
      <c r="N253" t="s">
        <v>4377</v>
      </c>
      <c r="O253" t="s">
        <v>4369</v>
      </c>
      <c r="P253" s="1">
        <v>45920</v>
      </c>
      <c r="Q253" t="str">
        <f t="shared" si="12"/>
        <v>10+ Years</v>
      </c>
      <c r="R253" t="str">
        <f>IF(Table7[[#This Row],[Age]]&lt;=25,"20-25",IF(Table7[[#This Row],[Age]]&lt;=30,"26-30",IF(Table7[[#This Row],[Age]]&lt;=35,"31-35","36+")))</f>
        <v>26-30</v>
      </c>
      <c r="S253" t="str">
        <f t="shared" si="13"/>
        <v>September</v>
      </c>
      <c r="T253" s="2" t="str">
        <f t="shared" si="14"/>
        <v>Q3</v>
      </c>
      <c r="U253" s="2">
        <f t="shared" si="15"/>
        <v>2025</v>
      </c>
    </row>
    <row r="254" spans="1:21" x14ac:dyDescent="0.3">
      <c r="A254" t="s">
        <v>2322</v>
      </c>
      <c r="B254" t="s">
        <v>5034</v>
      </c>
      <c r="C254" t="s">
        <v>5035</v>
      </c>
      <c r="D254" t="s">
        <v>4372</v>
      </c>
      <c r="E254">
        <v>30</v>
      </c>
      <c r="F254" t="s">
        <v>5036</v>
      </c>
      <c r="G254">
        <v>9890207748</v>
      </c>
      <c r="H254" t="s">
        <v>4473</v>
      </c>
      <c r="I254" t="s">
        <v>4473</v>
      </c>
      <c r="J254" t="s">
        <v>4389</v>
      </c>
      <c r="K254">
        <v>6.1</v>
      </c>
      <c r="L254">
        <v>14.5</v>
      </c>
      <c r="M254">
        <v>16.399999999999999</v>
      </c>
      <c r="O254" t="s">
        <v>4369</v>
      </c>
      <c r="P254" s="1">
        <v>45665</v>
      </c>
      <c r="Q254" t="str">
        <f t="shared" si="12"/>
        <v>10+ Years</v>
      </c>
      <c r="R254" t="str">
        <f>IF(Table7[[#This Row],[Age]]&lt;=25,"20-25",IF(Table7[[#This Row],[Age]]&lt;=30,"26-30",IF(Table7[[#This Row],[Age]]&lt;=35,"31-35","36+")))</f>
        <v>26-30</v>
      </c>
      <c r="S254" t="str">
        <f t="shared" si="13"/>
        <v>January</v>
      </c>
      <c r="T254" s="2" t="str">
        <f t="shared" si="14"/>
        <v>Q1</v>
      </c>
      <c r="U254" s="2">
        <f t="shared" si="15"/>
        <v>2025</v>
      </c>
    </row>
    <row r="255" spans="1:21" x14ac:dyDescent="0.3">
      <c r="A255" t="s">
        <v>725</v>
      </c>
      <c r="B255" t="s">
        <v>4467</v>
      </c>
      <c r="C255" t="s">
        <v>4924</v>
      </c>
      <c r="D255" t="s">
        <v>4372</v>
      </c>
      <c r="E255">
        <v>28</v>
      </c>
      <c r="F255" t="s">
        <v>5037</v>
      </c>
      <c r="G255">
        <v>9845889116</v>
      </c>
      <c r="H255" t="s">
        <v>4395</v>
      </c>
      <c r="I255" t="s">
        <v>4396</v>
      </c>
      <c r="J255" t="s">
        <v>4389</v>
      </c>
      <c r="K255">
        <v>0.7</v>
      </c>
      <c r="L255">
        <v>3.4</v>
      </c>
      <c r="M255">
        <v>4.0999999999999996</v>
      </c>
      <c r="N255" t="s">
        <v>4368</v>
      </c>
      <c r="O255" t="s">
        <v>4485</v>
      </c>
      <c r="P255" s="1">
        <v>45692</v>
      </c>
      <c r="Q255" t="str">
        <f t="shared" si="12"/>
        <v>10+ Years</v>
      </c>
      <c r="R255" t="str">
        <f>IF(Table7[[#This Row],[Age]]&lt;=25,"20-25",IF(Table7[[#This Row],[Age]]&lt;=30,"26-30",IF(Table7[[#This Row],[Age]]&lt;=35,"31-35","36+")))</f>
        <v>26-30</v>
      </c>
      <c r="S255" t="str">
        <f t="shared" si="13"/>
        <v>February</v>
      </c>
      <c r="T255" s="2" t="str">
        <f t="shared" si="14"/>
        <v>Q1</v>
      </c>
      <c r="U255" s="2">
        <f t="shared" si="15"/>
        <v>2025</v>
      </c>
    </row>
    <row r="256" spans="1:21" x14ac:dyDescent="0.3">
      <c r="A256" t="s">
        <v>1189</v>
      </c>
      <c r="B256" t="s">
        <v>4766</v>
      </c>
      <c r="C256" t="s">
        <v>5038</v>
      </c>
      <c r="D256" t="s">
        <v>4363</v>
      </c>
      <c r="E256">
        <v>31</v>
      </c>
      <c r="F256" t="s">
        <v>5039</v>
      </c>
      <c r="G256">
        <v>9964555813</v>
      </c>
      <c r="H256" t="s">
        <v>4374</v>
      </c>
      <c r="I256" t="s">
        <v>4375</v>
      </c>
      <c r="J256" t="s">
        <v>4389</v>
      </c>
      <c r="K256">
        <v>1.6</v>
      </c>
      <c r="L256">
        <v>12.2</v>
      </c>
      <c r="M256">
        <v>14.4</v>
      </c>
      <c r="N256" t="s">
        <v>4390</v>
      </c>
      <c r="O256" t="s">
        <v>4369</v>
      </c>
      <c r="P256" s="1">
        <v>45805</v>
      </c>
      <c r="Q256" t="str">
        <f t="shared" si="12"/>
        <v>10+ Years</v>
      </c>
      <c r="R256" t="str">
        <f>IF(Table7[[#This Row],[Age]]&lt;=25,"20-25",IF(Table7[[#This Row],[Age]]&lt;=30,"26-30",IF(Table7[[#This Row],[Age]]&lt;=35,"31-35","36+")))</f>
        <v>31-35</v>
      </c>
      <c r="S256" t="str">
        <f t="shared" si="13"/>
        <v>May</v>
      </c>
      <c r="T256" s="2" t="str">
        <f t="shared" si="14"/>
        <v>Q2</v>
      </c>
      <c r="U256" s="2">
        <f t="shared" si="15"/>
        <v>2025</v>
      </c>
    </row>
    <row r="257" spans="1:21" x14ac:dyDescent="0.3">
      <c r="A257" t="s">
        <v>918</v>
      </c>
      <c r="B257" t="s">
        <v>4526</v>
      </c>
      <c r="C257" t="s">
        <v>4729</v>
      </c>
      <c r="D257" t="s">
        <v>4372</v>
      </c>
      <c r="E257">
        <v>26</v>
      </c>
      <c r="F257" t="s">
        <v>5040</v>
      </c>
      <c r="G257">
        <v>9528393728</v>
      </c>
      <c r="H257" t="s">
        <v>4454</v>
      </c>
      <c r="I257" t="s">
        <v>4455</v>
      </c>
      <c r="J257" t="s">
        <v>4482</v>
      </c>
      <c r="K257">
        <v>9.3000000000000007</v>
      </c>
      <c r="L257">
        <v>12.6</v>
      </c>
      <c r="M257">
        <v>17.600000000000001</v>
      </c>
      <c r="N257" t="s">
        <v>4390</v>
      </c>
      <c r="O257" t="s">
        <v>4383</v>
      </c>
      <c r="P257" s="1">
        <v>45979</v>
      </c>
      <c r="Q257" t="str">
        <f t="shared" si="12"/>
        <v>10+ Years</v>
      </c>
      <c r="R257" t="str">
        <f>IF(Table7[[#This Row],[Age]]&lt;=25,"20-25",IF(Table7[[#This Row],[Age]]&lt;=30,"26-30",IF(Table7[[#This Row],[Age]]&lt;=35,"31-35","36+")))</f>
        <v>26-30</v>
      </c>
      <c r="S257" t="str">
        <f t="shared" si="13"/>
        <v>November</v>
      </c>
      <c r="T257" s="2" t="str">
        <f t="shared" si="14"/>
        <v>Q4</v>
      </c>
      <c r="U257" s="2">
        <f t="shared" si="15"/>
        <v>2025</v>
      </c>
    </row>
    <row r="258" spans="1:21" x14ac:dyDescent="0.3">
      <c r="A258" t="s">
        <v>463</v>
      </c>
      <c r="B258" t="s">
        <v>4860</v>
      </c>
      <c r="C258" t="s">
        <v>5041</v>
      </c>
      <c r="D258" t="s">
        <v>4363</v>
      </c>
      <c r="E258">
        <v>36</v>
      </c>
      <c r="F258" t="s">
        <v>5042</v>
      </c>
      <c r="G258">
        <v>9396912199</v>
      </c>
      <c r="H258" t="s">
        <v>4395</v>
      </c>
      <c r="I258" t="s">
        <v>4396</v>
      </c>
      <c r="J258" t="s">
        <v>4367</v>
      </c>
      <c r="K258">
        <v>2.2999999999999998</v>
      </c>
      <c r="L258">
        <v>7.7</v>
      </c>
      <c r="M258">
        <v>10.4</v>
      </c>
      <c r="N258" t="s">
        <v>4390</v>
      </c>
      <c r="O258" t="s">
        <v>4391</v>
      </c>
      <c r="P258" s="1">
        <v>45869</v>
      </c>
      <c r="Q258" t="str">
        <f t="shared" ref="Q258:Q321" si="16">IF(P258&lt;=2,"0-2 Years",IF(P258&lt;=5,"3-5 Years",IF(P258&lt;=10,"6-10 Years","10+ Years")))</f>
        <v>10+ Years</v>
      </c>
      <c r="R258" t="str">
        <f>IF(Table7[[#This Row],[Age]]&lt;=25,"20-25",IF(Table7[[#This Row],[Age]]&lt;=30,"26-30",IF(Table7[[#This Row],[Age]]&lt;=35,"31-35","36+")))</f>
        <v>36+</v>
      </c>
      <c r="S258" t="str">
        <f t="shared" ref="S258:S321" si="17">TEXT(P258,"mmmm")</f>
        <v>July</v>
      </c>
      <c r="T258" s="2" t="str">
        <f t="shared" ref="T258:T321" si="18">"Q"&amp;ROUNDUP(MONTH(P258)/3,0)</f>
        <v>Q3</v>
      </c>
      <c r="U258" s="2">
        <f t="shared" ref="U258:U321" si="19">YEAR(P258)</f>
        <v>2025</v>
      </c>
    </row>
    <row r="259" spans="1:21" x14ac:dyDescent="0.3">
      <c r="A259" t="s">
        <v>103</v>
      </c>
      <c r="B259" t="s">
        <v>4451</v>
      </c>
      <c r="C259" t="s">
        <v>4430</v>
      </c>
      <c r="D259" t="s">
        <v>4372</v>
      </c>
      <c r="E259">
        <v>25</v>
      </c>
      <c r="F259" t="s">
        <v>5043</v>
      </c>
      <c r="G259">
        <v>9850812476</v>
      </c>
      <c r="H259" t="s">
        <v>4491</v>
      </c>
      <c r="I259" t="s">
        <v>4491</v>
      </c>
      <c r="J259" t="s">
        <v>4432</v>
      </c>
      <c r="K259">
        <v>16.3</v>
      </c>
      <c r="L259">
        <v>23.2</v>
      </c>
      <c r="M259">
        <v>32.5</v>
      </c>
      <c r="N259" t="s">
        <v>4390</v>
      </c>
      <c r="O259" t="s">
        <v>4383</v>
      </c>
      <c r="P259" s="1">
        <v>45751</v>
      </c>
      <c r="Q259" t="str">
        <f t="shared" si="16"/>
        <v>10+ Years</v>
      </c>
      <c r="R259" t="str">
        <f>IF(Table7[[#This Row],[Age]]&lt;=25,"20-25",IF(Table7[[#This Row],[Age]]&lt;=30,"26-30",IF(Table7[[#This Row],[Age]]&lt;=35,"31-35","36+")))</f>
        <v>20-25</v>
      </c>
      <c r="S259" t="str">
        <f t="shared" si="17"/>
        <v>April</v>
      </c>
      <c r="T259" s="2" t="str">
        <f t="shared" si="18"/>
        <v>Q2</v>
      </c>
      <c r="U259" s="2">
        <f t="shared" si="19"/>
        <v>2025</v>
      </c>
    </row>
    <row r="260" spans="1:21" x14ac:dyDescent="0.3">
      <c r="A260" t="s">
        <v>231</v>
      </c>
      <c r="B260" t="s">
        <v>4407</v>
      </c>
      <c r="C260" t="s">
        <v>5044</v>
      </c>
      <c r="D260" t="s">
        <v>4372</v>
      </c>
      <c r="E260">
        <v>24</v>
      </c>
      <c r="F260" t="s">
        <v>5045</v>
      </c>
      <c r="G260">
        <v>9753819400</v>
      </c>
      <c r="H260" t="s">
        <v>4404</v>
      </c>
      <c r="I260" t="s">
        <v>4405</v>
      </c>
      <c r="J260" t="s">
        <v>4367</v>
      </c>
      <c r="K260">
        <v>0.7</v>
      </c>
      <c r="L260">
        <v>3.4</v>
      </c>
      <c r="M260">
        <v>4.5999999999999996</v>
      </c>
      <c r="N260" t="s">
        <v>4390</v>
      </c>
      <c r="O260" t="s">
        <v>4383</v>
      </c>
      <c r="P260" s="1">
        <v>45878</v>
      </c>
      <c r="Q260" t="str">
        <f t="shared" si="16"/>
        <v>10+ Years</v>
      </c>
      <c r="R260" t="str">
        <f>IF(Table7[[#This Row],[Age]]&lt;=25,"20-25",IF(Table7[[#This Row],[Age]]&lt;=30,"26-30",IF(Table7[[#This Row],[Age]]&lt;=35,"31-35","36+")))</f>
        <v>20-25</v>
      </c>
      <c r="S260" t="str">
        <f t="shared" si="17"/>
        <v>August</v>
      </c>
      <c r="T260" s="2" t="str">
        <f t="shared" si="18"/>
        <v>Q3</v>
      </c>
      <c r="U260" s="2">
        <f t="shared" si="19"/>
        <v>2025</v>
      </c>
    </row>
    <row r="261" spans="1:21" x14ac:dyDescent="0.3">
      <c r="A261" t="s">
        <v>1909</v>
      </c>
      <c r="B261" t="s">
        <v>5046</v>
      </c>
      <c r="C261" t="s">
        <v>5047</v>
      </c>
      <c r="D261" t="s">
        <v>4372</v>
      </c>
      <c r="E261">
        <v>21</v>
      </c>
      <c r="F261" t="s">
        <v>5048</v>
      </c>
      <c r="G261">
        <v>9267706832</v>
      </c>
      <c r="H261" t="s">
        <v>4381</v>
      </c>
      <c r="I261" t="s">
        <v>4382</v>
      </c>
      <c r="J261" t="s">
        <v>4389</v>
      </c>
      <c r="K261">
        <v>6.9</v>
      </c>
      <c r="L261">
        <v>10.7</v>
      </c>
      <c r="M261">
        <v>13.9</v>
      </c>
      <c r="N261" t="s">
        <v>4390</v>
      </c>
      <c r="O261" t="s">
        <v>4485</v>
      </c>
      <c r="P261" s="1">
        <v>45947</v>
      </c>
      <c r="Q261" t="str">
        <f t="shared" si="16"/>
        <v>10+ Years</v>
      </c>
      <c r="R261" t="str">
        <f>IF(Table7[[#This Row],[Age]]&lt;=25,"20-25",IF(Table7[[#This Row],[Age]]&lt;=30,"26-30",IF(Table7[[#This Row],[Age]]&lt;=35,"31-35","36+")))</f>
        <v>20-25</v>
      </c>
      <c r="S261" t="str">
        <f t="shared" si="17"/>
        <v>October</v>
      </c>
      <c r="T261" s="2" t="str">
        <f t="shared" si="18"/>
        <v>Q4</v>
      </c>
      <c r="U261" s="2">
        <f t="shared" si="19"/>
        <v>2025</v>
      </c>
    </row>
    <row r="262" spans="1:21" x14ac:dyDescent="0.3">
      <c r="A262" t="s">
        <v>2109</v>
      </c>
      <c r="B262" t="s">
        <v>5049</v>
      </c>
      <c r="C262" t="s">
        <v>4532</v>
      </c>
      <c r="D262" t="s">
        <v>4363</v>
      </c>
      <c r="E262">
        <v>44</v>
      </c>
      <c r="F262" t="s">
        <v>5050</v>
      </c>
      <c r="G262">
        <v>9634607216</v>
      </c>
      <c r="H262" t="s">
        <v>4404</v>
      </c>
      <c r="I262" t="s">
        <v>4405</v>
      </c>
      <c r="J262" t="s">
        <v>4376</v>
      </c>
      <c r="K262">
        <v>1</v>
      </c>
      <c r="L262">
        <v>5.6</v>
      </c>
      <c r="M262">
        <v>8</v>
      </c>
      <c r="N262" t="s">
        <v>4390</v>
      </c>
      <c r="O262" t="s">
        <v>4383</v>
      </c>
      <c r="P262" s="1">
        <v>45658</v>
      </c>
      <c r="Q262" t="str">
        <f t="shared" si="16"/>
        <v>10+ Years</v>
      </c>
      <c r="R262" t="str">
        <f>IF(Table7[[#This Row],[Age]]&lt;=25,"20-25",IF(Table7[[#This Row],[Age]]&lt;=30,"26-30",IF(Table7[[#This Row],[Age]]&lt;=35,"31-35","36+")))</f>
        <v>36+</v>
      </c>
      <c r="S262" t="str">
        <f t="shared" si="17"/>
        <v>January</v>
      </c>
      <c r="T262" s="2" t="str">
        <f t="shared" si="18"/>
        <v>Q1</v>
      </c>
      <c r="U262" s="2">
        <f t="shared" si="19"/>
        <v>2025</v>
      </c>
    </row>
    <row r="263" spans="1:21" x14ac:dyDescent="0.3">
      <c r="A263" t="s">
        <v>816</v>
      </c>
      <c r="B263" t="s">
        <v>5051</v>
      </c>
      <c r="C263" t="s">
        <v>4794</v>
      </c>
      <c r="D263" t="s">
        <v>4372</v>
      </c>
      <c r="E263">
        <v>28</v>
      </c>
      <c r="F263" t="s">
        <v>5052</v>
      </c>
      <c r="G263">
        <v>9933731892</v>
      </c>
      <c r="H263" t="s">
        <v>4395</v>
      </c>
      <c r="I263" t="s">
        <v>4396</v>
      </c>
      <c r="J263" t="s">
        <v>4432</v>
      </c>
      <c r="K263">
        <v>0.4</v>
      </c>
      <c r="L263">
        <v>5.5</v>
      </c>
      <c r="M263">
        <v>6.2</v>
      </c>
      <c r="O263" t="s">
        <v>4383</v>
      </c>
      <c r="P263" s="1">
        <v>45682</v>
      </c>
      <c r="Q263" t="str">
        <f t="shared" si="16"/>
        <v>10+ Years</v>
      </c>
      <c r="R263" t="str">
        <f>IF(Table7[[#This Row],[Age]]&lt;=25,"20-25",IF(Table7[[#This Row],[Age]]&lt;=30,"26-30",IF(Table7[[#This Row],[Age]]&lt;=35,"31-35","36+")))</f>
        <v>26-30</v>
      </c>
      <c r="S263" t="str">
        <f t="shared" si="17"/>
        <v>January</v>
      </c>
      <c r="T263" s="2" t="str">
        <f t="shared" si="18"/>
        <v>Q1</v>
      </c>
      <c r="U263" s="2">
        <f t="shared" si="19"/>
        <v>2025</v>
      </c>
    </row>
    <row r="264" spans="1:21" x14ac:dyDescent="0.3">
      <c r="A264" t="s">
        <v>3430</v>
      </c>
      <c r="B264" t="s">
        <v>4582</v>
      </c>
      <c r="C264" t="s">
        <v>5053</v>
      </c>
      <c r="D264" t="s">
        <v>4363</v>
      </c>
      <c r="E264">
        <v>30</v>
      </c>
      <c r="F264" t="s">
        <v>5054</v>
      </c>
      <c r="G264">
        <v>9219386478</v>
      </c>
      <c r="H264" t="s">
        <v>4410</v>
      </c>
      <c r="I264" t="s">
        <v>4411</v>
      </c>
      <c r="J264" t="s">
        <v>4389</v>
      </c>
      <c r="K264">
        <v>8.1999999999999993</v>
      </c>
      <c r="L264">
        <v>18.100000000000001</v>
      </c>
      <c r="M264">
        <v>21.5</v>
      </c>
      <c r="N264" t="s">
        <v>4377</v>
      </c>
      <c r="O264" t="s">
        <v>4400</v>
      </c>
      <c r="P264" s="1">
        <v>45702</v>
      </c>
      <c r="Q264" t="str">
        <f t="shared" si="16"/>
        <v>10+ Years</v>
      </c>
      <c r="R264" t="str">
        <f>IF(Table7[[#This Row],[Age]]&lt;=25,"20-25",IF(Table7[[#This Row],[Age]]&lt;=30,"26-30",IF(Table7[[#This Row],[Age]]&lt;=35,"31-35","36+")))</f>
        <v>26-30</v>
      </c>
      <c r="S264" t="str">
        <f t="shared" si="17"/>
        <v>February</v>
      </c>
      <c r="T264" s="2" t="str">
        <f t="shared" si="18"/>
        <v>Q1</v>
      </c>
      <c r="U264" s="2">
        <f t="shared" si="19"/>
        <v>2025</v>
      </c>
    </row>
    <row r="265" spans="1:21" x14ac:dyDescent="0.3">
      <c r="A265" t="s">
        <v>3222</v>
      </c>
      <c r="B265" t="s">
        <v>4921</v>
      </c>
      <c r="C265" t="s">
        <v>4566</v>
      </c>
      <c r="D265" t="s">
        <v>4372</v>
      </c>
      <c r="E265">
        <v>30</v>
      </c>
      <c r="F265" t="s">
        <v>5055</v>
      </c>
      <c r="G265">
        <v>9522662874</v>
      </c>
      <c r="H265" t="s">
        <v>4404</v>
      </c>
      <c r="I265" t="s">
        <v>4405</v>
      </c>
      <c r="J265" t="s">
        <v>4376</v>
      </c>
      <c r="K265">
        <v>2.2000000000000002</v>
      </c>
      <c r="L265">
        <v>11.4</v>
      </c>
      <c r="M265">
        <v>13.6</v>
      </c>
      <c r="N265" t="s">
        <v>4390</v>
      </c>
      <c r="O265" t="s">
        <v>4391</v>
      </c>
      <c r="P265" s="1">
        <v>45875</v>
      </c>
      <c r="Q265" t="str">
        <f t="shared" si="16"/>
        <v>10+ Years</v>
      </c>
      <c r="R265" t="str">
        <f>IF(Table7[[#This Row],[Age]]&lt;=25,"20-25",IF(Table7[[#This Row],[Age]]&lt;=30,"26-30",IF(Table7[[#This Row],[Age]]&lt;=35,"31-35","36+")))</f>
        <v>26-30</v>
      </c>
      <c r="S265" t="str">
        <f t="shared" si="17"/>
        <v>August</v>
      </c>
      <c r="T265" s="2" t="str">
        <f t="shared" si="18"/>
        <v>Q3</v>
      </c>
      <c r="U265" s="2">
        <f t="shared" si="19"/>
        <v>2025</v>
      </c>
    </row>
    <row r="266" spans="1:21" x14ac:dyDescent="0.3">
      <c r="A266" t="s">
        <v>2061</v>
      </c>
      <c r="B266" t="s">
        <v>5056</v>
      </c>
      <c r="C266" t="s">
        <v>5057</v>
      </c>
      <c r="D266" t="s">
        <v>4372</v>
      </c>
      <c r="E266">
        <v>33</v>
      </c>
      <c r="F266" t="s">
        <v>5058</v>
      </c>
      <c r="G266">
        <v>9842621891</v>
      </c>
      <c r="H266" t="s">
        <v>4374</v>
      </c>
      <c r="I266" t="s">
        <v>4375</v>
      </c>
      <c r="J266" t="s">
        <v>4389</v>
      </c>
      <c r="K266">
        <v>2.2999999999999998</v>
      </c>
      <c r="L266">
        <v>11</v>
      </c>
      <c r="M266">
        <v>15.3</v>
      </c>
      <c r="N266" t="s">
        <v>4390</v>
      </c>
      <c r="O266" t="s">
        <v>4391</v>
      </c>
      <c r="P266" s="1">
        <v>45685</v>
      </c>
      <c r="Q266" t="str">
        <f t="shared" si="16"/>
        <v>10+ Years</v>
      </c>
      <c r="R266" t="str">
        <f>IF(Table7[[#This Row],[Age]]&lt;=25,"20-25",IF(Table7[[#This Row],[Age]]&lt;=30,"26-30",IF(Table7[[#This Row],[Age]]&lt;=35,"31-35","36+")))</f>
        <v>31-35</v>
      </c>
      <c r="S266" t="str">
        <f t="shared" si="17"/>
        <v>January</v>
      </c>
      <c r="T266" s="2" t="str">
        <f t="shared" si="18"/>
        <v>Q1</v>
      </c>
      <c r="U266" s="2">
        <f t="shared" si="19"/>
        <v>2025</v>
      </c>
    </row>
    <row r="267" spans="1:21" x14ac:dyDescent="0.3">
      <c r="A267" t="s">
        <v>1174</v>
      </c>
      <c r="B267" t="s">
        <v>4537</v>
      </c>
      <c r="C267" t="s">
        <v>4434</v>
      </c>
      <c r="D267" t="s">
        <v>4363</v>
      </c>
      <c r="E267">
        <v>21</v>
      </c>
      <c r="F267" t="s">
        <v>5059</v>
      </c>
      <c r="G267">
        <v>9559937729</v>
      </c>
      <c r="H267" t="s">
        <v>4395</v>
      </c>
      <c r="I267" t="s">
        <v>4396</v>
      </c>
      <c r="K267">
        <v>1.1000000000000001</v>
      </c>
      <c r="L267">
        <v>2.5</v>
      </c>
      <c r="M267">
        <v>3.6</v>
      </c>
      <c r="N267" t="s">
        <v>4406</v>
      </c>
      <c r="O267" t="s">
        <v>4400</v>
      </c>
      <c r="P267" s="1">
        <v>45680</v>
      </c>
      <c r="Q267" t="str">
        <f t="shared" si="16"/>
        <v>10+ Years</v>
      </c>
      <c r="R267" t="str">
        <f>IF(Table7[[#This Row],[Age]]&lt;=25,"20-25",IF(Table7[[#This Row],[Age]]&lt;=30,"26-30",IF(Table7[[#This Row],[Age]]&lt;=35,"31-35","36+")))</f>
        <v>20-25</v>
      </c>
      <c r="S267" t="str">
        <f t="shared" si="17"/>
        <v>January</v>
      </c>
      <c r="T267" s="2" t="str">
        <f t="shared" si="18"/>
        <v>Q1</v>
      </c>
      <c r="U267" s="2">
        <f t="shared" si="19"/>
        <v>2025</v>
      </c>
    </row>
    <row r="268" spans="1:21" x14ac:dyDescent="0.3">
      <c r="A268" t="s">
        <v>5060</v>
      </c>
      <c r="B268" t="s">
        <v>5061</v>
      </c>
      <c r="C268" t="s">
        <v>5062</v>
      </c>
      <c r="D268" t="s">
        <v>4363</v>
      </c>
      <c r="E268">
        <v>42</v>
      </c>
      <c r="F268" t="s">
        <v>5063</v>
      </c>
      <c r="G268">
        <v>9380458724</v>
      </c>
      <c r="H268" t="s">
        <v>4395</v>
      </c>
      <c r="I268" t="s">
        <v>4396</v>
      </c>
      <c r="J268" t="s">
        <v>4376</v>
      </c>
      <c r="K268">
        <v>4.5</v>
      </c>
      <c r="L268">
        <v>11.4</v>
      </c>
      <c r="M268">
        <v>16.399999999999999</v>
      </c>
      <c r="N268" t="s">
        <v>4390</v>
      </c>
      <c r="O268" t="s">
        <v>4383</v>
      </c>
      <c r="P268" s="1">
        <v>45785</v>
      </c>
      <c r="Q268" t="str">
        <f t="shared" si="16"/>
        <v>10+ Years</v>
      </c>
      <c r="R268" t="str">
        <f>IF(Table7[[#This Row],[Age]]&lt;=25,"20-25",IF(Table7[[#This Row],[Age]]&lt;=30,"26-30",IF(Table7[[#This Row],[Age]]&lt;=35,"31-35","36+")))</f>
        <v>36+</v>
      </c>
      <c r="S268" t="str">
        <f t="shared" si="17"/>
        <v>May</v>
      </c>
      <c r="T268" s="2" t="str">
        <f t="shared" si="18"/>
        <v>Q2</v>
      </c>
      <c r="U268" s="2">
        <f t="shared" si="19"/>
        <v>2025</v>
      </c>
    </row>
    <row r="269" spans="1:21" x14ac:dyDescent="0.3">
      <c r="A269" t="s">
        <v>2289</v>
      </c>
      <c r="B269" t="s">
        <v>4884</v>
      </c>
      <c r="C269" t="s">
        <v>5064</v>
      </c>
      <c r="D269" t="s">
        <v>4363</v>
      </c>
      <c r="E269">
        <v>29</v>
      </c>
      <c r="F269" t="s">
        <v>5065</v>
      </c>
      <c r="G269">
        <v>9484212527</v>
      </c>
      <c r="H269" t="s">
        <v>4476</v>
      </c>
      <c r="I269" t="s">
        <v>4477</v>
      </c>
      <c r="J269" t="s">
        <v>4482</v>
      </c>
      <c r="K269">
        <v>0.8</v>
      </c>
      <c r="L269">
        <v>8</v>
      </c>
      <c r="M269">
        <v>9.5</v>
      </c>
      <c r="N269" t="s">
        <v>4368</v>
      </c>
      <c r="O269" t="s">
        <v>4369</v>
      </c>
      <c r="P269" s="1">
        <v>46019</v>
      </c>
      <c r="Q269" t="str">
        <f t="shared" si="16"/>
        <v>10+ Years</v>
      </c>
      <c r="R269" t="str">
        <f>IF(Table7[[#This Row],[Age]]&lt;=25,"20-25",IF(Table7[[#This Row],[Age]]&lt;=30,"26-30",IF(Table7[[#This Row],[Age]]&lt;=35,"31-35","36+")))</f>
        <v>26-30</v>
      </c>
      <c r="S269" t="str">
        <f t="shared" si="17"/>
        <v>December</v>
      </c>
      <c r="T269" s="2" t="str">
        <f t="shared" si="18"/>
        <v>Q4</v>
      </c>
      <c r="U269" s="2">
        <f t="shared" si="19"/>
        <v>2025</v>
      </c>
    </row>
    <row r="270" spans="1:21" x14ac:dyDescent="0.3">
      <c r="A270" t="s">
        <v>3996</v>
      </c>
      <c r="B270" t="s">
        <v>4412</v>
      </c>
      <c r="C270" t="s">
        <v>5001</v>
      </c>
      <c r="D270" t="s">
        <v>4372</v>
      </c>
      <c r="E270">
        <v>31</v>
      </c>
      <c r="F270" t="s">
        <v>5066</v>
      </c>
      <c r="G270">
        <v>9355413796</v>
      </c>
      <c r="H270" t="s">
        <v>4404</v>
      </c>
      <c r="I270" t="s">
        <v>4405</v>
      </c>
      <c r="J270" t="s">
        <v>4432</v>
      </c>
      <c r="K270">
        <v>3.2</v>
      </c>
      <c r="L270">
        <v>7.5</v>
      </c>
      <c r="M270">
        <v>9.6999999999999993</v>
      </c>
      <c r="N270" t="s">
        <v>4390</v>
      </c>
      <c r="O270" t="s">
        <v>4485</v>
      </c>
      <c r="P270" s="1">
        <v>45837</v>
      </c>
      <c r="Q270" t="str">
        <f t="shared" si="16"/>
        <v>10+ Years</v>
      </c>
      <c r="R270" t="str">
        <f>IF(Table7[[#This Row],[Age]]&lt;=25,"20-25",IF(Table7[[#This Row],[Age]]&lt;=30,"26-30",IF(Table7[[#This Row],[Age]]&lt;=35,"31-35","36+")))</f>
        <v>31-35</v>
      </c>
      <c r="S270" t="str">
        <f t="shared" si="17"/>
        <v>June</v>
      </c>
      <c r="T270" s="2" t="str">
        <f t="shared" si="18"/>
        <v>Q2</v>
      </c>
      <c r="U270" s="2">
        <f t="shared" si="19"/>
        <v>2025</v>
      </c>
    </row>
    <row r="271" spans="1:21" x14ac:dyDescent="0.3">
      <c r="A271" t="s">
        <v>3738</v>
      </c>
      <c r="B271" t="s">
        <v>4661</v>
      </c>
      <c r="C271" t="s">
        <v>5067</v>
      </c>
      <c r="D271" t="s">
        <v>4363</v>
      </c>
      <c r="E271">
        <v>33</v>
      </c>
      <c r="F271" t="s">
        <v>5068</v>
      </c>
      <c r="G271">
        <v>9859903545</v>
      </c>
      <c r="H271" t="s">
        <v>4395</v>
      </c>
      <c r="I271" t="s">
        <v>4396</v>
      </c>
      <c r="J271" t="s">
        <v>4376</v>
      </c>
      <c r="K271">
        <v>9</v>
      </c>
      <c r="L271">
        <v>16.100000000000001</v>
      </c>
      <c r="M271">
        <v>19.3</v>
      </c>
      <c r="N271" t="s">
        <v>4390</v>
      </c>
      <c r="O271" t="s">
        <v>4369</v>
      </c>
      <c r="P271" s="1">
        <v>45875</v>
      </c>
      <c r="Q271" t="str">
        <f t="shared" si="16"/>
        <v>10+ Years</v>
      </c>
      <c r="R271" t="str">
        <f>IF(Table7[[#This Row],[Age]]&lt;=25,"20-25",IF(Table7[[#This Row],[Age]]&lt;=30,"26-30",IF(Table7[[#This Row],[Age]]&lt;=35,"31-35","36+")))</f>
        <v>31-35</v>
      </c>
      <c r="S271" t="str">
        <f t="shared" si="17"/>
        <v>August</v>
      </c>
      <c r="T271" s="2" t="str">
        <f t="shared" si="18"/>
        <v>Q3</v>
      </c>
      <c r="U271" s="2">
        <f t="shared" si="19"/>
        <v>2025</v>
      </c>
    </row>
    <row r="272" spans="1:21" x14ac:dyDescent="0.3">
      <c r="A272" t="s">
        <v>1210</v>
      </c>
      <c r="B272" t="s">
        <v>5069</v>
      </c>
      <c r="C272" t="s">
        <v>5038</v>
      </c>
      <c r="D272" t="s">
        <v>4363</v>
      </c>
      <c r="E272">
        <v>30</v>
      </c>
      <c r="F272" t="s">
        <v>5070</v>
      </c>
      <c r="G272">
        <v>9826950117</v>
      </c>
      <c r="H272" t="s">
        <v>4395</v>
      </c>
      <c r="I272" t="s">
        <v>4396</v>
      </c>
      <c r="J272" t="s">
        <v>4367</v>
      </c>
      <c r="K272">
        <v>1.4</v>
      </c>
      <c r="M272">
        <v>7.5</v>
      </c>
      <c r="N272" t="s">
        <v>4377</v>
      </c>
      <c r="O272" t="s">
        <v>4391</v>
      </c>
      <c r="P272" s="1">
        <v>45763</v>
      </c>
      <c r="Q272" t="str">
        <f t="shared" si="16"/>
        <v>10+ Years</v>
      </c>
      <c r="R272" t="str">
        <f>IF(Table7[[#This Row],[Age]]&lt;=25,"20-25",IF(Table7[[#This Row],[Age]]&lt;=30,"26-30",IF(Table7[[#This Row],[Age]]&lt;=35,"31-35","36+")))</f>
        <v>26-30</v>
      </c>
      <c r="S272" t="str">
        <f t="shared" si="17"/>
        <v>April</v>
      </c>
      <c r="T272" s="2" t="str">
        <f t="shared" si="18"/>
        <v>Q2</v>
      </c>
      <c r="U272" s="2">
        <f t="shared" si="19"/>
        <v>2025</v>
      </c>
    </row>
    <row r="273" spans="1:21" x14ac:dyDescent="0.3">
      <c r="A273" t="s">
        <v>2513</v>
      </c>
      <c r="B273" t="s">
        <v>4964</v>
      </c>
      <c r="C273" t="s">
        <v>5032</v>
      </c>
      <c r="D273" t="s">
        <v>4372</v>
      </c>
      <c r="E273">
        <v>29</v>
      </c>
      <c r="F273" t="s">
        <v>5071</v>
      </c>
      <c r="G273">
        <v>9113283590</v>
      </c>
      <c r="H273" t="s">
        <v>4476</v>
      </c>
      <c r="I273" t="s">
        <v>4477</v>
      </c>
      <c r="J273" t="s">
        <v>4415</v>
      </c>
      <c r="K273">
        <v>4.2</v>
      </c>
      <c r="L273">
        <v>7.2</v>
      </c>
      <c r="M273">
        <v>8.1999999999999993</v>
      </c>
      <c r="N273" t="s">
        <v>4377</v>
      </c>
      <c r="O273" t="s">
        <v>4391</v>
      </c>
      <c r="P273" s="1">
        <v>45714</v>
      </c>
      <c r="Q273" t="str">
        <f t="shared" si="16"/>
        <v>10+ Years</v>
      </c>
      <c r="R273" t="str">
        <f>IF(Table7[[#This Row],[Age]]&lt;=25,"20-25",IF(Table7[[#This Row],[Age]]&lt;=30,"26-30",IF(Table7[[#This Row],[Age]]&lt;=35,"31-35","36+")))</f>
        <v>26-30</v>
      </c>
      <c r="S273" t="str">
        <f t="shared" si="17"/>
        <v>February</v>
      </c>
      <c r="T273" s="2" t="str">
        <f t="shared" si="18"/>
        <v>Q1</v>
      </c>
      <c r="U273" s="2">
        <f t="shared" si="19"/>
        <v>2025</v>
      </c>
    </row>
    <row r="274" spans="1:21" x14ac:dyDescent="0.3">
      <c r="A274" t="s">
        <v>3664</v>
      </c>
      <c r="B274" t="s">
        <v>4474</v>
      </c>
      <c r="C274" t="s">
        <v>5072</v>
      </c>
      <c r="D274" t="s">
        <v>4363</v>
      </c>
      <c r="E274">
        <v>22</v>
      </c>
      <c r="F274" t="s">
        <v>5073</v>
      </c>
      <c r="G274">
        <v>9221320311</v>
      </c>
      <c r="H274" t="s">
        <v>4395</v>
      </c>
      <c r="I274" t="s">
        <v>4396</v>
      </c>
      <c r="J274" t="s">
        <v>4482</v>
      </c>
      <c r="K274">
        <v>0.2</v>
      </c>
      <c r="L274">
        <v>6.2</v>
      </c>
      <c r="M274">
        <v>7.9</v>
      </c>
      <c r="N274" t="s">
        <v>4390</v>
      </c>
      <c r="O274" t="s">
        <v>4369</v>
      </c>
      <c r="P274" s="1">
        <v>45694</v>
      </c>
      <c r="Q274" t="str">
        <f t="shared" si="16"/>
        <v>10+ Years</v>
      </c>
      <c r="R274" t="str">
        <f>IF(Table7[[#This Row],[Age]]&lt;=25,"20-25",IF(Table7[[#This Row],[Age]]&lt;=30,"26-30",IF(Table7[[#This Row],[Age]]&lt;=35,"31-35","36+")))</f>
        <v>20-25</v>
      </c>
      <c r="S274" t="str">
        <f t="shared" si="17"/>
        <v>February</v>
      </c>
      <c r="T274" s="2" t="str">
        <f t="shared" si="18"/>
        <v>Q1</v>
      </c>
      <c r="U274" s="2">
        <f t="shared" si="19"/>
        <v>2025</v>
      </c>
    </row>
    <row r="275" spans="1:21" x14ac:dyDescent="0.3">
      <c r="A275" t="s">
        <v>3196</v>
      </c>
      <c r="B275" t="s">
        <v>5074</v>
      </c>
      <c r="C275" t="s">
        <v>4486</v>
      </c>
      <c r="D275" t="s">
        <v>4372</v>
      </c>
      <c r="E275">
        <v>28</v>
      </c>
      <c r="F275" t="s">
        <v>5075</v>
      </c>
      <c r="G275">
        <v>9905784842</v>
      </c>
      <c r="H275" t="s">
        <v>4491</v>
      </c>
      <c r="I275" t="s">
        <v>4491</v>
      </c>
      <c r="J275" t="s">
        <v>4367</v>
      </c>
      <c r="K275">
        <v>1.3</v>
      </c>
      <c r="L275">
        <v>5.6</v>
      </c>
      <c r="M275">
        <v>7.6</v>
      </c>
      <c r="N275" t="s">
        <v>4494</v>
      </c>
      <c r="O275" t="s">
        <v>4383</v>
      </c>
      <c r="P275" s="1">
        <v>45713</v>
      </c>
      <c r="Q275" t="str">
        <f t="shared" si="16"/>
        <v>10+ Years</v>
      </c>
      <c r="R275" t="str">
        <f>IF(Table7[[#This Row],[Age]]&lt;=25,"20-25",IF(Table7[[#This Row],[Age]]&lt;=30,"26-30",IF(Table7[[#This Row],[Age]]&lt;=35,"31-35","36+")))</f>
        <v>26-30</v>
      </c>
      <c r="S275" t="str">
        <f t="shared" si="17"/>
        <v>February</v>
      </c>
      <c r="T275" s="2" t="str">
        <f t="shared" si="18"/>
        <v>Q1</v>
      </c>
      <c r="U275" s="2">
        <f t="shared" si="19"/>
        <v>2025</v>
      </c>
    </row>
    <row r="276" spans="1:21" x14ac:dyDescent="0.3">
      <c r="A276" t="s">
        <v>1597</v>
      </c>
      <c r="B276" t="s">
        <v>4566</v>
      </c>
      <c r="C276" t="s">
        <v>4398</v>
      </c>
      <c r="D276" t="s">
        <v>4363</v>
      </c>
      <c r="E276">
        <v>27</v>
      </c>
      <c r="F276" t="s">
        <v>5076</v>
      </c>
      <c r="G276">
        <v>9624354674</v>
      </c>
      <c r="H276" t="s">
        <v>4365</v>
      </c>
      <c r="I276" t="s">
        <v>4366</v>
      </c>
      <c r="J276" t="s">
        <v>4389</v>
      </c>
      <c r="K276">
        <v>17.8</v>
      </c>
      <c r="L276">
        <v>27.8</v>
      </c>
      <c r="M276">
        <v>34.1</v>
      </c>
      <c r="N276" t="s">
        <v>4390</v>
      </c>
      <c r="O276" t="s">
        <v>4369</v>
      </c>
      <c r="P276" s="1">
        <v>45804</v>
      </c>
      <c r="Q276" t="str">
        <f t="shared" si="16"/>
        <v>10+ Years</v>
      </c>
      <c r="R276" t="str">
        <f>IF(Table7[[#This Row],[Age]]&lt;=25,"20-25",IF(Table7[[#This Row],[Age]]&lt;=30,"26-30",IF(Table7[[#This Row],[Age]]&lt;=35,"31-35","36+")))</f>
        <v>26-30</v>
      </c>
      <c r="S276" t="str">
        <f t="shared" si="17"/>
        <v>May</v>
      </c>
      <c r="T276" s="2" t="str">
        <f t="shared" si="18"/>
        <v>Q2</v>
      </c>
      <c r="U276" s="2">
        <f t="shared" si="19"/>
        <v>2025</v>
      </c>
    </row>
    <row r="277" spans="1:21" x14ac:dyDescent="0.3">
      <c r="A277" t="s">
        <v>5077</v>
      </c>
      <c r="B277" t="s">
        <v>4430</v>
      </c>
      <c r="C277" t="s">
        <v>4398</v>
      </c>
      <c r="D277" t="s">
        <v>4363</v>
      </c>
      <c r="E277">
        <v>35</v>
      </c>
      <c r="F277" t="s">
        <v>5078</v>
      </c>
      <c r="G277">
        <v>9800728003</v>
      </c>
      <c r="H277" t="s">
        <v>4404</v>
      </c>
      <c r="I277" t="s">
        <v>4405</v>
      </c>
      <c r="J277" t="s">
        <v>4432</v>
      </c>
      <c r="K277">
        <v>0.4</v>
      </c>
      <c r="L277">
        <v>8.1999999999999993</v>
      </c>
      <c r="M277">
        <v>9.8000000000000007</v>
      </c>
      <c r="O277" t="s">
        <v>4369</v>
      </c>
      <c r="P277" s="1">
        <v>45860</v>
      </c>
      <c r="Q277" t="str">
        <f t="shared" si="16"/>
        <v>10+ Years</v>
      </c>
      <c r="R277" t="str">
        <f>IF(Table7[[#This Row],[Age]]&lt;=25,"20-25",IF(Table7[[#This Row],[Age]]&lt;=30,"26-30",IF(Table7[[#This Row],[Age]]&lt;=35,"31-35","36+")))</f>
        <v>31-35</v>
      </c>
      <c r="S277" t="str">
        <f t="shared" si="17"/>
        <v>July</v>
      </c>
      <c r="T277" s="2" t="str">
        <f t="shared" si="18"/>
        <v>Q3</v>
      </c>
      <c r="U277" s="2">
        <f t="shared" si="19"/>
        <v>2025</v>
      </c>
    </row>
    <row r="278" spans="1:21" x14ac:dyDescent="0.3">
      <c r="A278" t="s">
        <v>3040</v>
      </c>
      <c r="B278" t="s">
        <v>5079</v>
      </c>
      <c r="C278" t="s">
        <v>4563</v>
      </c>
      <c r="D278" t="s">
        <v>4363</v>
      </c>
      <c r="E278">
        <v>39</v>
      </c>
      <c r="F278" t="s">
        <v>5080</v>
      </c>
      <c r="G278">
        <v>9495016500</v>
      </c>
      <c r="H278" t="s">
        <v>4395</v>
      </c>
      <c r="I278" t="s">
        <v>4396</v>
      </c>
      <c r="J278" t="s">
        <v>4618</v>
      </c>
      <c r="K278">
        <v>0.9</v>
      </c>
      <c r="M278">
        <v>7.4</v>
      </c>
      <c r="N278" t="s">
        <v>4377</v>
      </c>
      <c r="O278" t="s">
        <v>4456</v>
      </c>
      <c r="P278" s="1">
        <v>45710</v>
      </c>
      <c r="Q278" t="str">
        <f t="shared" si="16"/>
        <v>10+ Years</v>
      </c>
      <c r="R278" t="str">
        <f>IF(Table7[[#This Row],[Age]]&lt;=25,"20-25",IF(Table7[[#This Row],[Age]]&lt;=30,"26-30",IF(Table7[[#This Row],[Age]]&lt;=35,"31-35","36+")))</f>
        <v>36+</v>
      </c>
      <c r="S278" t="str">
        <f t="shared" si="17"/>
        <v>February</v>
      </c>
      <c r="T278" s="2" t="str">
        <f t="shared" si="18"/>
        <v>Q1</v>
      </c>
      <c r="U278" s="2">
        <f t="shared" si="19"/>
        <v>2025</v>
      </c>
    </row>
    <row r="279" spans="1:21" x14ac:dyDescent="0.3">
      <c r="A279" t="s">
        <v>190</v>
      </c>
      <c r="B279" t="s">
        <v>5081</v>
      </c>
      <c r="C279" t="s">
        <v>5082</v>
      </c>
      <c r="D279" t="s">
        <v>4363</v>
      </c>
      <c r="E279">
        <v>30</v>
      </c>
      <c r="F279" t="s">
        <v>5083</v>
      </c>
      <c r="G279">
        <v>9897063427</v>
      </c>
      <c r="H279" t="s">
        <v>4521</v>
      </c>
      <c r="I279" t="s">
        <v>4522</v>
      </c>
      <c r="J279" t="s">
        <v>4482</v>
      </c>
      <c r="K279">
        <v>5.6</v>
      </c>
      <c r="L279">
        <v>10.4</v>
      </c>
      <c r="M279">
        <v>12.3</v>
      </c>
      <c r="N279" t="s">
        <v>4377</v>
      </c>
      <c r="O279" t="s">
        <v>4391</v>
      </c>
      <c r="P279" s="1">
        <v>45846</v>
      </c>
      <c r="Q279" t="str">
        <f t="shared" si="16"/>
        <v>10+ Years</v>
      </c>
      <c r="R279" t="str">
        <f>IF(Table7[[#This Row],[Age]]&lt;=25,"20-25",IF(Table7[[#This Row],[Age]]&lt;=30,"26-30",IF(Table7[[#This Row],[Age]]&lt;=35,"31-35","36+")))</f>
        <v>26-30</v>
      </c>
      <c r="S279" t="str">
        <f t="shared" si="17"/>
        <v>July</v>
      </c>
      <c r="T279" s="2" t="str">
        <f t="shared" si="18"/>
        <v>Q3</v>
      </c>
      <c r="U279" s="2">
        <f t="shared" si="19"/>
        <v>2025</v>
      </c>
    </row>
    <row r="280" spans="1:21" x14ac:dyDescent="0.3">
      <c r="A280" t="s">
        <v>1566</v>
      </c>
      <c r="B280" t="s">
        <v>4926</v>
      </c>
      <c r="C280" t="s">
        <v>5084</v>
      </c>
      <c r="D280" t="s">
        <v>4372</v>
      </c>
      <c r="E280">
        <v>28</v>
      </c>
      <c r="F280" t="s">
        <v>5085</v>
      </c>
      <c r="G280">
        <v>9999603119</v>
      </c>
      <c r="H280" t="s">
        <v>4506</v>
      </c>
      <c r="I280" t="s">
        <v>4507</v>
      </c>
      <c r="J280" t="s">
        <v>4432</v>
      </c>
      <c r="K280">
        <v>0.8</v>
      </c>
      <c r="L280">
        <v>6.5</v>
      </c>
      <c r="M280">
        <v>7.4</v>
      </c>
      <c r="N280" t="s">
        <v>4406</v>
      </c>
      <c r="O280" t="s">
        <v>4400</v>
      </c>
      <c r="P280" s="1">
        <v>46019</v>
      </c>
      <c r="Q280" t="str">
        <f t="shared" si="16"/>
        <v>10+ Years</v>
      </c>
      <c r="R280" t="str">
        <f>IF(Table7[[#This Row],[Age]]&lt;=25,"20-25",IF(Table7[[#This Row],[Age]]&lt;=30,"26-30",IF(Table7[[#This Row],[Age]]&lt;=35,"31-35","36+")))</f>
        <v>26-30</v>
      </c>
      <c r="S280" t="str">
        <f t="shared" si="17"/>
        <v>December</v>
      </c>
      <c r="T280" s="2" t="str">
        <f t="shared" si="18"/>
        <v>Q4</v>
      </c>
      <c r="U280" s="2">
        <f t="shared" si="19"/>
        <v>2025</v>
      </c>
    </row>
    <row r="281" spans="1:21" x14ac:dyDescent="0.3">
      <c r="A281" t="s">
        <v>105</v>
      </c>
      <c r="B281" t="s">
        <v>4528</v>
      </c>
      <c r="C281" t="s">
        <v>4616</v>
      </c>
      <c r="D281" t="s">
        <v>4372</v>
      </c>
      <c r="E281">
        <v>36</v>
      </c>
      <c r="F281" t="s">
        <v>5086</v>
      </c>
      <c r="G281">
        <v>9332402751</v>
      </c>
      <c r="H281" t="s">
        <v>4491</v>
      </c>
      <c r="I281" t="s">
        <v>4491</v>
      </c>
      <c r="J281" t="s">
        <v>4415</v>
      </c>
      <c r="K281">
        <v>0.2</v>
      </c>
      <c r="L281">
        <v>3.6</v>
      </c>
      <c r="M281">
        <v>4.9000000000000004</v>
      </c>
      <c r="N281" t="s">
        <v>4494</v>
      </c>
      <c r="O281" t="s">
        <v>4383</v>
      </c>
      <c r="P281" s="1">
        <v>45978</v>
      </c>
      <c r="Q281" t="str">
        <f t="shared" si="16"/>
        <v>10+ Years</v>
      </c>
      <c r="R281" t="str">
        <f>IF(Table7[[#This Row],[Age]]&lt;=25,"20-25",IF(Table7[[#This Row],[Age]]&lt;=30,"26-30",IF(Table7[[#This Row],[Age]]&lt;=35,"31-35","36+")))</f>
        <v>36+</v>
      </c>
      <c r="S281" t="str">
        <f t="shared" si="17"/>
        <v>November</v>
      </c>
      <c r="T281" s="2" t="str">
        <f t="shared" si="18"/>
        <v>Q4</v>
      </c>
      <c r="U281" s="2">
        <f t="shared" si="19"/>
        <v>2025</v>
      </c>
    </row>
    <row r="282" spans="1:21" x14ac:dyDescent="0.3">
      <c r="A282" t="s">
        <v>2341</v>
      </c>
      <c r="B282" t="s">
        <v>5087</v>
      </c>
      <c r="C282" t="s">
        <v>5088</v>
      </c>
      <c r="D282" t="s">
        <v>4372</v>
      </c>
      <c r="E282">
        <v>30</v>
      </c>
      <c r="F282" t="s">
        <v>5089</v>
      </c>
      <c r="G282">
        <v>9344275481</v>
      </c>
      <c r="H282" t="s">
        <v>4395</v>
      </c>
      <c r="I282" t="s">
        <v>4396</v>
      </c>
      <c r="J282" t="s">
        <v>4367</v>
      </c>
      <c r="K282">
        <v>0.7</v>
      </c>
      <c r="L282">
        <v>10</v>
      </c>
      <c r="M282">
        <v>13.3</v>
      </c>
      <c r="O282" t="s">
        <v>4419</v>
      </c>
      <c r="P282" s="1">
        <v>45883</v>
      </c>
      <c r="Q282" t="str">
        <f t="shared" si="16"/>
        <v>10+ Years</v>
      </c>
      <c r="R282" t="str">
        <f>IF(Table7[[#This Row],[Age]]&lt;=25,"20-25",IF(Table7[[#This Row],[Age]]&lt;=30,"26-30",IF(Table7[[#This Row],[Age]]&lt;=35,"31-35","36+")))</f>
        <v>26-30</v>
      </c>
      <c r="S282" t="str">
        <f t="shared" si="17"/>
        <v>August</v>
      </c>
      <c r="T282" s="2" t="str">
        <f t="shared" si="18"/>
        <v>Q3</v>
      </c>
      <c r="U282" s="2">
        <f t="shared" si="19"/>
        <v>2025</v>
      </c>
    </row>
    <row r="283" spans="1:21" x14ac:dyDescent="0.3">
      <c r="A283" t="s">
        <v>2711</v>
      </c>
      <c r="B283" t="s">
        <v>5090</v>
      </c>
      <c r="C283" t="s">
        <v>5091</v>
      </c>
      <c r="D283" t="s">
        <v>4372</v>
      </c>
      <c r="E283">
        <v>30</v>
      </c>
      <c r="F283" t="s">
        <v>5092</v>
      </c>
      <c r="G283">
        <v>9876261974</v>
      </c>
      <c r="H283" t="s">
        <v>4476</v>
      </c>
      <c r="I283" t="s">
        <v>4477</v>
      </c>
      <c r="J283" t="s">
        <v>4367</v>
      </c>
      <c r="K283">
        <v>0.5</v>
      </c>
      <c r="L283">
        <v>8.1999999999999993</v>
      </c>
      <c r="M283">
        <v>11.5</v>
      </c>
      <c r="N283" t="s">
        <v>4377</v>
      </c>
      <c r="O283" t="s">
        <v>4400</v>
      </c>
      <c r="P283" s="1">
        <v>45875</v>
      </c>
      <c r="Q283" t="str">
        <f t="shared" si="16"/>
        <v>10+ Years</v>
      </c>
      <c r="R283" t="str">
        <f>IF(Table7[[#This Row],[Age]]&lt;=25,"20-25",IF(Table7[[#This Row],[Age]]&lt;=30,"26-30",IF(Table7[[#This Row],[Age]]&lt;=35,"31-35","36+")))</f>
        <v>26-30</v>
      </c>
      <c r="S283" t="str">
        <f t="shared" si="17"/>
        <v>August</v>
      </c>
      <c r="T283" s="2" t="str">
        <f t="shared" si="18"/>
        <v>Q3</v>
      </c>
      <c r="U283" s="2">
        <f t="shared" si="19"/>
        <v>2025</v>
      </c>
    </row>
    <row r="284" spans="1:21" x14ac:dyDescent="0.3">
      <c r="A284" t="s">
        <v>1461</v>
      </c>
      <c r="B284" t="s">
        <v>4588</v>
      </c>
      <c r="C284" t="s">
        <v>4729</v>
      </c>
      <c r="D284" t="s">
        <v>4372</v>
      </c>
      <c r="E284">
        <v>34</v>
      </c>
      <c r="F284" t="s">
        <v>5093</v>
      </c>
      <c r="G284">
        <v>9810414526</v>
      </c>
      <c r="H284" t="s">
        <v>4410</v>
      </c>
      <c r="I284" t="s">
        <v>4411</v>
      </c>
      <c r="J284" t="s">
        <v>4415</v>
      </c>
      <c r="K284">
        <v>13</v>
      </c>
      <c r="L284">
        <v>15.9</v>
      </c>
      <c r="M284">
        <v>20</v>
      </c>
      <c r="N284" t="s">
        <v>4368</v>
      </c>
      <c r="O284" t="s">
        <v>4391</v>
      </c>
      <c r="P284" s="1">
        <v>45999</v>
      </c>
      <c r="Q284" t="str">
        <f t="shared" si="16"/>
        <v>10+ Years</v>
      </c>
      <c r="R284" t="str">
        <f>IF(Table7[[#This Row],[Age]]&lt;=25,"20-25",IF(Table7[[#This Row],[Age]]&lt;=30,"26-30",IF(Table7[[#This Row],[Age]]&lt;=35,"31-35","36+")))</f>
        <v>31-35</v>
      </c>
      <c r="S284" t="str">
        <f t="shared" si="17"/>
        <v>December</v>
      </c>
      <c r="T284" s="2" t="str">
        <f t="shared" si="18"/>
        <v>Q4</v>
      </c>
      <c r="U284" s="2">
        <f t="shared" si="19"/>
        <v>2025</v>
      </c>
    </row>
    <row r="285" spans="1:21" x14ac:dyDescent="0.3">
      <c r="A285" t="s">
        <v>2138</v>
      </c>
      <c r="B285" t="s">
        <v>4825</v>
      </c>
      <c r="C285" t="s">
        <v>4797</v>
      </c>
      <c r="D285" t="s">
        <v>4363</v>
      </c>
      <c r="E285">
        <v>31</v>
      </c>
      <c r="F285" t="s">
        <v>5094</v>
      </c>
      <c r="G285">
        <v>9878196229</v>
      </c>
      <c r="H285" t="s">
        <v>4395</v>
      </c>
      <c r="I285" t="s">
        <v>4396</v>
      </c>
      <c r="J285" t="s">
        <v>4482</v>
      </c>
      <c r="K285">
        <v>3.2</v>
      </c>
      <c r="L285">
        <v>13.4</v>
      </c>
      <c r="M285">
        <v>15</v>
      </c>
      <c r="N285" t="s">
        <v>4377</v>
      </c>
      <c r="O285" t="s">
        <v>4456</v>
      </c>
      <c r="P285" s="1">
        <v>45948</v>
      </c>
      <c r="Q285" t="str">
        <f t="shared" si="16"/>
        <v>10+ Years</v>
      </c>
      <c r="R285" t="str">
        <f>IF(Table7[[#This Row],[Age]]&lt;=25,"20-25",IF(Table7[[#This Row],[Age]]&lt;=30,"26-30",IF(Table7[[#This Row],[Age]]&lt;=35,"31-35","36+")))</f>
        <v>31-35</v>
      </c>
      <c r="S285" t="str">
        <f t="shared" si="17"/>
        <v>October</v>
      </c>
      <c r="T285" s="2" t="str">
        <f t="shared" si="18"/>
        <v>Q4</v>
      </c>
      <c r="U285" s="2">
        <f t="shared" si="19"/>
        <v>2025</v>
      </c>
    </row>
    <row r="286" spans="1:21" x14ac:dyDescent="0.3">
      <c r="A286" t="s">
        <v>1777</v>
      </c>
      <c r="B286" t="s">
        <v>4474</v>
      </c>
      <c r="C286" t="s">
        <v>4594</v>
      </c>
      <c r="D286" t="s">
        <v>4372</v>
      </c>
      <c r="E286">
        <v>23</v>
      </c>
      <c r="F286" t="s">
        <v>5095</v>
      </c>
      <c r="G286">
        <v>9682742929</v>
      </c>
      <c r="H286" t="s">
        <v>4476</v>
      </c>
      <c r="I286" t="s">
        <v>4477</v>
      </c>
      <c r="J286" t="s">
        <v>4415</v>
      </c>
      <c r="K286">
        <v>8.1999999999999993</v>
      </c>
      <c r="L286">
        <v>15.9</v>
      </c>
      <c r="M286">
        <v>20.100000000000001</v>
      </c>
      <c r="N286" t="s">
        <v>4390</v>
      </c>
      <c r="O286" t="s">
        <v>4383</v>
      </c>
      <c r="P286" s="1">
        <v>45737</v>
      </c>
      <c r="Q286" t="str">
        <f t="shared" si="16"/>
        <v>10+ Years</v>
      </c>
      <c r="R286" t="str">
        <f>IF(Table7[[#This Row],[Age]]&lt;=25,"20-25",IF(Table7[[#This Row],[Age]]&lt;=30,"26-30",IF(Table7[[#This Row],[Age]]&lt;=35,"31-35","36+")))</f>
        <v>20-25</v>
      </c>
      <c r="S286" t="str">
        <f t="shared" si="17"/>
        <v>March</v>
      </c>
      <c r="T286" s="2" t="str">
        <f t="shared" si="18"/>
        <v>Q1</v>
      </c>
      <c r="U286" s="2">
        <f t="shared" si="19"/>
        <v>2025</v>
      </c>
    </row>
    <row r="287" spans="1:21" x14ac:dyDescent="0.3">
      <c r="A287" t="s">
        <v>809</v>
      </c>
      <c r="B287" t="s">
        <v>4392</v>
      </c>
      <c r="C287" t="s">
        <v>4938</v>
      </c>
      <c r="D287" t="s">
        <v>4363</v>
      </c>
      <c r="E287">
        <v>28</v>
      </c>
      <c r="F287" t="s">
        <v>5096</v>
      </c>
      <c r="G287">
        <v>9765579543</v>
      </c>
      <c r="H287" t="s">
        <v>4445</v>
      </c>
      <c r="I287" t="s">
        <v>4396</v>
      </c>
      <c r="J287" t="s">
        <v>4446</v>
      </c>
      <c r="K287">
        <v>2.2000000000000002</v>
      </c>
      <c r="L287">
        <v>11.8</v>
      </c>
      <c r="M287">
        <v>13.4</v>
      </c>
      <c r="N287" t="s">
        <v>4390</v>
      </c>
      <c r="O287" t="s">
        <v>4383</v>
      </c>
      <c r="P287" s="1">
        <v>45810</v>
      </c>
      <c r="Q287" t="str">
        <f t="shared" si="16"/>
        <v>10+ Years</v>
      </c>
      <c r="R287" t="str">
        <f>IF(Table7[[#This Row],[Age]]&lt;=25,"20-25",IF(Table7[[#This Row],[Age]]&lt;=30,"26-30",IF(Table7[[#This Row],[Age]]&lt;=35,"31-35","36+")))</f>
        <v>26-30</v>
      </c>
      <c r="S287" t="str">
        <f t="shared" si="17"/>
        <v>June</v>
      </c>
      <c r="T287" s="2" t="str">
        <f t="shared" si="18"/>
        <v>Q2</v>
      </c>
      <c r="U287" s="2">
        <f t="shared" si="19"/>
        <v>2025</v>
      </c>
    </row>
    <row r="288" spans="1:21" x14ac:dyDescent="0.3">
      <c r="A288" t="s">
        <v>455</v>
      </c>
      <c r="B288" t="s">
        <v>5016</v>
      </c>
      <c r="C288" t="s">
        <v>4908</v>
      </c>
      <c r="D288" t="s">
        <v>4363</v>
      </c>
      <c r="E288">
        <v>22</v>
      </c>
      <c r="F288" t="s">
        <v>5097</v>
      </c>
      <c r="G288">
        <v>9495822723</v>
      </c>
      <c r="H288" t="s">
        <v>4491</v>
      </c>
      <c r="I288" t="s">
        <v>4491</v>
      </c>
      <c r="J288" t="s">
        <v>4376</v>
      </c>
      <c r="K288">
        <v>1</v>
      </c>
      <c r="L288">
        <v>8.6</v>
      </c>
      <c r="M288">
        <v>10</v>
      </c>
      <c r="N288" t="s">
        <v>4377</v>
      </c>
      <c r="O288" t="s">
        <v>4383</v>
      </c>
      <c r="P288" s="1">
        <v>45982</v>
      </c>
      <c r="Q288" t="str">
        <f t="shared" si="16"/>
        <v>10+ Years</v>
      </c>
      <c r="R288" t="str">
        <f>IF(Table7[[#This Row],[Age]]&lt;=25,"20-25",IF(Table7[[#This Row],[Age]]&lt;=30,"26-30",IF(Table7[[#This Row],[Age]]&lt;=35,"31-35","36+")))</f>
        <v>20-25</v>
      </c>
      <c r="S288" t="str">
        <f t="shared" si="17"/>
        <v>November</v>
      </c>
      <c r="T288" s="2" t="str">
        <f t="shared" si="18"/>
        <v>Q4</v>
      </c>
      <c r="U288" s="2">
        <f t="shared" si="19"/>
        <v>2025</v>
      </c>
    </row>
    <row r="289" spans="1:21" x14ac:dyDescent="0.3">
      <c r="A289" t="s">
        <v>2715</v>
      </c>
      <c r="B289" t="s">
        <v>4426</v>
      </c>
      <c r="C289" t="s">
        <v>5098</v>
      </c>
      <c r="D289" t="s">
        <v>4372</v>
      </c>
      <c r="E289">
        <v>21</v>
      </c>
      <c r="F289" t="s">
        <v>5099</v>
      </c>
      <c r="G289">
        <v>9338889608</v>
      </c>
      <c r="H289" t="s">
        <v>4395</v>
      </c>
      <c r="I289" t="s">
        <v>4396</v>
      </c>
      <c r="J289" t="s">
        <v>4389</v>
      </c>
      <c r="K289">
        <v>2.2999999999999998</v>
      </c>
      <c r="L289">
        <v>9.6</v>
      </c>
      <c r="M289">
        <v>12.9</v>
      </c>
      <c r="O289" t="s">
        <v>4383</v>
      </c>
      <c r="P289" s="1">
        <v>45942</v>
      </c>
      <c r="Q289" t="str">
        <f t="shared" si="16"/>
        <v>10+ Years</v>
      </c>
      <c r="R289" t="str">
        <f>IF(Table7[[#This Row],[Age]]&lt;=25,"20-25",IF(Table7[[#This Row],[Age]]&lt;=30,"26-30",IF(Table7[[#This Row],[Age]]&lt;=35,"31-35","36+")))</f>
        <v>20-25</v>
      </c>
      <c r="S289" t="str">
        <f t="shared" si="17"/>
        <v>October</v>
      </c>
      <c r="T289" s="2" t="str">
        <f t="shared" si="18"/>
        <v>Q4</v>
      </c>
      <c r="U289" s="2">
        <f t="shared" si="19"/>
        <v>2025</v>
      </c>
    </row>
    <row r="290" spans="1:21" x14ac:dyDescent="0.3">
      <c r="A290" t="s">
        <v>5100</v>
      </c>
      <c r="B290" t="s">
        <v>4370</v>
      </c>
      <c r="C290" t="s">
        <v>5101</v>
      </c>
      <c r="D290" t="s">
        <v>4363</v>
      </c>
      <c r="E290">
        <v>29</v>
      </c>
      <c r="F290" t="s">
        <v>5102</v>
      </c>
      <c r="G290">
        <v>9486548365</v>
      </c>
      <c r="H290" t="s">
        <v>4374</v>
      </c>
      <c r="I290" t="s">
        <v>4375</v>
      </c>
      <c r="J290" t="s">
        <v>4432</v>
      </c>
      <c r="K290">
        <v>1.8</v>
      </c>
      <c r="M290">
        <v>6.2</v>
      </c>
      <c r="N290" t="s">
        <v>4368</v>
      </c>
      <c r="O290" t="s">
        <v>4369</v>
      </c>
      <c r="P290" s="1">
        <v>45761</v>
      </c>
      <c r="Q290" t="str">
        <f t="shared" si="16"/>
        <v>10+ Years</v>
      </c>
      <c r="R290" t="str">
        <f>IF(Table7[[#This Row],[Age]]&lt;=25,"20-25",IF(Table7[[#This Row],[Age]]&lt;=30,"26-30",IF(Table7[[#This Row],[Age]]&lt;=35,"31-35","36+")))</f>
        <v>26-30</v>
      </c>
      <c r="S290" t="str">
        <f t="shared" si="17"/>
        <v>April</v>
      </c>
      <c r="T290" s="2" t="str">
        <f t="shared" si="18"/>
        <v>Q2</v>
      </c>
      <c r="U290" s="2">
        <f t="shared" si="19"/>
        <v>2025</v>
      </c>
    </row>
    <row r="291" spans="1:21" x14ac:dyDescent="0.3">
      <c r="A291" t="s">
        <v>3178</v>
      </c>
      <c r="B291" t="s">
        <v>4731</v>
      </c>
      <c r="C291" t="s">
        <v>5103</v>
      </c>
      <c r="D291" t="s">
        <v>4363</v>
      </c>
      <c r="E291">
        <v>33</v>
      </c>
      <c r="F291" t="s">
        <v>5104</v>
      </c>
      <c r="G291">
        <v>9337575264</v>
      </c>
      <c r="H291" t="s">
        <v>4506</v>
      </c>
      <c r="I291" t="s">
        <v>4507</v>
      </c>
      <c r="J291" t="s">
        <v>4446</v>
      </c>
      <c r="K291">
        <v>2.6</v>
      </c>
      <c r="L291">
        <v>8.5</v>
      </c>
      <c r="M291">
        <v>11.3</v>
      </c>
      <c r="N291" t="s">
        <v>4368</v>
      </c>
      <c r="O291" t="s">
        <v>4456</v>
      </c>
      <c r="P291" s="1">
        <v>46021</v>
      </c>
      <c r="Q291" t="str">
        <f t="shared" si="16"/>
        <v>10+ Years</v>
      </c>
      <c r="R291" t="str">
        <f>IF(Table7[[#This Row],[Age]]&lt;=25,"20-25",IF(Table7[[#This Row],[Age]]&lt;=30,"26-30",IF(Table7[[#This Row],[Age]]&lt;=35,"31-35","36+")))</f>
        <v>31-35</v>
      </c>
      <c r="S291" t="str">
        <f t="shared" si="17"/>
        <v>December</v>
      </c>
      <c r="T291" s="2" t="str">
        <f t="shared" si="18"/>
        <v>Q4</v>
      </c>
      <c r="U291" s="2">
        <f t="shared" si="19"/>
        <v>2025</v>
      </c>
    </row>
    <row r="292" spans="1:21" x14ac:dyDescent="0.3">
      <c r="A292" t="s">
        <v>5105</v>
      </c>
      <c r="B292" t="s">
        <v>4661</v>
      </c>
      <c r="C292" t="s">
        <v>5038</v>
      </c>
      <c r="D292" t="s">
        <v>4372</v>
      </c>
      <c r="E292">
        <v>23</v>
      </c>
      <c r="F292" t="s">
        <v>5106</v>
      </c>
      <c r="G292">
        <v>9591940125</v>
      </c>
      <c r="H292" t="s">
        <v>4365</v>
      </c>
      <c r="I292" t="s">
        <v>4366</v>
      </c>
      <c r="J292" t="s">
        <v>4376</v>
      </c>
      <c r="K292">
        <v>2</v>
      </c>
      <c r="L292">
        <v>10.5</v>
      </c>
      <c r="M292">
        <v>14.2</v>
      </c>
      <c r="N292" t="s">
        <v>4390</v>
      </c>
      <c r="O292" t="s">
        <v>4485</v>
      </c>
      <c r="P292" s="1">
        <v>45948</v>
      </c>
      <c r="Q292" t="str">
        <f t="shared" si="16"/>
        <v>10+ Years</v>
      </c>
      <c r="R292" t="str">
        <f>IF(Table7[[#This Row],[Age]]&lt;=25,"20-25",IF(Table7[[#This Row],[Age]]&lt;=30,"26-30",IF(Table7[[#This Row],[Age]]&lt;=35,"31-35","36+")))</f>
        <v>20-25</v>
      </c>
      <c r="S292" t="str">
        <f t="shared" si="17"/>
        <v>October</v>
      </c>
      <c r="T292" s="2" t="str">
        <f t="shared" si="18"/>
        <v>Q4</v>
      </c>
      <c r="U292" s="2">
        <f t="shared" si="19"/>
        <v>2025</v>
      </c>
    </row>
    <row r="293" spans="1:21" x14ac:dyDescent="0.3">
      <c r="A293" t="s">
        <v>574</v>
      </c>
      <c r="B293" t="s">
        <v>4715</v>
      </c>
      <c r="C293" t="s">
        <v>5107</v>
      </c>
      <c r="D293" t="s">
        <v>4372</v>
      </c>
      <c r="E293">
        <v>29</v>
      </c>
      <c r="F293" t="s">
        <v>5108</v>
      </c>
      <c r="G293">
        <v>9829600427</v>
      </c>
      <c r="H293" t="s">
        <v>4445</v>
      </c>
      <c r="I293" t="s">
        <v>4396</v>
      </c>
      <c r="J293" t="s">
        <v>4446</v>
      </c>
      <c r="K293">
        <v>2.8</v>
      </c>
      <c r="L293">
        <v>13</v>
      </c>
      <c r="M293">
        <v>15.1</v>
      </c>
      <c r="N293" t="s">
        <v>4390</v>
      </c>
      <c r="O293" t="s">
        <v>4383</v>
      </c>
      <c r="P293" s="1">
        <v>45716</v>
      </c>
      <c r="Q293" t="str">
        <f t="shared" si="16"/>
        <v>10+ Years</v>
      </c>
      <c r="R293" t="str">
        <f>IF(Table7[[#This Row],[Age]]&lt;=25,"20-25",IF(Table7[[#This Row],[Age]]&lt;=30,"26-30",IF(Table7[[#This Row],[Age]]&lt;=35,"31-35","36+")))</f>
        <v>26-30</v>
      </c>
      <c r="S293" t="str">
        <f t="shared" si="17"/>
        <v>February</v>
      </c>
      <c r="T293" s="2" t="str">
        <f t="shared" si="18"/>
        <v>Q1</v>
      </c>
      <c r="U293" s="2">
        <f t="shared" si="19"/>
        <v>2025</v>
      </c>
    </row>
    <row r="294" spans="1:21" x14ac:dyDescent="0.3">
      <c r="A294" t="s">
        <v>1350</v>
      </c>
      <c r="B294" t="s">
        <v>4461</v>
      </c>
      <c r="C294" t="s">
        <v>4642</v>
      </c>
      <c r="D294" t="s">
        <v>4363</v>
      </c>
      <c r="E294">
        <v>24</v>
      </c>
      <c r="F294" t="s">
        <v>5109</v>
      </c>
      <c r="G294">
        <v>9653144772</v>
      </c>
      <c r="H294" t="s">
        <v>4445</v>
      </c>
      <c r="I294" t="s">
        <v>4396</v>
      </c>
      <c r="J294" t="s">
        <v>4415</v>
      </c>
      <c r="K294">
        <v>3.4</v>
      </c>
      <c r="L294">
        <v>12.5</v>
      </c>
      <c r="M294">
        <v>16.8</v>
      </c>
      <c r="N294" t="s">
        <v>4390</v>
      </c>
      <c r="O294" t="s">
        <v>4419</v>
      </c>
      <c r="P294" s="1">
        <v>45756</v>
      </c>
      <c r="Q294" t="str">
        <f t="shared" si="16"/>
        <v>10+ Years</v>
      </c>
      <c r="R294" t="str">
        <f>IF(Table7[[#This Row],[Age]]&lt;=25,"20-25",IF(Table7[[#This Row],[Age]]&lt;=30,"26-30",IF(Table7[[#This Row],[Age]]&lt;=35,"31-35","36+")))</f>
        <v>20-25</v>
      </c>
      <c r="S294" t="str">
        <f t="shared" si="17"/>
        <v>April</v>
      </c>
      <c r="T294" s="2" t="str">
        <f t="shared" si="18"/>
        <v>Q2</v>
      </c>
      <c r="U294" s="2">
        <f t="shared" si="19"/>
        <v>2025</v>
      </c>
    </row>
    <row r="295" spans="1:21" x14ac:dyDescent="0.3">
      <c r="A295" t="s">
        <v>511</v>
      </c>
      <c r="B295" t="s">
        <v>5110</v>
      </c>
      <c r="C295" t="s">
        <v>5111</v>
      </c>
      <c r="D295" t="s">
        <v>4363</v>
      </c>
      <c r="E295">
        <v>32</v>
      </c>
      <c r="F295" t="s">
        <v>5112</v>
      </c>
      <c r="G295">
        <v>9246890418</v>
      </c>
      <c r="H295" t="s">
        <v>4476</v>
      </c>
      <c r="I295" t="s">
        <v>4477</v>
      </c>
      <c r="J295" t="s">
        <v>4389</v>
      </c>
      <c r="K295">
        <v>12.5</v>
      </c>
      <c r="L295">
        <v>23.1</v>
      </c>
      <c r="M295">
        <v>26.3</v>
      </c>
      <c r="N295" t="s">
        <v>4368</v>
      </c>
      <c r="O295" t="s">
        <v>4391</v>
      </c>
      <c r="P295" s="1">
        <v>45665</v>
      </c>
      <c r="Q295" t="str">
        <f t="shared" si="16"/>
        <v>10+ Years</v>
      </c>
      <c r="R295" t="str">
        <f>IF(Table7[[#This Row],[Age]]&lt;=25,"20-25",IF(Table7[[#This Row],[Age]]&lt;=30,"26-30",IF(Table7[[#This Row],[Age]]&lt;=35,"31-35","36+")))</f>
        <v>31-35</v>
      </c>
      <c r="S295" t="str">
        <f t="shared" si="17"/>
        <v>January</v>
      </c>
      <c r="T295" s="2" t="str">
        <f t="shared" si="18"/>
        <v>Q1</v>
      </c>
      <c r="U295" s="2">
        <f t="shared" si="19"/>
        <v>2025</v>
      </c>
    </row>
    <row r="296" spans="1:21" x14ac:dyDescent="0.3">
      <c r="A296" t="s">
        <v>3836</v>
      </c>
      <c r="B296" t="s">
        <v>4609</v>
      </c>
      <c r="C296" t="s">
        <v>5113</v>
      </c>
      <c r="D296" t="s">
        <v>4363</v>
      </c>
      <c r="E296">
        <v>24</v>
      </c>
      <c r="F296" t="s">
        <v>5114</v>
      </c>
      <c r="G296">
        <v>9593605226</v>
      </c>
      <c r="H296" t="s">
        <v>4454</v>
      </c>
      <c r="I296" t="s">
        <v>4455</v>
      </c>
      <c r="J296" t="s">
        <v>4367</v>
      </c>
      <c r="K296">
        <v>1.7</v>
      </c>
      <c r="L296">
        <v>8.8000000000000007</v>
      </c>
      <c r="M296">
        <v>10.199999999999999</v>
      </c>
      <c r="N296" t="s">
        <v>4377</v>
      </c>
      <c r="O296" t="s">
        <v>4369</v>
      </c>
      <c r="P296" s="1">
        <v>45761</v>
      </c>
      <c r="Q296" t="str">
        <f t="shared" si="16"/>
        <v>10+ Years</v>
      </c>
      <c r="R296" t="str">
        <f>IF(Table7[[#This Row],[Age]]&lt;=25,"20-25",IF(Table7[[#This Row],[Age]]&lt;=30,"26-30",IF(Table7[[#This Row],[Age]]&lt;=35,"31-35","36+")))</f>
        <v>20-25</v>
      </c>
      <c r="S296" t="str">
        <f t="shared" si="17"/>
        <v>April</v>
      </c>
      <c r="T296" s="2" t="str">
        <f t="shared" si="18"/>
        <v>Q2</v>
      </c>
      <c r="U296" s="2">
        <f t="shared" si="19"/>
        <v>2025</v>
      </c>
    </row>
    <row r="297" spans="1:21" x14ac:dyDescent="0.3">
      <c r="A297" t="s">
        <v>1497</v>
      </c>
      <c r="B297" t="s">
        <v>5115</v>
      </c>
      <c r="C297" t="s">
        <v>5116</v>
      </c>
      <c r="D297" t="s">
        <v>4363</v>
      </c>
      <c r="E297">
        <v>24</v>
      </c>
      <c r="F297" t="s">
        <v>5117</v>
      </c>
      <c r="G297">
        <v>9480814921</v>
      </c>
      <c r="H297" t="s">
        <v>4395</v>
      </c>
      <c r="I297" t="s">
        <v>4396</v>
      </c>
      <c r="J297" t="s">
        <v>4482</v>
      </c>
      <c r="K297">
        <v>1.1000000000000001</v>
      </c>
      <c r="M297">
        <v>3.9</v>
      </c>
      <c r="N297" t="s">
        <v>4377</v>
      </c>
      <c r="O297" t="s">
        <v>4400</v>
      </c>
      <c r="P297" s="1">
        <v>45663</v>
      </c>
      <c r="Q297" t="str">
        <f t="shared" si="16"/>
        <v>10+ Years</v>
      </c>
      <c r="R297" t="str">
        <f>IF(Table7[[#This Row],[Age]]&lt;=25,"20-25",IF(Table7[[#This Row],[Age]]&lt;=30,"26-30",IF(Table7[[#This Row],[Age]]&lt;=35,"31-35","36+")))</f>
        <v>20-25</v>
      </c>
      <c r="S297" t="str">
        <f t="shared" si="17"/>
        <v>January</v>
      </c>
      <c r="T297" s="2" t="str">
        <f t="shared" si="18"/>
        <v>Q1</v>
      </c>
      <c r="U297" s="2">
        <f t="shared" si="19"/>
        <v>2025</v>
      </c>
    </row>
    <row r="298" spans="1:21" x14ac:dyDescent="0.3">
      <c r="A298" t="s">
        <v>422</v>
      </c>
      <c r="B298" t="s">
        <v>4602</v>
      </c>
      <c r="C298" t="s">
        <v>4336</v>
      </c>
      <c r="D298" t="s">
        <v>4363</v>
      </c>
      <c r="E298">
        <v>21</v>
      </c>
      <c r="F298" t="s">
        <v>5118</v>
      </c>
      <c r="G298">
        <v>9356946361</v>
      </c>
      <c r="H298" t="s">
        <v>4476</v>
      </c>
      <c r="I298" t="s">
        <v>4477</v>
      </c>
      <c r="J298" t="s">
        <v>4415</v>
      </c>
      <c r="K298">
        <v>9.6</v>
      </c>
      <c r="L298">
        <v>16</v>
      </c>
      <c r="M298">
        <v>20.7</v>
      </c>
      <c r="N298" t="s">
        <v>4390</v>
      </c>
      <c r="O298" t="s">
        <v>4391</v>
      </c>
      <c r="P298" s="1">
        <v>45967</v>
      </c>
      <c r="Q298" t="str">
        <f t="shared" si="16"/>
        <v>10+ Years</v>
      </c>
      <c r="R298" t="str">
        <f>IF(Table7[[#This Row],[Age]]&lt;=25,"20-25",IF(Table7[[#This Row],[Age]]&lt;=30,"26-30",IF(Table7[[#This Row],[Age]]&lt;=35,"31-35","36+")))</f>
        <v>20-25</v>
      </c>
      <c r="S298" t="str">
        <f t="shared" si="17"/>
        <v>November</v>
      </c>
      <c r="T298" s="2" t="str">
        <f t="shared" si="18"/>
        <v>Q4</v>
      </c>
      <c r="U298" s="2">
        <f t="shared" si="19"/>
        <v>2025</v>
      </c>
    </row>
    <row r="299" spans="1:21" x14ac:dyDescent="0.3">
      <c r="A299" t="s">
        <v>5119</v>
      </c>
      <c r="B299" t="s">
        <v>4774</v>
      </c>
      <c r="C299" t="s">
        <v>4526</v>
      </c>
      <c r="D299" t="s">
        <v>4372</v>
      </c>
      <c r="E299">
        <v>21</v>
      </c>
      <c r="F299" t="s">
        <v>5120</v>
      </c>
      <c r="G299">
        <v>9689304955</v>
      </c>
      <c r="H299" t="s">
        <v>4476</v>
      </c>
      <c r="I299" t="s">
        <v>4477</v>
      </c>
      <c r="J299" t="s">
        <v>4446</v>
      </c>
      <c r="K299">
        <v>7.9</v>
      </c>
      <c r="L299">
        <v>15.8</v>
      </c>
      <c r="M299">
        <v>18.3</v>
      </c>
      <c r="N299" t="s">
        <v>4377</v>
      </c>
      <c r="O299" t="s">
        <v>4456</v>
      </c>
      <c r="P299" s="1">
        <v>45788</v>
      </c>
      <c r="Q299" t="str">
        <f t="shared" si="16"/>
        <v>10+ Years</v>
      </c>
      <c r="R299" t="str">
        <f>IF(Table7[[#This Row],[Age]]&lt;=25,"20-25",IF(Table7[[#This Row],[Age]]&lt;=30,"26-30",IF(Table7[[#This Row],[Age]]&lt;=35,"31-35","36+")))</f>
        <v>20-25</v>
      </c>
      <c r="S299" t="str">
        <f t="shared" si="17"/>
        <v>May</v>
      </c>
      <c r="T299" s="2" t="str">
        <f t="shared" si="18"/>
        <v>Q2</v>
      </c>
      <c r="U299" s="2">
        <f t="shared" si="19"/>
        <v>2025</v>
      </c>
    </row>
    <row r="300" spans="1:21" x14ac:dyDescent="0.3">
      <c r="A300" t="s">
        <v>599</v>
      </c>
      <c r="B300" t="s">
        <v>4526</v>
      </c>
      <c r="C300" t="s">
        <v>4982</v>
      </c>
      <c r="D300" t="s">
        <v>4372</v>
      </c>
      <c r="E300">
        <v>23</v>
      </c>
      <c r="F300" t="s">
        <v>5121</v>
      </c>
      <c r="G300">
        <v>9579713483</v>
      </c>
      <c r="H300" t="s">
        <v>4410</v>
      </c>
      <c r="I300" t="s">
        <v>4411</v>
      </c>
      <c r="J300" t="s">
        <v>4446</v>
      </c>
      <c r="K300">
        <v>9.3000000000000007</v>
      </c>
      <c r="L300">
        <v>15.3</v>
      </c>
      <c r="M300">
        <v>20.100000000000001</v>
      </c>
      <c r="N300" t="s">
        <v>4406</v>
      </c>
      <c r="O300" t="s">
        <v>4369</v>
      </c>
      <c r="P300" s="1">
        <v>45714</v>
      </c>
      <c r="Q300" t="str">
        <f t="shared" si="16"/>
        <v>10+ Years</v>
      </c>
      <c r="R300" t="str">
        <f>IF(Table7[[#This Row],[Age]]&lt;=25,"20-25",IF(Table7[[#This Row],[Age]]&lt;=30,"26-30",IF(Table7[[#This Row],[Age]]&lt;=35,"31-35","36+")))</f>
        <v>20-25</v>
      </c>
      <c r="S300" t="str">
        <f t="shared" si="17"/>
        <v>February</v>
      </c>
      <c r="T300" s="2" t="str">
        <f t="shared" si="18"/>
        <v>Q1</v>
      </c>
      <c r="U300" s="2">
        <f t="shared" si="19"/>
        <v>2025</v>
      </c>
    </row>
    <row r="301" spans="1:21" x14ac:dyDescent="0.3">
      <c r="A301" t="s">
        <v>205</v>
      </c>
      <c r="B301" t="s">
        <v>4810</v>
      </c>
      <c r="C301" t="s">
        <v>4797</v>
      </c>
      <c r="D301" t="s">
        <v>4372</v>
      </c>
      <c r="E301">
        <v>23</v>
      </c>
      <c r="F301" t="s">
        <v>5122</v>
      </c>
      <c r="G301">
        <v>9298930857</v>
      </c>
      <c r="H301" t="s">
        <v>4395</v>
      </c>
      <c r="I301" t="s">
        <v>4396</v>
      </c>
      <c r="J301" t="s">
        <v>4376</v>
      </c>
      <c r="K301">
        <v>2.2999999999999998</v>
      </c>
      <c r="L301">
        <v>11.9</v>
      </c>
      <c r="M301">
        <v>14.5</v>
      </c>
      <c r="N301" t="s">
        <v>4390</v>
      </c>
      <c r="O301" t="s">
        <v>4391</v>
      </c>
      <c r="P301" s="1">
        <v>45731</v>
      </c>
      <c r="Q301" t="str">
        <f t="shared" si="16"/>
        <v>10+ Years</v>
      </c>
      <c r="R301" t="str">
        <f>IF(Table7[[#This Row],[Age]]&lt;=25,"20-25",IF(Table7[[#This Row],[Age]]&lt;=30,"26-30",IF(Table7[[#This Row],[Age]]&lt;=35,"31-35","36+")))</f>
        <v>20-25</v>
      </c>
      <c r="S301" t="str">
        <f t="shared" si="17"/>
        <v>March</v>
      </c>
      <c r="T301" s="2" t="str">
        <f t="shared" si="18"/>
        <v>Q1</v>
      </c>
      <c r="U301" s="2">
        <f t="shared" si="19"/>
        <v>2025</v>
      </c>
    </row>
    <row r="302" spans="1:21" x14ac:dyDescent="0.3">
      <c r="A302" t="s">
        <v>2313</v>
      </c>
      <c r="B302" t="s">
        <v>4883</v>
      </c>
      <c r="C302" t="s">
        <v>4486</v>
      </c>
      <c r="D302" t="s">
        <v>4363</v>
      </c>
      <c r="E302">
        <v>31</v>
      </c>
      <c r="F302" t="s">
        <v>5123</v>
      </c>
      <c r="G302">
        <v>9678138719</v>
      </c>
      <c r="H302" t="s">
        <v>4404</v>
      </c>
      <c r="I302" t="s">
        <v>4405</v>
      </c>
      <c r="J302" t="s">
        <v>4389</v>
      </c>
      <c r="K302">
        <v>2.9</v>
      </c>
      <c r="L302">
        <v>10.199999999999999</v>
      </c>
      <c r="M302">
        <v>12.3</v>
      </c>
      <c r="N302" t="s">
        <v>4390</v>
      </c>
      <c r="O302" t="s">
        <v>4369</v>
      </c>
      <c r="P302" s="1">
        <v>45735</v>
      </c>
      <c r="Q302" t="str">
        <f t="shared" si="16"/>
        <v>10+ Years</v>
      </c>
      <c r="R302" t="str">
        <f>IF(Table7[[#This Row],[Age]]&lt;=25,"20-25",IF(Table7[[#This Row],[Age]]&lt;=30,"26-30",IF(Table7[[#This Row],[Age]]&lt;=35,"31-35","36+")))</f>
        <v>31-35</v>
      </c>
      <c r="S302" t="str">
        <f t="shared" si="17"/>
        <v>March</v>
      </c>
      <c r="T302" s="2" t="str">
        <f t="shared" si="18"/>
        <v>Q1</v>
      </c>
      <c r="U302" s="2">
        <f t="shared" si="19"/>
        <v>2025</v>
      </c>
    </row>
    <row r="303" spans="1:21" x14ac:dyDescent="0.3">
      <c r="A303" t="s">
        <v>1862</v>
      </c>
      <c r="B303" t="s">
        <v>5124</v>
      </c>
      <c r="C303" t="s">
        <v>5125</v>
      </c>
      <c r="D303" t="s">
        <v>4372</v>
      </c>
      <c r="E303">
        <v>23</v>
      </c>
      <c r="F303" t="s">
        <v>5126</v>
      </c>
      <c r="G303">
        <v>9133973841</v>
      </c>
      <c r="H303" t="s">
        <v>4473</v>
      </c>
      <c r="I303" t="s">
        <v>4473</v>
      </c>
      <c r="J303" t="s">
        <v>4446</v>
      </c>
      <c r="K303">
        <v>4.3</v>
      </c>
      <c r="L303">
        <v>10.199999999999999</v>
      </c>
      <c r="M303">
        <v>11.7</v>
      </c>
      <c r="N303" t="s">
        <v>4390</v>
      </c>
      <c r="O303" t="s">
        <v>4383</v>
      </c>
      <c r="P303" s="1">
        <v>45965</v>
      </c>
      <c r="Q303" t="str">
        <f t="shared" si="16"/>
        <v>10+ Years</v>
      </c>
      <c r="R303" t="str">
        <f>IF(Table7[[#This Row],[Age]]&lt;=25,"20-25",IF(Table7[[#This Row],[Age]]&lt;=30,"26-30",IF(Table7[[#This Row],[Age]]&lt;=35,"31-35","36+")))</f>
        <v>20-25</v>
      </c>
      <c r="S303" t="str">
        <f t="shared" si="17"/>
        <v>November</v>
      </c>
      <c r="T303" s="2" t="str">
        <f t="shared" si="18"/>
        <v>Q4</v>
      </c>
      <c r="U303" s="2">
        <f t="shared" si="19"/>
        <v>2025</v>
      </c>
    </row>
    <row r="304" spans="1:21" x14ac:dyDescent="0.3">
      <c r="A304" t="s">
        <v>5127</v>
      </c>
      <c r="B304" t="s">
        <v>5128</v>
      </c>
      <c r="C304" t="s">
        <v>4561</v>
      </c>
      <c r="D304" t="s">
        <v>4372</v>
      </c>
      <c r="E304">
        <v>33</v>
      </c>
      <c r="F304" t="s">
        <v>5129</v>
      </c>
      <c r="G304">
        <v>9269955648</v>
      </c>
      <c r="H304" t="s">
        <v>4404</v>
      </c>
      <c r="I304" t="s">
        <v>4405</v>
      </c>
      <c r="J304" t="s">
        <v>4446</v>
      </c>
      <c r="K304">
        <v>0.1</v>
      </c>
      <c r="L304">
        <v>4.8</v>
      </c>
      <c r="M304">
        <v>6</v>
      </c>
      <c r="N304" t="s">
        <v>4377</v>
      </c>
      <c r="O304" t="s">
        <v>4383</v>
      </c>
      <c r="P304" s="1">
        <v>45696</v>
      </c>
      <c r="Q304" t="str">
        <f t="shared" si="16"/>
        <v>10+ Years</v>
      </c>
      <c r="R304" t="str">
        <f>IF(Table7[[#This Row],[Age]]&lt;=25,"20-25",IF(Table7[[#This Row],[Age]]&lt;=30,"26-30",IF(Table7[[#This Row],[Age]]&lt;=35,"31-35","36+")))</f>
        <v>31-35</v>
      </c>
      <c r="S304" t="str">
        <f t="shared" si="17"/>
        <v>February</v>
      </c>
      <c r="T304" s="2" t="str">
        <f t="shared" si="18"/>
        <v>Q1</v>
      </c>
      <c r="U304" s="2">
        <f t="shared" si="19"/>
        <v>2025</v>
      </c>
    </row>
    <row r="305" spans="1:21" x14ac:dyDescent="0.3">
      <c r="A305" t="s">
        <v>3929</v>
      </c>
      <c r="B305" t="s">
        <v>4648</v>
      </c>
      <c r="C305" t="s">
        <v>5130</v>
      </c>
      <c r="D305" t="s">
        <v>4372</v>
      </c>
      <c r="E305">
        <v>23</v>
      </c>
      <c r="F305" t="s">
        <v>5131</v>
      </c>
      <c r="G305">
        <v>9332265771</v>
      </c>
      <c r="H305" t="s">
        <v>4454</v>
      </c>
      <c r="I305" t="s">
        <v>4455</v>
      </c>
      <c r="J305" t="s">
        <v>4450</v>
      </c>
      <c r="K305">
        <v>1.6</v>
      </c>
      <c r="L305">
        <v>2.8</v>
      </c>
      <c r="M305">
        <v>3.7</v>
      </c>
      <c r="N305" t="s">
        <v>4406</v>
      </c>
      <c r="O305" t="s">
        <v>4369</v>
      </c>
      <c r="P305" s="1">
        <v>45842</v>
      </c>
      <c r="Q305" t="str">
        <f t="shared" si="16"/>
        <v>10+ Years</v>
      </c>
      <c r="R305" t="str">
        <f>IF(Table7[[#This Row],[Age]]&lt;=25,"20-25",IF(Table7[[#This Row],[Age]]&lt;=30,"26-30",IF(Table7[[#This Row],[Age]]&lt;=35,"31-35","36+")))</f>
        <v>20-25</v>
      </c>
      <c r="S305" t="str">
        <f t="shared" si="17"/>
        <v>July</v>
      </c>
      <c r="T305" s="2" t="str">
        <f t="shared" si="18"/>
        <v>Q3</v>
      </c>
      <c r="U305" s="2">
        <f t="shared" si="19"/>
        <v>2025</v>
      </c>
    </row>
    <row r="306" spans="1:21" x14ac:dyDescent="0.3">
      <c r="A306" t="s">
        <v>3482</v>
      </c>
      <c r="B306" t="s">
        <v>5132</v>
      </c>
      <c r="C306" t="s">
        <v>4657</v>
      </c>
      <c r="D306" t="s">
        <v>4363</v>
      </c>
      <c r="E306">
        <v>36</v>
      </c>
      <c r="F306" t="s">
        <v>5133</v>
      </c>
      <c r="G306">
        <v>9719594610</v>
      </c>
      <c r="H306" t="s">
        <v>4491</v>
      </c>
      <c r="I306" t="s">
        <v>4491</v>
      </c>
      <c r="J306" t="s">
        <v>4482</v>
      </c>
      <c r="K306">
        <v>11</v>
      </c>
      <c r="L306">
        <v>17.3</v>
      </c>
      <c r="M306">
        <v>21.4</v>
      </c>
      <c r="N306" t="s">
        <v>4406</v>
      </c>
      <c r="O306" t="s">
        <v>4383</v>
      </c>
      <c r="P306" s="1">
        <v>45828</v>
      </c>
      <c r="Q306" t="str">
        <f t="shared" si="16"/>
        <v>10+ Years</v>
      </c>
      <c r="R306" t="str">
        <f>IF(Table7[[#This Row],[Age]]&lt;=25,"20-25",IF(Table7[[#This Row],[Age]]&lt;=30,"26-30",IF(Table7[[#This Row],[Age]]&lt;=35,"31-35","36+")))</f>
        <v>36+</v>
      </c>
      <c r="S306" t="str">
        <f t="shared" si="17"/>
        <v>June</v>
      </c>
      <c r="T306" s="2" t="str">
        <f t="shared" si="18"/>
        <v>Q2</v>
      </c>
      <c r="U306" s="2">
        <f t="shared" si="19"/>
        <v>2025</v>
      </c>
    </row>
    <row r="307" spans="1:21" x14ac:dyDescent="0.3">
      <c r="A307" t="s">
        <v>2890</v>
      </c>
      <c r="B307" t="s">
        <v>5134</v>
      </c>
      <c r="C307" t="s">
        <v>5135</v>
      </c>
      <c r="D307" t="s">
        <v>4372</v>
      </c>
      <c r="E307">
        <v>25</v>
      </c>
      <c r="F307" t="s">
        <v>5136</v>
      </c>
      <c r="G307">
        <v>9593285269</v>
      </c>
      <c r="H307" t="s">
        <v>4387</v>
      </c>
      <c r="I307" t="s">
        <v>4388</v>
      </c>
      <c r="J307" t="s">
        <v>4608</v>
      </c>
      <c r="K307">
        <v>6.2</v>
      </c>
      <c r="L307">
        <v>18.3</v>
      </c>
      <c r="M307">
        <v>20.8</v>
      </c>
      <c r="N307" t="s">
        <v>4406</v>
      </c>
      <c r="O307" t="s">
        <v>4456</v>
      </c>
      <c r="P307" s="1">
        <v>45797</v>
      </c>
      <c r="Q307" t="str">
        <f t="shared" si="16"/>
        <v>10+ Years</v>
      </c>
      <c r="R307" t="str">
        <f>IF(Table7[[#This Row],[Age]]&lt;=25,"20-25",IF(Table7[[#This Row],[Age]]&lt;=30,"26-30",IF(Table7[[#This Row],[Age]]&lt;=35,"31-35","36+")))</f>
        <v>20-25</v>
      </c>
      <c r="S307" t="str">
        <f t="shared" si="17"/>
        <v>May</v>
      </c>
      <c r="T307" s="2" t="str">
        <f t="shared" si="18"/>
        <v>Q2</v>
      </c>
      <c r="U307" s="2">
        <f t="shared" si="19"/>
        <v>2025</v>
      </c>
    </row>
    <row r="308" spans="1:21" x14ac:dyDescent="0.3">
      <c r="A308" t="s">
        <v>1930</v>
      </c>
      <c r="B308" t="s">
        <v>4668</v>
      </c>
      <c r="C308" t="s">
        <v>4461</v>
      </c>
      <c r="D308" t="s">
        <v>4372</v>
      </c>
      <c r="E308">
        <v>26</v>
      </c>
      <c r="F308" t="s">
        <v>5137</v>
      </c>
      <c r="G308">
        <v>9636872765</v>
      </c>
      <c r="H308" t="s">
        <v>4454</v>
      </c>
      <c r="I308" t="s">
        <v>4455</v>
      </c>
      <c r="J308" t="s">
        <v>4482</v>
      </c>
      <c r="K308">
        <v>0.1</v>
      </c>
      <c r="L308">
        <v>7.5</v>
      </c>
      <c r="M308">
        <v>9.8000000000000007</v>
      </c>
      <c r="N308" t="s">
        <v>4390</v>
      </c>
      <c r="O308" t="s">
        <v>4369</v>
      </c>
      <c r="P308" s="1">
        <v>46015</v>
      </c>
      <c r="Q308" t="str">
        <f t="shared" si="16"/>
        <v>10+ Years</v>
      </c>
      <c r="R308" t="str">
        <f>IF(Table7[[#This Row],[Age]]&lt;=25,"20-25",IF(Table7[[#This Row],[Age]]&lt;=30,"26-30",IF(Table7[[#This Row],[Age]]&lt;=35,"31-35","36+")))</f>
        <v>26-30</v>
      </c>
      <c r="S308" t="str">
        <f t="shared" si="17"/>
        <v>December</v>
      </c>
      <c r="T308" s="2" t="str">
        <f t="shared" si="18"/>
        <v>Q4</v>
      </c>
      <c r="U308" s="2">
        <f t="shared" si="19"/>
        <v>2025</v>
      </c>
    </row>
    <row r="309" spans="1:21" x14ac:dyDescent="0.3">
      <c r="A309" t="s">
        <v>5138</v>
      </c>
      <c r="B309" t="s">
        <v>4470</v>
      </c>
      <c r="C309" t="s">
        <v>5139</v>
      </c>
      <c r="D309" t="s">
        <v>4372</v>
      </c>
      <c r="E309">
        <v>25</v>
      </c>
      <c r="F309" t="s">
        <v>5140</v>
      </c>
      <c r="G309">
        <v>9927761281</v>
      </c>
      <c r="H309" t="s">
        <v>4445</v>
      </c>
      <c r="I309" t="s">
        <v>4396</v>
      </c>
      <c r="J309" t="s">
        <v>4446</v>
      </c>
      <c r="K309">
        <v>1.3</v>
      </c>
      <c r="L309">
        <v>7.7</v>
      </c>
      <c r="M309">
        <v>10.6</v>
      </c>
      <c r="N309" t="s">
        <v>4390</v>
      </c>
      <c r="O309" t="s">
        <v>4383</v>
      </c>
      <c r="P309" s="1">
        <v>45843</v>
      </c>
      <c r="Q309" t="str">
        <f t="shared" si="16"/>
        <v>10+ Years</v>
      </c>
      <c r="R309" t="str">
        <f>IF(Table7[[#This Row],[Age]]&lt;=25,"20-25",IF(Table7[[#This Row],[Age]]&lt;=30,"26-30",IF(Table7[[#This Row],[Age]]&lt;=35,"31-35","36+")))</f>
        <v>20-25</v>
      </c>
      <c r="S309" t="str">
        <f t="shared" si="17"/>
        <v>July</v>
      </c>
      <c r="T309" s="2" t="str">
        <f t="shared" si="18"/>
        <v>Q3</v>
      </c>
      <c r="U309" s="2">
        <f t="shared" si="19"/>
        <v>2025</v>
      </c>
    </row>
    <row r="310" spans="1:21" x14ac:dyDescent="0.3">
      <c r="A310" t="s">
        <v>3803</v>
      </c>
      <c r="B310" t="s">
        <v>4537</v>
      </c>
      <c r="C310" t="s">
        <v>4642</v>
      </c>
      <c r="D310" t="s">
        <v>4363</v>
      </c>
      <c r="E310">
        <v>30</v>
      </c>
      <c r="F310" t="s">
        <v>5141</v>
      </c>
      <c r="G310">
        <v>9955450766</v>
      </c>
      <c r="H310" t="s">
        <v>4395</v>
      </c>
      <c r="I310" t="s">
        <v>4396</v>
      </c>
      <c r="J310" t="s">
        <v>4389</v>
      </c>
      <c r="K310">
        <v>3.1</v>
      </c>
      <c r="L310">
        <v>15</v>
      </c>
      <c r="M310">
        <v>18.3</v>
      </c>
      <c r="N310" t="s">
        <v>4377</v>
      </c>
      <c r="O310" t="s">
        <v>4400</v>
      </c>
      <c r="P310" s="1">
        <v>45918</v>
      </c>
      <c r="Q310" t="str">
        <f t="shared" si="16"/>
        <v>10+ Years</v>
      </c>
      <c r="R310" t="str">
        <f>IF(Table7[[#This Row],[Age]]&lt;=25,"20-25",IF(Table7[[#This Row],[Age]]&lt;=30,"26-30",IF(Table7[[#This Row],[Age]]&lt;=35,"31-35","36+")))</f>
        <v>26-30</v>
      </c>
      <c r="S310" t="str">
        <f t="shared" si="17"/>
        <v>September</v>
      </c>
      <c r="T310" s="2" t="str">
        <f t="shared" si="18"/>
        <v>Q3</v>
      </c>
      <c r="U310" s="2">
        <f t="shared" si="19"/>
        <v>2025</v>
      </c>
    </row>
    <row r="311" spans="1:21" x14ac:dyDescent="0.3">
      <c r="A311" t="s">
        <v>1433</v>
      </c>
      <c r="B311" t="s">
        <v>4547</v>
      </c>
      <c r="C311" t="s">
        <v>5142</v>
      </c>
      <c r="D311" t="s">
        <v>4363</v>
      </c>
      <c r="E311">
        <v>33</v>
      </c>
      <c r="F311" t="s">
        <v>5143</v>
      </c>
      <c r="G311">
        <v>9476271130</v>
      </c>
      <c r="H311" t="s">
        <v>4506</v>
      </c>
      <c r="I311" t="s">
        <v>4507</v>
      </c>
      <c r="J311" t="s">
        <v>4376</v>
      </c>
      <c r="K311">
        <v>9</v>
      </c>
      <c r="L311">
        <v>12</v>
      </c>
      <c r="M311">
        <v>15</v>
      </c>
      <c r="N311" t="s">
        <v>4406</v>
      </c>
      <c r="O311" t="s">
        <v>4391</v>
      </c>
      <c r="P311" s="1">
        <v>45823</v>
      </c>
      <c r="Q311" t="str">
        <f t="shared" si="16"/>
        <v>10+ Years</v>
      </c>
      <c r="R311" t="str">
        <f>IF(Table7[[#This Row],[Age]]&lt;=25,"20-25",IF(Table7[[#This Row],[Age]]&lt;=30,"26-30",IF(Table7[[#This Row],[Age]]&lt;=35,"31-35","36+")))</f>
        <v>31-35</v>
      </c>
      <c r="S311" t="str">
        <f t="shared" si="17"/>
        <v>June</v>
      </c>
      <c r="T311" s="2" t="str">
        <f t="shared" si="18"/>
        <v>Q2</v>
      </c>
      <c r="U311" s="2">
        <f t="shared" si="19"/>
        <v>2025</v>
      </c>
    </row>
    <row r="312" spans="1:21" x14ac:dyDescent="0.3">
      <c r="A312" t="s">
        <v>211</v>
      </c>
      <c r="B312" t="s">
        <v>4606</v>
      </c>
      <c r="C312" t="s">
        <v>4480</v>
      </c>
      <c r="D312" t="s">
        <v>4363</v>
      </c>
      <c r="E312">
        <v>30</v>
      </c>
      <c r="F312" t="s">
        <v>5144</v>
      </c>
      <c r="G312">
        <v>9640879485</v>
      </c>
      <c r="H312" t="s">
        <v>4476</v>
      </c>
      <c r="I312" t="s">
        <v>4477</v>
      </c>
      <c r="J312" t="s">
        <v>4450</v>
      </c>
      <c r="K312">
        <v>0.1</v>
      </c>
      <c r="L312">
        <v>3</v>
      </c>
      <c r="M312">
        <v>4.2</v>
      </c>
      <c r="N312" t="s">
        <v>4494</v>
      </c>
      <c r="O312" t="s">
        <v>4369</v>
      </c>
      <c r="P312" s="1">
        <v>45763</v>
      </c>
      <c r="Q312" t="str">
        <f t="shared" si="16"/>
        <v>10+ Years</v>
      </c>
      <c r="R312" t="str">
        <f>IF(Table7[[#This Row],[Age]]&lt;=25,"20-25",IF(Table7[[#This Row],[Age]]&lt;=30,"26-30",IF(Table7[[#This Row],[Age]]&lt;=35,"31-35","36+")))</f>
        <v>26-30</v>
      </c>
      <c r="S312" t="str">
        <f t="shared" si="17"/>
        <v>April</v>
      </c>
      <c r="T312" s="2" t="str">
        <f t="shared" si="18"/>
        <v>Q2</v>
      </c>
      <c r="U312" s="2">
        <f t="shared" si="19"/>
        <v>2025</v>
      </c>
    </row>
    <row r="313" spans="1:21" x14ac:dyDescent="0.3">
      <c r="A313" t="s">
        <v>5145</v>
      </c>
      <c r="B313" t="s">
        <v>4543</v>
      </c>
      <c r="C313" t="s">
        <v>4558</v>
      </c>
      <c r="D313" t="s">
        <v>4372</v>
      </c>
      <c r="E313">
        <v>25</v>
      </c>
      <c r="F313" t="s">
        <v>5146</v>
      </c>
      <c r="G313">
        <v>9586541291</v>
      </c>
      <c r="H313" t="s">
        <v>4381</v>
      </c>
      <c r="I313" t="s">
        <v>4382</v>
      </c>
      <c r="J313" t="s">
        <v>4415</v>
      </c>
      <c r="K313">
        <v>0.6</v>
      </c>
      <c r="L313">
        <v>5.8</v>
      </c>
      <c r="M313">
        <v>7.6</v>
      </c>
      <c r="N313" t="s">
        <v>4368</v>
      </c>
      <c r="O313" t="s">
        <v>4369</v>
      </c>
      <c r="P313" s="1">
        <v>45691</v>
      </c>
      <c r="Q313" t="str">
        <f t="shared" si="16"/>
        <v>10+ Years</v>
      </c>
      <c r="R313" t="str">
        <f>IF(Table7[[#This Row],[Age]]&lt;=25,"20-25",IF(Table7[[#This Row],[Age]]&lt;=30,"26-30",IF(Table7[[#This Row],[Age]]&lt;=35,"31-35","36+")))</f>
        <v>20-25</v>
      </c>
      <c r="S313" t="str">
        <f t="shared" si="17"/>
        <v>February</v>
      </c>
      <c r="T313" s="2" t="str">
        <f t="shared" si="18"/>
        <v>Q1</v>
      </c>
      <c r="U313" s="2">
        <f t="shared" si="19"/>
        <v>2025</v>
      </c>
    </row>
    <row r="314" spans="1:21" x14ac:dyDescent="0.3">
      <c r="A314" t="s">
        <v>1215</v>
      </c>
      <c r="B314" t="s">
        <v>5147</v>
      </c>
      <c r="C314" t="s">
        <v>4857</v>
      </c>
      <c r="D314" t="s">
        <v>4372</v>
      </c>
      <c r="E314">
        <v>33</v>
      </c>
      <c r="F314" t="s">
        <v>5148</v>
      </c>
      <c r="G314">
        <v>9431245500</v>
      </c>
      <c r="H314" t="s">
        <v>4454</v>
      </c>
      <c r="I314" t="s">
        <v>4455</v>
      </c>
      <c r="J314" t="s">
        <v>4389</v>
      </c>
      <c r="K314">
        <v>2.5</v>
      </c>
      <c r="L314">
        <v>7.7</v>
      </c>
      <c r="M314">
        <v>10</v>
      </c>
      <c r="N314" t="s">
        <v>4494</v>
      </c>
      <c r="O314" t="s">
        <v>4391</v>
      </c>
      <c r="P314" s="1">
        <v>45755</v>
      </c>
      <c r="Q314" t="str">
        <f t="shared" si="16"/>
        <v>10+ Years</v>
      </c>
      <c r="R314" t="str">
        <f>IF(Table7[[#This Row],[Age]]&lt;=25,"20-25",IF(Table7[[#This Row],[Age]]&lt;=30,"26-30",IF(Table7[[#This Row],[Age]]&lt;=35,"31-35","36+")))</f>
        <v>31-35</v>
      </c>
      <c r="S314" t="str">
        <f t="shared" si="17"/>
        <v>April</v>
      </c>
      <c r="T314" s="2" t="str">
        <f t="shared" si="18"/>
        <v>Q2</v>
      </c>
      <c r="U314" s="2">
        <f t="shared" si="19"/>
        <v>2025</v>
      </c>
    </row>
    <row r="315" spans="1:21" x14ac:dyDescent="0.3">
      <c r="A315" t="s">
        <v>451</v>
      </c>
      <c r="B315" t="s">
        <v>4335</v>
      </c>
      <c r="C315" t="s">
        <v>5149</v>
      </c>
      <c r="D315" t="s">
        <v>4363</v>
      </c>
      <c r="E315">
        <v>21</v>
      </c>
      <c r="F315" t="s">
        <v>5150</v>
      </c>
      <c r="G315">
        <v>9728056232</v>
      </c>
      <c r="H315" t="s">
        <v>4395</v>
      </c>
      <c r="I315" t="s">
        <v>4396</v>
      </c>
      <c r="J315" t="s">
        <v>4432</v>
      </c>
      <c r="K315">
        <v>4.8</v>
      </c>
      <c r="L315">
        <v>9.4</v>
      </c>
      <c r="M315">
        <v>11.6</v>
      </c>
      <c r="N315" t="s">
        <v>4390</v>
      </c>
      <c r="O315" t="s">
        <v>4419</v>
      </c>
      <c r="P315" s="1">
        <v>46011</v>
      </c>
      <c r="Q315" t="str">
        <f t="shared" si="16"/>
        <v>10+ Years</v>
      </c>
      <c r="R315" t="str">
        <f>IF(Table7[[#This Row],[Age]]&lt;=25,"20-25",IF(Table7[[#This Row],[Age]]&lt;=30,"26-30",IF(Table7[[#This Row],[Age]]&lt;=35,"31-35","36+")))</f>
        <v>20-25</v>
      </c>
      <c r="S315" t="str">
        <f t="shared" si="17"/>
        <v>December</v>
      </c>
      <c r="T315" s="2" t="str">
        <f t="shared" si="18"/>
        <v>Q4</v>
      </c>
      <c r="U315" s="2">
        <f t="shared" si="19"/>
        <v>2025</v>
      </c>
    </row>
    <row r="316" spans="1:21" x14ac:dyDescent="0.3">
      <c r="A316" t="s">
        <v>1785</v>
      </c>
      <c r="B316" t="s">
        <v>4668</v>
      </c>
      <c r="C316" t="s">
        <v>4480</v>
      </c>
      <c r="D316" t="s">
        <v>4372</v>
      </c>
      <c r="E316">
        <v>33</v>
      </c>
      <c r="F316" t="s">
        <v>5151</v>
      </c>
      <c r="G316">
        <v>9620244895</v>
      </c>
      <c r="H316" t="s">
        <v>4476</v>
      </c>
      <c r="I316" t="s">
        <v>4477</v>
      </c>
      <c r="J316" t="s">
        <v>4450</v>
      </c>
      <c r="K316">
        <v>1.6</v>
      </c>
      <c r="L316">
        <v>9.8000000000000007</v>
      </c>
      <c r="M316">
        <v>11.9</v>
      </c>
      <c r="N316" t="s">
        <v>4368</v>
      </c>
      <c r="O316" t="s">
        <v>4369</v>
      </c>
      <c r="P316" s="1">
        <v>45742</v>
      </c>
      <c r="Q316" t="str">
        <f t="shared" si="16"/>
        <v>10+ Years</v>
      </c>
      <c r="R316" t="str">
        <f>IF(Table7[[#This Row],[Age]]&lt;=25,"20-25",IF(Table7[[#This Row],[Age]]&lt;=30,"26-30",IF(Table7[[#This Row],[Age]]&lt;=35,"31-35","36+")))</f>
        <v>31-35</v>
      </c>
      <c r="S316" t="str">
        <f t="shared" si="17"/>
        <v>March</v>
      </c>
      <c r="T316" s="2" t="str">
        <f t="shared" si="18"/>
        <v>Q1</v>
      </c>
      <c r="U316" s="2">
        <f t="shared" si="19"/>
        <v>2025</v>
      </c>
    </row>
    <row r="317" spans="1:21" x14ac:dyDescent="0.3">
      <c r="A317" t="s">
        <v>87</v>
      </c>
      <c r="B317" t="s">
        <v>4734</v>
      </c>
      <c r="C317" t="s">
        <v>4532</v>
      </c>
      <c r="D317" t="s">
        <v>4363</v>
      </c>
      <c r="E317">
        <v>33</v>
      </c>
      <c r="F317" t="s">
        <v>5152</v>
      </c>
      <c r="G317">
        <v>9856338515</v>
      </c>
      <c r="H317" t="s">
        <v>4410</v>
      </c>
      <c r="I317" t="s">
        <v>4411</v>
      </c>
      <c r="J317" t="s">
        <v>4367</v>
      </c>
      <c r="K317">
        <v>1.2</v>
      </c>
      <c r="L317">
        <v>8.4</v>
      </c>
      <c r="M317">
        <v>10.5</v>
      </c>
      <c r="N317" t="s">
        <v>4368</v>
      </c>
      <c r="O317" t="s">
        <v>4383</v>
      </c>
      <c r="P317" s="1">
        <v>45914</v>
      </c>
      <c r="Q317" t="str">
        <f t="shared" si="16"/>
        <v>10+ Years</v>
      </c>
      <c r="R317" t="str">
        <f>IF(Table7[[#This Row],[Age]]&lt;=25,"20-25",IF(Table7[[#This Row],[Age]]&lt;=30,"26-30",IF(Table7[[#This Row],[Age]]&lt;=35,"31-35","36+")))</f>
        <v>31-35</v>
      </c>
      <c r="S317" t="str">
        <f t="shared" si="17"/>
        <v>September</v>
      </c>
      <c r="T317" s="2" t="str">
        <f t="shared" si="18"/>
        <v>Q3</v>
      </c>
      <c r="U317" s="2">
        <f t="shared" si="19"/>
        <v>2025</v>
      </c>
    </row>
    <row r="318" spans="1:21" x14ac:dyDescent="0.3">
      <c r="A318" t="s">
        <v>781</v>
      </c>
      <c r="B318" t="s">
        <v>5153</v>
      </c>
      <c r="C318" t="s">
        <v>5154</v>
      </c>
      <c r="D318" t="s">
        <v>4363</v>
      </c>
      <c r="E318">
        <v>28</v>
      </c>
      <c r="F318" t="s">
        <v>5155</v>
      </c>
      <c r="G318">
        <v>9359561679</v>
      </c>
      <c r="H318" t="s">
        <v>4404</v>
      </c>
      <c r="I318" t="s">
        <v>4405</v>
      </c>
      <c r="J318" t="s">
        <v>4367</v>
      </c>
      <c r="K318">
        <v>2.4</v>
      </c>
      <c r="L318">
        <v>9.9</v>
      </c>
      <c r="M318">
        <v>11.5</v>
      </c>
      <c r="N318" t="s">
        <v>4406</v>
      </c>
      <c r="O318" t="s">
        <v>4369</v>
      </c>
      <c r="P318" s="1">
        <v>45952</v>
      </c>
      <c r="Q318" t="str">
        <f t="shared" si="16"/>
        <v>10+ Years</v>
      </c>
      <c r="R318" t="str">
        <f>IF(Table7[[#This Row],[Age]]&lt;=25,"20-25",IF(Table7[[#This Row],[Age]]&lt;=30,"26-30",IF(Table7[[#This Row],[Age]]&lt;=35,"31-35","36+")))</f>
        <v>26-30</v>
      </c>
      <c r="S318" t="str">
        <f t="shared" si="17"/>
        <v>October</v>
      </c>
      <c r="T318" s="2" t="str">
        <f t="shared" si="18"/>
        <v>Q4</v>
      </c>
      <c r="U318" s="2">
        <f t="shared" si="19"/>
        <v>2025</v>
      </c>
    </row>
    <row r="319" spans="1:21" x14ac:dyDescent="0.3">
      <c r="A319" t="s">
        <v>3388</v>
      </c>
      <c r="B319" t="s">
        <v>4442</v>
      </c>
      <c r="C319" t="s">
        <v>5116</v>
      </c>
      <c r="D319" t="s">
        <v>4372</v>
      </c>
      <c r="E319">
        <v>29</v>
      </c>
      <c r="F319" t="s">
        <v>5156</v>
      </c>
      <c r="G319">
        <v>9105422495</v>
      </c>
      <c r="H319" t="s">
        <v>4365</v>
      </c>
      <c r="I319" t="s">
        <v>4366</v>
      </c>
      <c r="J319" t="s">
        <v>4432</v>
      </c>
      <c r="K319">
        <v>9.3000000000000007</v>
      </c>
      <c r="L319">
        <v>15.5</v>
      </c>
      <c r="M319">
        <v>20.6</v>
      </c>
      <c r="N319" t="s">
        <v>4406</v>
      </c>
      <c r="O319" t="s">
        <v>4391</v>
      </c>
      <c r="P319" s="1">
        <v>45672</v>
      </c>
      <c r="Q319" t="str">
        <f t="shared" si="16"/>
        <v>10+ Years</v>
      </c>
      <c r="R319" t="str">
        <f>IF(Table7[[#This Row],[Age]]&lt;=25,"20-25",IF(Table7[[#This Row],[Age]]&lt;=30,"26-30",IF(Table7[[#This Row],[Age]]&lt;=35,"31-35","36+")))</f>
        <v>26-30</v>
      </c>
      <c r="S319" t="str">
        <f t="shared" si="17"/>
        <v>January</v>
      </c>
      <c r="T319" s="2" t="str">
        <f t="shared" si="18"/>
        <v>Q1</v>
      </c>
      <c r="U319" s="2">
        <f t="shared" si="19"/>
        <v>2025</v>
      </c>
    </row>
    <row r="320" spans="1:21" x14ac:dyDescent="0.3">
      <c r="A320" t="s">
        <v>1570</v>
      </c>
      <c r="B320" t="s">
        <v>4754</v>
      </c>
      <c r="C320" t="s">
        <v>5157</v>
      </c>
      <c r="D320" t="s">
        <v>4372</v>
      </c>
      <c r="E320">
        <v>23</v>
      </c>
      <c r="F320" t="s">
        <v>5158</v>
      </c>
      <c r="G320">
        <v>9904580945</v>
      </c>
      <c r="H320" t="s">
        <v>4410</v>
      </c>
      <c r="I320" t="s">
        <v>4411</v>
      </c>
      <c r="J320" t="s">
        <v>4376</v>
      </c>
      <c r="K320">
        <v>10.1</v>
      </c>
      <c r="L320">
        <v>20.7</v>
      </c>
      <c r="M320">
        <v>26</v>
      </c>
      <c r="N320" t="s">
        <v>4390</v>
      </c>
      <c r="O320" t="s">
        <v>4391</v>
      </c>
      <c r="P320" s="1">
        <v>45687</v>
      </c>
      <c r="Q320" t="str">
        <f t="shared" si="16"/>
        <v>10+ Years</v>
      </c>
      <c r="R320" t="str">
        <f>IF(Table7[[#This Row],[Age]]&lt;=25,"20-25",IF(Table7[[#This Row],[Age]]&lt;=30,"26-30",IF(Table7[[#This Row],[Age]]&lt;=35,"31-35","36+")))</f>
        <v>20-25</v>
      </c>
      <c r="S320" t="str">
        <f t="shared" si="17"/>
        <v>January</v>
      </c>
      <c r="T320" s="2" t="str">
        <f t="shared" si="18"/>
        <v>Q1</v>
      </c>
      <c r="U320" s="2">
        <f t="shared" si="19"/>
        <v>2025</v>
      </c>
    </row>
    <row r="321" spans="1:21" x14ac:dyDescent="0.3">
      <c r="A321" t="s">
        <v>1548</v>
      </c>
      <c r="B321" t="s">
        <v>4970</v>
      </c>
      <c r="C321" t="s">
        <v>5159</v>
      </c>
      <c r="D321" t="s">
        <v>4363</v>
      </c>
      <c r="E321">
        <v>32</v>
      </c>
      <c r="F321" t="s">
        <v>5160</v>
      </c>
      <c r="G321">
        <v>9193628188</v>
      </c>
      <c r="H321" t="s">
        <v>4395</v>
      </c>
      <c r="I321" t="s">
        <v>4396</v>
      </c>
      <c r="J321" t="s">
        <v>4376</v>
      </c>
      <c r="K321">
        <v>6</v>
      </c>
      <c r="L321">
        <v>14</v>
      </c>
      <c r="M321">
        <v>19.3</v>
      </c>
      <c r="N321" t="s">
        <v>4494</v>
      </c>
      <c r="O321" t="s">
        <v>4391</v>
      </c>
      <c r="P321" s="1">
        <v>45895</v>
      </c>
      <c r="Q321" t="str">
        <f t="shared" si="16"/>
        <v>10+ Years</v>
      </c>
      <c r="R321" t="str">
        <f>IF(Table7[[#This Row],[Age]]&lt;=25,"20-25",IF(Table7[[#This Row],[Age]]&lt;=30,"26-30",IF(Table7[[#This Row],[Age]]&lt;=35,"31-35","36+")))</f>
        <v>31-35</v>
      </c>
      <c r="S321" t="str">
        <f t="shared" si="17"/>
        <v>August</v>
      </c>
      <c r="T321" s="2" t="str">
        <f t="shared" si="18"/>
        <v>Q3</v>
      </c>
      <c r="U321" s="2">
        <f t="shared" si="19"/>
        <v>2025</v>
      </c>
    </row>
    <row r="322" spans="1:21" x14ac:dyDescent="0.3">
      <c r="A322" t="s">
        <v>884</v>
      </c>
      <c r="B322" t="s">
        <v>4931</v>
      </c>
      <c r="C322" t="s">
        <v>5161</v>
      </c>
      <c r="D322" t="s">
        <v>4363</v>
      </c>
      <c r="E322">
        <v>21</v>
      </c>
      <c r="F322" t="s">
        <v>5162</v>
      </c>
      <c r="G322">
        <v>9440259851</v>
      </c>
      <c r="H322" t="s">
        <v>4521</v>
      </c>
      <c r="I322" t="s">
        <v>4522</v>
      </c>
      <c r="J322" t="s">
        <v>4376</v>
      </c>
      <c r="K322">
        <v>12</v>
      </c>
      <c r="L322">
        <v>18.2</v>
      </c>
      <c r="M322">
        <v>22.3</v>
      </c>
      <c r="N322" t="s">
        <v>4390</v>
      </c>
      <c r="O322" t="s">
        <v>4456</v>
      </c>
      <c r="P322" s="1">
        <v>45826</v>
      </c>
      <c r="Q322" t="str">
        <f t="shared" ref="Q322:Q385" si="20">IF(P322&lt;=2,"0-2 Years",IF(P322&lt;=5,"3-5 Years",IF(P322&lt;=10,"6-10 Years","10+ Years")))</f>
        <v>10+ Years</v>
      </c>
      <c r="R322" t="str">
        <f>IF(Table7[[#This Row],[Age]]&lt;=25,"20-25",IF(Table7[[#This Row],[Age]]&lt;=30,"26-30",IF(Table7[[#This Row],[Age]]&lt;=35,"31-35","36+")))</f>
        <v>20-25</v>
      </c>
      <c r="S322" t="str">
        <f t="shared" ref="S322:S385" si="21">TEXT(P322,"mmmm")</f>
        <v>June</v>
      </c>
      <c r="T322" s="2" t="str">
        <f t="shared" ref="T322:T385" si="22">"Q"&amp;ROUNDUP(MONTH(P322)/3,0)</f>
        <v>Q2</v>
      </c>
      <c r="U322" s="2">
        <f t="shared" ref="U322:U385" si="23">YEAR(P322)</f>
        <v>2025</v>
      </c>
    </row>
    <row r="323" spans="1:21" x14ac:dyDescent="0.3">
      <c r="A323" t="s">
        <v>2067</v>
      </c>
      <c r="B323" t="s">
        <v>4474</v>
      </c>
      <c r="C323" t="s">
        <v>4996</v>
      </c>
      <c r="D323" t="s">
        <v>4372</v>
      </c>
      <c r="E323">
        <v>37</v>
      </c>
      <c r="F323" t="s">
        <v>5163</v>
      </c>
      <c r="G323">
        <v>9267709346</v>
      </c>
      <c r="H323" t="s">
        <v>4365</v>
      </c>
      <c r="I323" t="s">
        <v>4366</v>
      </c>
      <c r="J323" t="s">
        <v>4367</v>
      </c>
      <c r="K323">
        <v>1</v>
      </c>
      <c r="M323">
        <v>9.5</v>
      </c>
      <c r="N323" t="s">
        <v>4406</v>
      </c>
      <c r="O323" t="s">
        <v>4400</v>
      </c>
      <c r="P323" s="1">
        <v>45874</v>
      </c>
      <c r="Q323" t="str">
        <f t="shared" si="20"/>
        <v>10+ Years</v>
      </c>
      <c r="R323" t="str">
        <f>IF(Table7[[#This Row],[Age]]&lt;=25,"20-25",IF(Table7[[#This Row],[Age]]&lt;=30,"26-30",IF(Table7[[#This Row],[Age]]&lt;=35,"31-35","36+")))</f>
        <v>36+</v>
      </c>
      <c r="S323" t="str">
        <f t="shared" si="21"/>
        <v>August</v>
      </c>
      <c r="T323" s="2" t="str">
        <f t="shared" si="22"/>
        <v>Q3</v>
      </c>
      <c r="U323" s="2">
        <f t="shared" si="23"/>
        <v>2025</v>
      </c>
    </row>
    <row r="324" spans="1:21" x14ac:dyDescent="0.3">
      <c r="A324" t="s">
        <v>3603</v>
      </c>
      <c r="B324" t="s">
        <v>4615</v>
      </c>
      <c r="C324" t="s">
        <v>4996</v>
      </c>
      <c r="D324" t="s">
        <v>4372</v>
      </c>
      <c r="E324">
        <v>24</v>
      </c>
      <c r="F324" t="s">
        <v>5164</v>
      </c>
      <c r="G324">
        <v>9731885265</v>
      </c>
      <c r="H324" t="s">
        <v>4506</v>
      </c>
      <c r="I324" t="s">
        <v>4507</v>
      </c>
      <c r="J324" t="s">
        <v>4376</v>
      </c>
      <c r="K324">
        <v>1.3</v>
      </c>
      <c r="L324">
        <v>8.5</v>
      </c>
      <c r="M324">
        <v>11.4</v>
      </c>
      <c r="O324" t="s">
        <v>4391</v>
      </c>
      <c r="P324" s="1">
        <v>45974</v>
      </c>
      <c r="Q324" t="str">
        <f t="shared" si="20"/>
        <v>10+ Years</v>
      </c>
      <c r="R324" t="str">
        <f>IF(Table7[[#This Row],[Age]]&lt;=25,"20-25",IF(Table7[[#This Row],[Age]]&lt;=30,"26-30",IF(Table7[[#This Row],[Age]]&lt;=35,"31-35","36+")))</f>
        <v>20-25</v>
      </c>
      <c r="S324" t="str">
        <f t="shared" si="21"/>
        <v>November</v>
      </c>
      <c r="T324" s="2" t="str">
        <f t="shared" si="22"/>
        <v>Q4</v>
      </c>
      <c r="U324" s="2">
        <f t="shared" si="23"/>
        <v>2025</v>
      </c>
    </row>
    <row r="325" spans="1:21" x14ac:dyDescent="0.3">
      <c r="A325" t="s">
        <v>2263</v>
      </c>
      <c r="B325" t="s">
        <v>4582</v>
      </c>
      <c r="C325" t="s">
        <v>5084</v>
      </c>
      <c r="D325" t="s">
        <v>4372</v>
      </c>
      <c r="E325">
        <v>29</v>
      </c>
      <c r="F325" t="s">
        <v>5165</v>
      </c>
      <c r="G325">
        <v>9612777214</v>
      </c>
      <c r="H325" t="s">
        <v>4473</v>
      </c>
      <c r="I325" t="s">
        <v>4473</v>
      </c>
      <c r="J325" t="s">
        <v>4367</v>
      </c>
      <c r="K325">
        <v>0.2</v>
      </c>
      <c r="L325">
        <v>2.7</v>
      </c>
      <c r="M325">
        <v>3.6</v>
      </c>
      <c r="N325" t="s">
        <v>4390</v>
      </c>
      <c r="O325" t="s">
        <v>4383</v>
      </c>
      <c r="P325" s="1">
        <v>46019</v>
      </c>
      <c r="Q325" t="str">
        <f t="shared" si="20"/>
        <v>10+ Years</v>
      </c>
      <c r="R325" t="str">
        <f>IF(Table7[[#This Row],[Age]]&lt;=25,"20-25",IF(Table7[[#This Row],[Age]]&lt;=30,"26-30",IF(Table7[[#This Row],[Age]]&lt;=35,"31-35","36+")))</f>
        <v>26-30</v>
      </c>
      <c r="S325" t="str">
        <f t="shared" si="21"/>
        <v>December</v>
      </c>
      <c r="T325" s="2" t="str">
        <f t="shared" si="22"/>
        <v>Q4</v>
      </c>
      <c r="U325" s="2">
        <f t="shared" si="23"/>
        <v>2025</v>
      </c>
    </row>
    <row r="326" spans="1:21" x14ac:dyDescent="0.3">
      <c r="A326" t="s">
        <v>1893</v>
      </c>
      <c r="B326" t="s">
        <v>5166</v>
      </c>
      <c r="C326" t="s">
        <v>5167</v>
      </c>
      <c r="D326" t="s">
        <v>4372</v>
      </c>
      <c r="E326">
        <v>32</v>
      </c>
      <c r="F326" t="s">
        <v>5168</v>
      </c>
      <c r="G326">
        <v>9488001858</v>
      </c>
      <c r="H326" t="s">
        <v>4374</v>
      </c>
      <c r="I326" t="s">
        <v>4375</v>
      </c>
      <c r="J326" t="s">
        <v>4376</v>
      </c>
      <c r="K326">
        <v>0.6</v>
      </c>
      <c r="L326">
        <v>8.9</v>
      </c>
      <c r="M326">
        <v>10.8</v>
      </c>
      <c r="N326" t="s">
        <v>4368</v>
      </c>
      <c r="O326" t="s">
        <v>4383</v>
      </c>
      <c r="P326" s="1">
        <v>45709</v>
      </c>
      <c r="Q326" t="str">
        <f t="shared" si="20"/>
        <v>10+ Years</v>
      </c>
      <c r="R326" t="str">
        <f>IF(Table7[[#This Row],[Age]]&lt;=25,"20-25",IF(Table7[[#This Row],[Age]]&lt;=30,"26-30",IF(Table7[[#This Row],[Age]]&lt;=35,"31-35","36+")))</f>
        <v>31-35</v>
      </c>
      <c r="S326" t="str">
        <f t="shared" si="21"/>
        <v>February</v>
      </c>
      <c r="T326" s="2" t="str">
        <f t="shared" si="22"/>
        <v>Q1</v>
      </c>
      <c r="U326" s="2">
        <f t="shared" si="23"/>
        <v>2025</v>
      </c>
    </row>
    <row r="327" spans="1:21" x14ac:dyDescent="0.3">
      <c r="A327" t="s">
        <v>5169</v>
      </c>
      <c r="B327" t="s">
        <v>5170</v>
      </c>
      <c r="C327" t="s">
        <v>4580</v>
      </c>
      <c r="D327" t="s">
        <v>4363</v>
      </c>
      <c r="E327">
        <v>30</v>
      </c>
      <c r="F327" t="s">
        <v>5171</v>
      </c>
      <c r="G327">
        <v>9261698150</v>
      </c>
      <c r="H327" t="s">
        <v>4395</v>
      </c>
      <c r="I327" t="s">
        <v>4396</v>
      </c>
      <c r="J327" t="s">
        <v>4432</v>
      </c>
      <c r="K327">
        <v>3.6</v>
      </c>
      <c r="L327">
        <v>15.7</v>
      </c>
      <c r="M327">
        <v>21.5</v>
      </c>
      <c r="N327" t="s">
        <v>4406</v>
      </c>
      <c r="O327" t="s">
        <v>4369</v>
      </c>
      <c r="P327" s="1">
        <v>45726</v>
      </c>
      <c r="Q327" t="str">
        <f t="shared" si="20"/>
        <v>10+ Years</v>
      </c>
      <c r="R327" t="str">
        <f>IF(Table7[[#This Row],[Age]]&lt;=25,"20-25",IF(Table7[[#This Row],[Age]]&lt;=30,"26-30",IF(Table7[[#This Row],[Age]]&lt;=35,"31-35","36+")))</f>
        <v>26-30</v>
      </c>
      <c r="S327" t="str">
        <f t="shared" si="21"/>
        <v>March</v>
      </c>
      <c r="T327" s="2" t="str">
        <f t="shared" si="22"/>
        <v>Q1</v>
      </c>
      <c r="U327" s="2">
        <f t="shared" si="23"/>
        <v>2025</v>
      </c>
    </row>
    <row r="328" spans="1:21" x14ac:dyDescent="0.3">
      <c r="A328" t="s">
        <v>3614</v>
      </c>
      <c r="B328" t="s">
        <v>5172</v>
      </c>
      <c r="C328" t="s">
        <v>5173</v>
      </c>
      <c r="D328" t="s">
        <v>4372</v>
      </c>
      <c r="E328">
        <v>39</v>
      </c>
      <c r="F328" t="s">
        <v>5174</v>
      </c>
      <c r="G328">
        <v>9638858345</v>
      </c>
      <c r="H328" t="s">
        <v>4365</v>
      </c>
      <c r="I328" t="s">
        <v>4366</v>
      </c>
      <c r="J328" t="s">
        <v>4376</v>
      </c>
      <c r="K328">
        <v>6.4</v>
      </c>
      <c r="L328">
        <v>7.6</v>
      </c>
      <c r="M328">
        <v>9</v>
      </c>
      <c r="N328" t="s">
        <v>4494</v>
      </c>
      <c r="O328" t="s">
        <v>4391</v>
      </c>
      <c r="P328" s="1">
        <v>45734</v>
      </c>
      <c r="Q328" t="str">
        <f t="shared" si="20"/>
        <v>10+ Years</v>
      </c>
      <c r="R328" t="str">
        <f>IF(Table7[[#This Row],[Age]]&lt;=25,"20-25",IF(Table7[[#This Row],[Age]]&lt;=30,"26-30",IF(Table7[[#This Row],[Age]]&lt;=35,"31-35","36+")))</f>
        <v>36+</v>
      </c>
      <c r="S328" t="str">
        <f t="shared" si="21"/>
        <v>March</v>
      </c>
      <c r="T328" s="2" t="str">
        <f t="shared" si="22"/>
        <v>Q1</v>
      </c>
      <c r="U328" s="2">
        <f t="shared" si="23"/>
        <v>2025</v>
      </c>
    </row>
    <row r="329" spans="1:21" x14ac:dyDescent="0.3">
      <c r="A329" t="s">
        <v>21</v>
      </c>
      <c r="B329" t="s">
        <v>5175</v>
      </c>
      <c r="C329" t="s">
        <v>5176</v>
      </c>
      <c r="D329" t="s">
        <v>4363</v>
      </c>
      <c r="E329">
        <v>22</v>
      </c>
      <c r="F329" t="s">
        <v>5177</v>
      </c>
      <c r="G329">
        <v>9936546833</v>
      </c>
      <c r="H329" t="s">
        <v>4395</v>
      </c>
      <c r="I329" t="s">
        <v>4396</v>
      </c>
      <c r="J329" t="s">
        <v>4376</v>
      </c>
      <c r="K329">
        <v>0.8</v>
      </c>
      <c r="L329">
        <v>5.3</v>
      </c>
      <c r="M329">
        <v>6.5</v>
      </c>
      <c r="N329" t="s">
        <v>4390</v>
      </c>
      <c r="O329" t="s">
        <v>4391</v>
      </c>
      <c r="P329" s="1">
        <v>45913</v>
      </c>
      <c r="Q329" t="str">
        <f t="shared" si="20"/>
        <v>10+ Years</v>
      </c>
      <c r="R329" t="str">
        <f>IF(Table7[[#This Row],[Age]]&lt;=25,"20-25",IF(Table7[[#This Row],[Age]]&lt;=30,"26-30",IF(Table7[[#This Row],[Age]]&lt;=35,"31-35","36+")))</f>
        <v>20-25</v>
      </c>
      <c r="S329" t="str">
        <f t="shared" si="21"/>
        <v>September</v>
      </c>
      <c r="T329" s="2" t="str">
        <f t="shared" si="22"/>
        <v>Q3</v>
      </c>
      <c r="U329" s="2">
        <f t="shared" si="23"/>
        <v>2025</v>
      </c>
    </row>
    <row r="330" spans="1:21" x14ac:dyDescent="0.3">
      <c r="A330" t="s">
        <v>2949</v>
      </c>
      <c r="B330" t="s">
        <v>4514</v>
      </c>
      <c r="C330" t="s">
        <v>5178</v>
      </c>
      <c r="D330" t="s">
        <v>4372</v>
      </c>
      <c r="E330">
        <v>21</v>
      </c>
      <c r="F330" t="s">
        <v>5179</v>
      </c>
      <c r="G330">
        <v>9959567224</v>
      </c>
      <c r="H330" t="s">
        <v>4381</v>
      </c>
      <c r="I330" t="s">
        <v>4382</v>
      </c>
      <c r="J330" t="s">
        <v>4415</v>
      </c>
      <c r="K330">
        <v>0.1</v>
      </c>
      <c r="L330">
        <v>5.4</v>
      </c>
      <c r="M330">
        <v>6.6</v>
      </c>
      <c r="N330" t="s">
        <v>4377</v>
      </c>
      <c r="O330" t="s">
        <v>4369</v>
      </c>
      <c r="P330" s="1">
        <v>45665</v>
      </c>
      <c r="Q330" t="str">
        <f t="shared" si="20"/>
        <v>10+ Years</v>
      </c>
      <c r="R330" t="str">
        <f>IF(Table7[[#This Row],[Age]]&lt;=25,"20-25",IF(Table7[[#This Row],[Age]]&lt;=30,"26-30",IF(Table7[[#This Row],[Age]]&lt;=35,"31-35","36+")))</f>
        <v>20-25</v>
      </c>
      <c r="S330" t="str">
        <f t="shared" si="21"/>
        <v>January</v>
      </c>
      <c r="T330" s="2" t="str">
        <f t="shared" si="22"/>
        <v>Q1</v>
      </c>
      <c r="U330" s="2">
        <f t="shared" si="23"/>
        <v>2025</v>
      </c>
    </row>
    <row r="331" spans="1:21" x14ac:dyDescent="0.3">
      <c r="A331" t="s">
        <v>2772</v>
      </c>
      <c r="B331" t="s">
        <v>4734</v>
      </c>
      <c r="C331" t="s">
        <v>5180</v>
      </c>
      <c r="D331" t="s">
        <v>4372</v>
      </c>
      <c r="E331">
        <v>25</v>
      </c>
      <c r="F331" t="s">
        <v>5181</v>
      </c>
      <c r="G331">
        <v>9531487175</v>
      </c>
      <c r="H331" t="s">
        <v>4395</v>
      </c>
      <c r="I331" t="s">
        <v>4396</v>
      </c>
      <c r="J331" t="s">
        <v>4446</v>
      </c>
      <c r="K331">
        <v>2.6</v>
      </c>
      <c r="M331">
        <v>13</v>
      </c>
      <c r="N331" t="s">
        <v>4390</v>
      </c>
      <c r="O331" t="s">
        <v>4391</v>
      </c>
      <c r="P331" s="1">
        <v>45850</v>
      </c>
      <c r="Q331" t="str">
        <f t="shared" si="20"/>
        <v>10+ Years</v>
      </c>
      <c r="R331" t="str">
        <f>IF(Table7[[#This Row],[Age]]&lt;=25,"20-25",IF(Table7[[#This Row],[Age]]&lt;=30,"26-30",IF(Table7[[#This Row],[Age]]&lt;=35,"31-35","36+")))</f>
        <v>20-25</v>
      </c>
      <c r="S331" t="str">
        <f t="shared" si="21"/>
        <v>July</v>
      </c>
      <c r="T331" s="2" t="str">
        <f t="shared" si="22"/>
        <v>Q3</v>
      </c>
      <c r="U331" s="2">
        <f t="shared" si="23"/>
        <v>2025</v>
      </c>
    </row>
    <row r="332" spans="1:21" x14ac:dyDescent="0.3">
      <c r="A332" t="s">
        <v>215</v>
      </c>
      <c r="B332" t="s">
        <v>4429</v>
      </c>
      <c r="C332" t="s">
        <v>5182</v>
      </c>
      <c r="D332" t="s">
        <v>4363</v>
      </c>
      <c r="E332">
        <v>26</v>
      </c>
      <c r="F332" t="s">
        <v>5183</v>
      </c>
      <c r="G332">
        <v>9340607059</v>
      </c>
      <c r="H332" t="s">
        <v>4410</v>
      </c>
      <c r="I332" t="s">
        <v>4411</v>
      </c>
      <c r="J332" t="s">
        <v>4432</v>
      </c>
      <c r="K332">
        <v>1.1000000000000001</v>
      </c>
      <c r="L332">
        <v>4.2</v>
      </c>
      <c r="M332">
        <v>5.0999999999999996</v>
      </c>
      <c r="N332" t="s">
        <v>4390</v>
      </c>
      <c r="O332" t="s">
        <v>4369</v>
      </c>
      <c r="P332" s="1">
        <v>45762</v>
      </c>
      <c r="Q332" t="str">
        <f t="shared" si="20"/>
        <v>10+ Years</v>
      </c>
      <c r="R332" t="str">
        <f>IF(Table7[[#This Row],[Age]]&lt;=25,"20-25",IF(Table7[[#This Row],[Age]]&lt;=30,"26-30",IF(Table7[[#This Row],[Age]]&lt;=35,"31-35","36+")))</f>
        <v>26-30</v>
      </c>
      <c r="S332" t="str">
        <f t="shared" si="21"/>
        <v>April</v>
      </c>
      <c r="T332" s="2" t="str">
        <f t="shared" si="22"/>
        <v>Q2</v>
      </c>
      <c r="U332" s="2">
        <f t="shared" si="23"/>
        <v>2025</v>
      </c>
    </row>
    <row r="333" spans="1:21" x14ac:dyDescent="0.3">
      <c r="A333" t="s">
        <v>3570</v>
      </c>
      <c r="B333" t="s">
        <v>5184</v>
      </c>
      <c r="C333" t="s">
        <v>5185</v>
      </c>
      <c r="D333" t="s">
        <v>4372</v>
      </c>
      <c r="E333">
        <v>25</v>
      </c>
      <c r="F333" t="s">
        <v>5186</v>
      </c>
      <c r="G333">
        <v>9790104338</v>
      </c>
      <c r="H333" t="s">
        <v>4454</v>
      </c>
      <c r="I333" t="s">
        <v>4455</v>
      </c>
      <c r="J333" t="s">
        <v>4432</v>
      </c>
      <c r="K333">
        <v>1.8</v>
      </c>
      <c r="L333">
        <v>6.8</v>
      </c>
      <c r="M333">
        <v>9.8000000000000007</v>
      </c>
      <c r="N333" t="s">
        <v>4368</v>
      </c>
      <c r="O333" t="s">
        <v>4383</v>
      </c>
      <c r="P333" s="1">
        <v>45738</v>
      </c>
      <c r="Q333" t="str">
        <f t="shared" si="20"/>
        <v>10+ Years</v>
      </c>
      <c r="R333" t="str">
        <f>IF(Table7[[#This Row],[Age]]&lt;=25,"20-25",IF(Table7[[#This Row],[Age]]&lt;=30,"26-30",IF(Table7[[#This Row],[Age]]&lt;=35,"31-35","36+")))</f>
        <v>20-25</v>
      </c>
      <c r="S333" t="str">
        <f t="shared" si="21"/>
        <v>March</v>
      </c>
      <c r="T333" s="2" t="str">
        <f t="shared" si="22"/>
        <v>Q1</v>
      </c>
      <c r="U333" s="2">
        <f t="shared" si="23"/>
        <v>2025</v>
      </c>
    </row>
    <row r="334" spans="1:21" x14ac:dyDescent="0.3">
      <c r="A334" t="s">
        <v>495</v>
      </c>
      <c r="B334" t="s">
        <v>5187</v>
      </c>
      <c r="C334" t="s">
        <v>5188</v>
      </c>
      <c r="D334" t="s">
        <v>4372</v>
      </c>
      <c r="E334">
        <v>26</v>
      </c>
      <c r="F334" t="s">
        <v>5189</v>
      </c>
      <c r="G334">
        <v>9386985609</v>
      </c>
      <c r="H334" t="s">
        <v>4473</v>
      </c>
      <c r="I334" t="s">
        <v>4473</v>
      </c>
      <c r="J334" t="s">
        <v>4367</v>
      </c>
      <c r="K334">
        <v>1.9</v>
      </c>
      <c r="L334">
        <v>2.5</v>
      </c>
      <c r="M334">
        <v>3</v>
      </c>
      <c r="N334" t="s">
        <v>4406</v>
      </c>
      <c r="O334" t="s">
        <v>4369</v>
      </c>
      <c r="P334" s="1">
        <v>45785</v>
      </c>
      <c r="Q334" t="str">
        <f t="shared" si="20"/>
        <v>10+ Years</v>
      </c>
      <c r="R334" t="str">
        <f>IF(Table7[[#This Row],[Age]]&lt;=25,"20-25",IF(Table7[[#This Row],[Age]]&lt;=30,"26-30",IF(Table7[[#This Row],[Age]]&lt;=35,"31-35","36+")))</f>
        <v>26-30</v>
      </c>
      <c r="S334" t="str">
        <f t="shared" si="21"/>
        <v>May</v>
      </c>
      <c r="T334" s="2" t="str">
        <f t="shared" si="22"/>
        <v>Q2</v>
      </c>
      <c r="U334" s="2">
        <f t="shared" si="23"/>
        <v>2025</v>
      </c>
    </row>
    <row r="335" spans="1:21" x14ac:dyDescent="0.3">
      <c r="A335" t="s">
        <v>3136</v>
      </c>
      <c r="B335" t="s">
        <v>4508</v>
      </c>
      <c r="C335" t="s">
        <v>4434</v>
      </c>
      <c r="D335" t="s">
        <v>4372</v>
      </c>
      <c r="E335">
        <v>27</v>
      </c>
      <c r="F335" t="s">
        <v>5190</v>
      </c>
      <c r="G335">
        <v>9755256819</v>
      </c>
      <c r="H335" t="s">
        <v>4521</v>
      </c>
      <c r="I335" t="s">
        <v>4522</v>
      </c>
      <c r="J335" t="s">
        <v>4618</v>
      </c>
      <c r="K335">
        <v>0.4</v>
      </c>
      <c r="L335">
        <v>2.5</v>
      </c>
      <c r="M335">
        <v>3</v>
      </c>
      <c r="N335" t="s">
        <v>4406</v>
      </c>
      <c r="O335" t="s">
        <v>4400</v>
      </c>
      <c r="P335" s="1">
        <v>45842</v>
      </c>
      <c r="Q335" t="str">
        <f t="shared" si="20"/>
        <v>10+ Years</v>
      </c>
      <c r="R335" t="str">
        <f>IF(Table7[[#This Row],[Age]]&lt;=25,"20-25",IF(Table7[[#This Row],[Age]]&lt;=30,"26-30",IF(Table7[[#This Row],[Age]]&lt;=35,"31-35","36+")))</f>
        <v>26-30</v>
      </c>
      <c r="S335" t="str">
        <f t="shared" si="21"/>
        <v>July</v>
      </c>
      <c r="T335" s="2" t="str">
        <f t="shared" si="22"/>
        <v>Q3</v>
      </c>
      <c r="U335" s="2">
        <f t="shared" si="23"/>
        <v>2025</v>
      </c>
    </row>
    <row r="336" spans="1:21" x14ac:dyDescent="0.3">
      <c r="A336" t="s">
        <v>2651</v>
      </c>
      <c r="B336" t="s">
        <v>4566</v>
      </c>
      <c r="C336" t="s">
        <v>4757</v>
      </c>
      <c r="D336" t="s">
        <v>4372</v>
      </c>
      <c r="E336">
        <v>37</v>
      </c>
      <c r="F336" t="s">
        <v>5191</v>
      </c>
      <c r="G336">
        <v>9295740146</v>
      </c>
      <c r="H336" t="s">
        <v>4381</v>
      </c>
      <c r="I336" t="s">
        <v>4382</v>
      </c>
      <c r="J336" t="s">
        <v>4446</v>
      </c>
      <c r="K336">
        <v>0.8</v>
      </c>
      <c r="L336">
        <v>6.1</v>
      </c>
      <c r="M336">
        <v>8.8000000000000007</v>
      </c>
      <c r="N336" t="s">
        <v>4368</v>
      </c>
      <c r="O336" t="s">
        <v>4369</v>
      </c>
      <c r="P336" s="1">
        <v>45715</v>
      </c>
      <c r="Q336" t="str">
        <f t="shared" si="20"/>
        <v>10+ Years</v>
      </c>
      <c r="R336" t="str">
        <f>IF(Table7[[#This Row],[Age]]&lt;=25,"20-25",IF(Table7[[#This Row],[Age]]&lt;=30,"26-30",IF(Table7[[#This Row],[Age]]&lt;=35,"31-35","36+")))</f>
        <v>36+</v>
      </c>
      <c r="S336" t="str">
        <f t="shared" si="21"/>
        <v>February</v>
      </c>
      <c r="T336" s="2" t="str">
        <f t="shared" si="22"/>
        <v>Q1</v>
      </c>
      <c r="U336" s="2">
        <f t="shared" si="23"/>
        <v>2025</v>
      </c>
    </row>
    <row r="337" spans="1:21" x14ac:dyDescent="0.3">
      <c r="A337" t="s">
        <v>847</v>
      </c>
      <c r="B337" t="s">
        <v>4931</v>
      </c>
      <c r="C337" t="s">
        <v>5192</v>
      </c>
      <c r="D337" t="s">
        <v>4372</v>
      </c>
      <c r="E337">
        <v>40</v>
      </c>
      <c r="F337" t="s">
        <v>5193</v>
      </c>
      <c r="G337">
        <v>9243220283</v>
      </c>
      <c r="H337" t="s">
        <v>4387</v>
      </c>
      <c r="I337" t="s">
        <v>4388</v>
      </c>
      <c r="J337" t="s">
        <v>4432</v>
      </c>
      <c r="K337">
        <v>8.6</v>
      </c>
      <c r="M337">
        <v>19</v>
      </c>
      <c r="N337" t="s">
        <v>4390</v>
      </c>
      <c r="O337" t="s">
        <v>4400</v>
      </c>
      <c r="P337" s="1">
        <v>45895</v>
      </c>
      <c r="Q337" t="str">
        <f t="shared" si="20"/>
        <v>10+ Years</v>
      </c>
      <c r="R337" t="str">
        <f>IF(Table7[[#This Row],[Age]]&lt;=25,"20-25",IF(Table7[[#This Row],[Age]]&lt;=30,"26-30",IF(Table7[[#This Row],[Age]]&lt;=35,"31-35","36+")))</f>
        <v>36+</v>
      </c>
      <c r="S337" t="str">
        <f t="shared" si="21"/>
        <v>August</v>
      </c>
      <c r="T337" s="2" t="str">
        <f t="shared" si="22"/>
        <v>Q3</v>
      </c>
      <c r="U337" s="2">
        <f t="shared" si="23"/>
        <v>2025</v>
      </c>
    </row>
    <row r="338" spans="1:21" x14ac:dyDescent="0.3">
      <c r="A338" t="s">
        <v>2921</v>
      </c>
      <c r="B338" t="s">
        <v>5194</v>
      </c>
      <c r="C338" t="s">
        <v>5195</v>
      </c>
      <c r="D338" t="s">
        <v>4363</v>
      </c>
      <c r="E338">
        <v>33</v>
      </c>
      <c r="F338" t="s">
        <v>5196</v>
      </c>
      <c r="G338">
        <v>9544745540</v>
      </c>
      <c r="H338" t="s">
        <v>4476</v>
      </c>
      <c r="I338" t="s">
        <v>4477</v>
      </c>
      <c r="J338" t="s">
        <v>4376</v>
      </c>
      <c r="K338">
        <v>1.8</v>
      </c>
      <c r="L338">
        <v>8.4</v>
      </c>
      <c r="M338">
        <v>11.3</v>
      </c>
      <c r="N338" t="s">
        <v>4390</v>
      </c>
      <c r="O338" t="s">
        <v>4391</v>
      </c>
      <c r="P338" s="1">
        <v>45674</v>
      </c>
      <c r="Q338" t="str">
        <f t="shared" si="20"/>
        <v>10+ Years</v>
      </c>
      <c r="R338" t="str">
        <f>IF(Table7[[#This Row],[Age]]&lt;=25,"20-25",IF(Table7[[#This Row],[Age]]&lt;=30,"26-30",IF(Table7[[#This Row],[Age]]&lt;=35,"31-35","36+")))</f>
        <v>31-35</v>
      </c>
      <c r="S338" t="str">
        <f t="shared" si="21"/>
        <v>January</v>
      </c>
      <c r="T338" s="2" t="str">
        <f t="shared" si="22"/>
        <v>Q1</v>
      </c>
      <c r="U338" s="2">
        <f t="shared" si="23"/>
        <v>2025</v>
      </c>
    </row>
    <row r="339" spans="1:21" x14ac:dyDescent="0.3">
      <c r="A339" t="s">
        <v>313</v>
      </c>
      <c r="B339" t="s">
        <v>4687</v>
      </c>
      <c r="C339" t="s">
        <v>4532</v>
      </c>
      <c r="D339" t="s">
        <v>4363</v>
      </c>
      <c r="E339">
        <v>26</v>
      </c>
      <c r="F339" t="s">
        <v>5197</v>
      </c>
      <c r="G339">
        <v>9950523096</v>
      </c>
      <c r="H339" t="s">
        <v>4395</v>
      </c>
      <c r="I339" t="s">
        <v>4396</v>
      </c>
      <c r="J339" t="s">
        <v>4389</v>
      </c>
      <c r="K339">
        <v>4.9000000000000004</v>
      </c>
      <c r="L339">
        <v>14.5</v>
      </c>
      <c r="M339">
        <v>16.399999999999999</v>
      </c>
      <c r="N339" t="s">
        <v>4390</v>
      </c>
      <c r="O339" t="s">
        <v>4369</v>
      </c>
      <c r="P339" s="1">
        <v>45878</v>
      </c>
      <c r="Q339" t="str">
        <f t="shared" si="20"/>
        <v>10+ Years</v>
      </c>
      <c r="R339" t="str">
        <f>IF(Table7[[#This Row],[Age]]&lt;=25,"20-25",IF(Table7[[#This Row],[Age]]&lt;=30,"26-30",IF(Table7[[#This Row],[Age]]&lt;=35,"31-35","36+")))</f>
        <v>26-30</v>
      </c>
      <c r="S339" t="str">
        <f t="shared" si="21"/>
        <v>August</v>
      </c>
      <c r="T339" s="2" t="str">
        <f t="shared" si="22"/>
        <v>Q3</v>
      </c>
      <c r="U339" s="2">
        <f t="shared" si="23"/>
        <v>2025</v>
      </c>
    </row>
    <row r="340" spans="1:21" x14ac:dyDescent="0.3">
      <c r="A340" t="s">
        <v>2593</v>
      </c>
      <c r="B340" t="s">
        <v>5198</v>
      </c>
      <c r="C340" t="s">
        <v>5199</v>
      </c>
      <c r="D340" t="s">
        <v>4363</v>
      </c>
      <c r="E340">
        <v>32</v>
      </c>
      <c r="F340" t="s">
        <v>5200</v>
      </c>
      <c r="G340">
        <v>9121405163</v>
      </c>
      <c r="H340" t="s">
        <v>4410</v>
      </c>
      <c r="I340" t="s">
        <v>4411</v>
      </c>
      <c r="J340" t="s">
        <v>4608</v>
      </c>
      <c r="K340">
        <v>0.6</v>
      </c>
      <c r="L340">
        <v>6.8</v>
      </c>
      <c r="M340">
        <v>8.3000000000000007</v>
      </c>
      <c r="N340" t="s">
        <v>4377</v>
      </c>
      <c r="O340" t="s">
        <v>4369</v>
      </c>
      <c r="P340" s="1">
        <v>45907</v>
      </c>
      <c r="Q340" t="str">
        <f t="shared" si="20"/>
        <v>10+ Years</v>
      </c>
      <c r="R340" t="str">
        <f>IF(Table7[[#This Row],[Age]]&lt;=25,"20-25",IF(Table7[[#This Row],[Age]]&lt;=30,"26-30",IF(Table7[[#This Row],[Age]]&lt;=35,"31-35","36+")))</f>
        <v>31-35</v>
      </c>
      <c r="S340" t="str">
        <f t="shared" si="21"/>
        <v>September</v>
      </c>
      <c r="T340" s="2" t="str">
        <f t="shared" si="22"/>
        <v>Q3</v>
      </c>
      <c r="U340" s="2">
        <f t="shared" si="23"/>
        <v>2025</v>
      </c>
    </row>
    <row r="341" spans="1:21" x14ac:dyDescent="0.3">
      <c r="A341" t="s">
        <v>2559</v>
      </c>
      <c r="B341" t="s">
        <v>5201</v>
      </c>
      <c r="C341" t="s">
        <v>5202</v>
      </c>
      <c r="D341" t="s">
        <v>4363</v>
      </c>
      <c r="E341">
        <v>27</v>
      </c>
      <c r="F341" t="s">
        <v>5203</v>
      </c>
      <c r="G341">
        <v>9560071297</v>
      </c>
      <c r="H341" t="s">
        <v>4410</v>
      </c>
      <c r="I341" t="s">
        <v>4411</v>
      </c>
      <c r="J341" t="s">
        <v>4367</v>
      </c>
      <c r="K341">
        <v>7.8</v>
      </c>
      <c r="L341">
        <v>12.8</v>
      </c>
      <c r="M341">
        <v>17.2</v>
      </c>
      <c r="N341" t="s">
        <v>4406</v>
      </c>
      <c r="O341" t="s">
        <v>4400</v>
      </c>
      <c r="P341" s="1">
        <v>45914</v>
      </c>
      <c r="Q341" t="str">
        <f t="shared" si="20"/>
        <v>10+ Years</v>
      </c>
      <c r="R341" t="str">
        <f>IF(Table7[[#This Row],[Age]]&lt;=25,"20-25",IF(Table7[[#This Row],[Age]]&lt;=30,"26-30",IF(Table7[[#This Row],[Age]]&lt;=35,"31-35","36+")))</f>
        <v>26-30</v>
      </c>
      <c r="S341" t="str">
        <f t="shared" si="21"/>
        <v>September</v>
      </c>
      <c r="T341" s="2" t="str">
        <f t="shared" si="22"/>
        <v>Q3</v>
      </c>
      <c r="U341" s="2">
        <f t="shared" si="23"/>
        <v>2025</v>
      </c>
    </row>
    <row r="342" spans="1:21" x14ac:dyDescent="0.3">
      <c r="A342" t="s">
        <v>2519</v>
      </c>
      <c r="B342" t="s">
        <v>5204</v>
      </c>
      <c r="C342" t="s">
        <v>5149</v>
      </c>
      <c r="D342" t="s">
        <v>4720</v>
      </c>
      <c r="E342">
        <v>25</v>
      </c>
      <c r="F342" t="s">
        <v>5205</v>
      </c>
      <c r="G342">
        <v>9479645784</v>
      </c>
      <c r="H342" t="s">
        <v>4506</v>
      </c>
      <c r="I342" t="s">
        <v>4507</v>
      </c>
      <c r="J342" t="s">
        <v>4415</v>
      </c>
      <c r="K342">
        <v>7.5</v>
      </c>
      <c r="L342">
        <v>10.9</v>
      </c>
      <c r="M342">
        <v>15.5</v>
      </c>
      <c r="N342" t="s">
        <v>4368</v>
      </c>
      <c r="O342" t="s">
        <v>4369</v>
      </c>
      <c r="P342" s="1">
        <v>45772</v>
      </c>
      <c r="Q342" t="str">
        <f t="shared" si="20"/>
        <v>10+ Years</v>
      </c>
      <c r="R342" t="str">
        <f>IF(Table7[[#This Row],[Age]]&lt;=25,"20-25",IF(Table7[[#This Row],[Age]]&lt;=30,"26-30",IF(Table7[[#This Row],[Age]]&lt;=35,"31-35","36+")))</f>
        <v>20-25</v>
      </c>
      <c r="S342" t="str">
        <f t="shared" si="21"/>
        <v>April</v>
      </c>
      <c r="T342" s="2" t="str">
        <f t="shared" si="22"/>
        <v>Q2</v>
      </c>
      <c r="U342" s="2">
        <f t="shared" si="23"/>
        <v>2025</v>
      </c>
    </row>
    <row r="343" spans="1:21" x14ac:dyDescent="0.3">
      <c r="A343" t="s">
        <v>400</v>
      </c>
      <c r="B343" t="s">
        <v>5206</v>
      </c>
      <c r="C343" t="s">
        <v>4434</v>
      </c>
      <c r="D343" t="s">
        <v>4363</v>
      </c>
      <c r="E343">
        <v>21</v>
      </c>
      <c r="F343" t="s">
        <v>5207</v>
      </c>
      <c r="G343">
        <v>9855466135</v>
      </c>
      <c r="H343" t="s">
        <v>4395</v>
      </c>
      <c r="I343" t="s">
        <v>4396</v>
      </c>
      <c r="J343" t="s">
        <v>4367</v>
      </c>
      <c r="K343">
        <v>3.3</v>
      </c>
      <c r="L343">
        <v>10.3</v>
      </c>
      <c r="M343">
        <v>12.5</v>
      </c>
      <c r="N343" t="s">
        <v>4494</v>
      </c>
      <c r="O343" t="s">
        <v>4369</v>
      </c>
      <c r="P343" s="1">
        <v>45682</v>
      </c>
      <c r="Q343" t="str">
        <f t="shared" si="20"/>
        <v>10+ Years</v>
      </c>
      <c r="R343" t="str">
        <f>IF(Table7[[#This Row],[Age]]&lt;=25,"20-25",IF(Table7[[#This Row],[Age]]&lt;=30,"26-30",IF(Table7[[#This Row],[Age]]&lt;=35,"31-35","36+")))</f>
        <v>20-25</v>
      </c>
      <c r="S343" t="str">
        <f t="shared" si="21"/>
        <v>January</v>
      </c>
      <c r="T343" s="2" t="str">
        <f t="shared" si="22"/>
        <v>Q1</v>
      </c>
      <c r="U343" s="2">
        <f t="shared" si="23"/>
        <v>2025</v>
      </c>
    </row>
    <row r="344" spans="1:21" x14ac:dyDescent="0.3">
      <c r="A344" t="s">
        <v>380</v>
      </c>
      <c r="B344" t="s">
        <v>5208</v>
      </c>
      <c r="C344" t="s">
        <v>4767</v>
      </c>
      <c r="D344" t="s">
        <v>4372</v>
      </c>
      <c r="E344">
        <v>28</v>
      </c>
      <c r="F344" t="s">
        <v>5209</v>
      </c>
      <c r="G344">
        <v>9489349376</v>
      </c>
      <c r="H344" t="s">
        <v>4454</v>
      </c>
      <c r="I344" t="s">
        <v>4455</v>
      </c>
      <c r="J344" t="s">
        <v>4367</v>
      </c>
      <c r="K344">
        <v>0.7</v>
      </c>
      <c r="L344">
        <v>6.7</v>
      </c>
      <c r="M344">
        <v>9</v>
      </c>
      <c r="N344" t="s">
        <v>4390</v>
      </c>
      <c r="O344" t="s">
        <v>4383</v>
      </c>
      <c r="P344" s="1">
        <v>45938</v>
      </c>
      <c r="Q344" t="str">
        <f t="shared" si="20"/>
        <v>10+ Years</v>
      </c>
      <c r="R344" t="str">
        <f>IF(Table7[[#This Row],[Age]]&lt;=25,"20-25",IF(Table7[[#This Row],[Age]]&lt;=30,"26-30",IF(Table7[[#This Row],[Age]]&lt;=35,"31-35","36+")))</f>
        <v>26-30</v>
      </c>
      <c r="S344" t="str">
        <f t="shared" si="21"/>
        <v>October</v>
      </c>
      <c r="T344" s="2" t="str">
        <f t="shared" si="22"/>
        <v>Q4</v>
      </c>
      <c r="U344" s="2">
        <f t="shared" si="23"/>
        <v>2025</v>
      </c>
    </row>
    <row r="345" spans="1:21" x14ac:dyDescent="0.3">
      <c r="A345" t="s">
        <v>1002</v>
      </c>
      <c r="B345" t="s">
        <v>5210</v>
      </c>
      <c r="C345" t="s">
        <v>5211</v>
      </c>
      <c r="D345" t="s">
        <v>4372</v>
      </c>
      <c r="E345">
        <v>26</v>
      </c>
      <c r="F345" t="s">
        <v>5212</v>
      </c>
      <c r="G345">
        <v>9900227314</v>
      </c>
      <c r="H345" t="s">
        <v>4404</v>
      </c>
      <c r="I345" t="s">
        <v>4405</v>
      </c>
      <c r="J345" t="s">
        <v>4432</v>
      </c>
      <c r="K345">
        <v>3.1</v>
      </c>
      <c r="L345">
        <v>12.4</v>
      </c>
      <c r="M345">
        <v>15.6</v>
      </c>
      <c r="N345" t="s">
        <v>4390</v>
      </c>
      <c r="O345" t="s">
        <v>4391</v>
      </c>
      <c r="P345" s="1">
        <v>45735</v>
      </c>
      <c r="Q345" t="str">
        <f t="shared" si="20"/>
        <v>10+ Years</v>
      </c>
      <c r="R345" t="str">
        <f>IF(Table7[[#This Row],[Age]]&lt;=25,"20-25",IF(Table7[[#This Row],[Age]]&lt;=30,"26-30",IF(Table7[[#This Row],[Age]]&lt;=35,"31-35","36+")))</f>
        <v>26-30</v>
      </c>
      <c r="S345" t="str">
        <f t="shared" si="21"/>
        <v>March</v>
      </c>
      <c r="T345" s="2" t="str">
        <f t="shared" si="22"/>
        <v>Q1</v>
      </c>
      <c r="U345" s="2">
        <f t="shared" si="23"/>
        <v>2025</v>
      </c>
    </row>
    <row r="346" spans="1:21" x14ac:dyDescent="0.3">
      <c r="A346" t="s">
        <v>1613</v>
      </c>
      <c r="B346" t="s">
        <v>5213</v>
      </c>
      <c r="C346" t="s">
        <v>4616</v>
      </c>
      <c r="D346" t="s">
        <v>4372</v>
      </c>
      <c r="E346">
        <v>24</v>
      </c>
      <c r="F346" t="s">
        <v>5214</v>
      </c>
      <c r="G346">
        <v>9540204569</v>
      </c>
      <c r="H346" t="s">
        <v>4473</v>
      </c>
      <c r="I346" t="s">
        <v>4473</v>
      </c>
      <c r="J346" t="s">
        <v>4367</v>
      </c>
      <c r="K346">
        <v>0.2</v>
      </c>
      <c r="L346">
        <v>4.5999999999999996</v>
      </c>
      <c r="M346">
        <v>6.7</v>
      </c>
      <c r="N346" t="s">
        <v>4406</v>
      </c>
      <c r="O346" t="s">
        <v>4383</v>
      </c>
      <c r="P346" s="1">
        <v>45788</v>
      </c>
      <c r="Q346" t="str">
        <f t="shared" si="20"/>
        <v>10+ Years</v>
      </c>
      <c r="R346" t="str">
        <f>IF(Table7[[#This Row],[Age]]&lt;=25,"20-25",IF(Table7[[#This Row],[Age]]&lt;=30,"26-30",IF(Table7[[#This Row],[Age]]&lt;=35,"31-35","36+")))</f>
        <v>20-25</v>
      </c>
      <c r="S346" t="str">
        <f t="shared" si="21"/>
        <v>May</v>
      </c>
      <c r="T346" s="2" t="str">
        <f t="shared" si="22"/>
        <v>Q2</v>
      </c>
      <c r="U346" s="2">
        <f t="shared" si="23"/>
        <v>2025</v>
      </c>
    </row>
    <row r="347" spans="1:21" x14ac:dyDescent="0.3">
      <c r="A347" t="s">
        <v>1603</v>
      </c>
      <c r="B347" t="s">
        <v>4731</v>
      </c>
      <c r="C347" t="s">
        <v>4996</v>
      </c>
      <c r="D347" t="s">
        <v>4363</v>
      </c>
      <c r="E347">
        <v>21</v>
      </c>
      <c r="F347" t="s">
        <v>5215</v>
      </c>
      <c r="G347">
        <v>9504766490</v>
      </c>
      <c r="H347" t="s">
        <v>4365</v>
      </c>
      <c r="I347" t="s">
        <v>4366</v>
      </c>
      <c r="J347" t="s">
        <v>4446</v>
      </c>
      <c r="K347">
        <v>10.4</v>
      </c>
      <c r="L347">
        <v>19.899999999999999</v>
      </c>
      <c r="M347">
        <v>26.6</v>
      </c>
      <c r="N347" t="s">
        <v>4406</v>
      </c>
      <c r="O347" t="s">
        <v>4383</v>
      </c>
      <c r="P347" s="1">
        <v>45675</v>
      </c>
      <c r="Q347" t="str">
        <f t="shared" si="20"/>
        <v>10+ Years</v>
      </c>
      <c r="R347" t="str">
        <f>IF(Table7[[#This Row],[Age]]&lt;=25,"20-25",IF(Table7[[#This Row],[Age]]&lt;=30,"26-30",IF(Table7[[#This Row],[Age]]&lt;=35,"31-35","36+")))</f>
        <v>20-25</v>
      </c>
      <c r="S347" t="str">
        <f t="shared" si="21"/>
        <v>January</v>
      </c>
      <c r="T347" s="2" t="str">
        <f t="shared" si="22"/>
        <v>Q1</v>
      </c>
      <c r="U347" s="2">
        <f t="shared" si="23"/>
        <v>2025</v>
      </c>
    </row>
    <row r="348" spans="1:21" x14ac:dyDescent="0.3">
      <c r="A348" t="s">
        <v>447</v>
      </c>
      <c r="B348" t="s">
        <v>4566</v>
      </c>
      <c r="C348" t="s">
        <v>4940</v>
      </c>
      <c r="D348" t="s">
        <v>4363</v>
      </c>
      <c r="E348">
        <v>24</v>
      </c>
      <c r="F348" t="s">
        <v>5216</v>
      </c>
      <c r="G348">
        <v>9535745242</v>
      </c>
      <c r="H348" t="s">
        <v>4404</v>
      </c>
      <c r="I348" t="s">
        <v>4405</v>
      </c>
      <c r="J348" t="s">
        <v>4376</v>
      </c>
      <c r="K348">
        <v>1.2</v>
      </c>
      <c r="L348">
        <v>9.3000000000000007</v>
      </c>
      <c r="M348">
        <v>12.5</v>
      </c>
      <c r="N348" t="s">
        <v>4390</v>
      </c>
      <c r="O348" t="s">
        <v>4456</v>
      </c>
      <c r="P348" s="1">
        <v>45891</v>
      </c>
      <c r="Q348" t="str">
        <f t="shared" si="20"/>
        <v>10+ Years</v>
      </c>
      <c r="R348" t="str">
        <f>IF(Table7[[#This Row],[Age]]&lt;=25,"20-25",IF(Table7[[#This Row],[Age]]&lt;=30,"26-30",IF(Table7[[#This Row],[Age]]&lt;=35,"31-35","36+")))</f>
        <v>20-25</v>
      </c>
      <c r="S348" t="str">
        <f t="shared" si="21"/>
        <v>August</v>
      </c>
      <c r="T348" s="2" t="str">
        <f t="shared" si="22"/>
        <v>Q3</v>
      </c>
      <c r="U348" s="2">
        <f t="shared" si="23"/>
        <v>2025</v>
      </c>
    </row>
    <row r="349" spans="1:21" x14ac:dyDescent="0.3">
      <c r="A349" t="s">
        <v>1236</v>
      </c>
      <c r="B349" t="s">
        <v>5217</v>
      </c>
      <c r="C349" t="s">
        <v>5218</v>
      </c>
      <c r="D349" t="s">
        <v>4363</v>
      </c>
      <c r="E349">
        <v>21</v>
      </c>
      <c r="F349" t="s">
        <v>5219</v>
      </c>
      <c r="G349">
        <v>9608384699</v>
      </c>
      <c r="H349" t="s">
        <v>4404</v>
      </c>
      <c r="I349" t="s">
        <v>4405</v>
      </c>
      <c r="J349" t="s">
        <v>4376</v>
      </c>
      <c r="K349">
        <v>1.9</v>
      </c>
      <c r="L349">
        <v>8.1999999999999993</v>
      </c>
      <c r="M349">
        <v>10.5</v>
      </c>
      <c r="N349" t="s">
        <v>4368</v>
      </c>
      <c r="O349" t="s">
        <v>4383</v>
      </c>
      <c r="P349" s="1">
        <v>45852</v>
      </c>
      <c r="Q349" t="str">
        <f t="shared" si="20"/>
        <v>10+ Years</v>
      </c>
      <c r="R349" t="str">
        <f>IF(Table7[[#This Row],[Age]]&lt;=25,"20-25",IF(Table7[[#This Row],[Age]]&lt;=30,"26-30",IF(Table7[[#This Row],[Age]]&lt;=35,"31-35","36+")))</f>
        <v>20-25</v>
      </c>
      <c r="S349" t="str">
        <f t="shared" si="21"/>
        <v>July</v>
      </c>
      <c r="T349" s="2" t="str">
        <f t="shared" si="22"/>
        <v>Q3</v>
      </c>
      <c r="U349" s="2">
        <f t="shared" si="23"/>
        <v>2025</v>
      </c>
    </row>
    <row r="350" spans="1:21" x14ac:dyDescent="0.3">
      <c r="A350" t="s">
        <v>1774</v>
      </c>
      <c r="B350" t="s">
        <v>4778</v>
      </c>
      <c r="C350" t="s">
        <v>4814</v>
      </c>
      <c r="D350" t="s">
        <v>4372</v>
      </c>
      <c r="E350">
        <v>42</v>
      </c>
      <c r="F350" t="s">
        <v>5220</v>
      </c>
      <c r="G350">
        <v>9949727271</v>
      </c>
      <c r="H350" t="s">
        <v>4404</v>
      </c>
      <c r="I350" t="s">
        <v>4405</v>
      </c>
      <c r="J350" t="s">
        <v>4446</v>
      </c>
      <c r="K350">
        <v>4.3</v>
      </c>
      <c r="L350">
        <v>9.5</v>
      </c>
      <c r="M350">
        <v>11.8</v>
      </c>
      <c r="N350" t="s">
        <v>4406</v>
      </c>
      <c r="O350" t="s">
        <v>4419</v>
      </c>
      <c r="P350" s="1">
        <v>45794</v>
      </c>
      <c r="Q350" t="str">
        <f t="shared" si="20"/>
        <v>10+ Years</v>
      </c>
      <c r="R350" t="str">
        <f>IF(Table7[[#This Row],[Age]]&lt;=25,"20-25",IF(Table7[[#This Row],[Age]]&lt;=30,"26-30",IF(Table7[[#This Row],[Age]]&lt;=35,"31-35","36+")))</f>
        <v>36+</v>
      </c>
      <c r="S350" t="str">
        <f t="shared" si="21"/>
        <v>May</v>
      </c>
      <c r="T350" s="2" t="str">
        <f t="shared" si="22"/>
        <v>Q2</v>
      </c>
      <c r="U350" s="2">
        <f t="shared" si="23"/>
        <v>2025</v>
      </c>
    </row>
    <row r="351" spans="1:21" x14ac:dyDescent="0.3">
      <c r="A351" t="s">
        <v>3981</v>
      </c>
      <c r="B351" t="s">
        <v>4763</v>
      </c>
      <c r="C351" t="s">
        <v>4978</v>
      </c>
      <c r="D351" t="s">
        <v>4363</v>
      </c>
      <c r="E351">
        <v>26</v>
      </c>
      <c r="F351" t="s">
        <v>5221</v>
      </c>
      <c r="G351">
        <v>9987123829</v>
      </c>
      <c r="H351" t="s">
        <v>4476</v>
      </c>
      <c r="I351" t="s">
        <v>4477</v>
      </c>
      <c r="J351" t="s">
        <v>4367</v>
      </c>
      <c r="K351">
        <v>1.8</v>
      </c>
      <c r="L351">
        <v>10.8</v>
      </c>
      <c r="M351">
        <v>14.9</v>
      </c>
      <c r="N351" t="s">
        <v>4390</v>
      </c>
      <c r="O351" t="s">
        <v>4485</v>
      </c>
      <c r="P351" s="1">
        <v>45793</v>
      </c>
      <c r="Q351" t="str">
        <f t="shared" si="20"/>
        <v>10+ Years</v>
      </c>
      <c r="R351" t="str">
        <f>IF(Table7[[#This Row],[Age]]&lt;=25,"20-25",IF(Table7[[#This Row],[Age]]&lt;=30,"26-30",IF(Table7[[#This Row],[Age]]&lt;=35,"31-35","36+")))</f>
        <v>26-30</v>
      </c>
      <c r="S351" t="str">
        <f t="shared" si="21"/>
        <v>May</v>
      </c>
      <c r="T351" s="2" t="str">
        <f t="shared" si="22"/>
        <v>Q2</v>
      </c>
      <c r="U351" s="2">
        <f t="shared" si="23"/>
        <v>2025</v>
      </c>
    </row>
    <row r="352" spans="1:21" x14ac:dyDescent="0.3">
      <c r="A352" t="s">
        <v>786</v>
      </c>
      <c r="B352" t="s">
        <v>4526</v>
      </c>
      <c r="C352" t="s">
        <v>5222</v>
      </c>
      <c r="D352" t="s">
        <v>4372</v>
      </c>
      <c r="E352">
        <v>27</v>
      </c>
      <c r="F352" t="s">
        <v>5223</v>
      </c>
      <c r="G352">
        <v>9874770594</v>
      </c>
      <c r="H352" t="s">
        <v>4476</v>
      </c>
      <c r="I352" t="s">
        <v>4477</v>
      </c>
      <c r="J352" t="s">
        <v>4376</v>
      </c>
      <c r="K352">
        <v>7.3</v>
      </c>
      <c r="L352">
        <v>18.600000000000001</v>
      </c>
      <c r="M352">
        <v>23.8</v>
      </c>
      <c r="N352" t="s">
        <v>4368</v>
      </c>
      <c r="O352" t="s">
        <v>4369</v>
      </c>
      <c r="P352" s="1">
        <v>45928</v>
      </c>
      <c r="Q352" t="str">
        <f t="shared" si="20"/>
        <v>10+ Years</v>
      </c>
      <c r="R352" t="str">
        <f>IF(Table7[[#This Row],[Age]]&lt;=25,"20-25",IF(Table7[[#This Row],[Age]]&lt;=30,"26-30",IF(Table7[[#This Row],[Age]]&lt;=35,"31-35","36+")))</f>
        <v>26-30</v>
      </c>
      <c r="S352" t="str">
        <f t="shared" si="21"/>
        <v>September</v>
      </c>
      <c r="T352" s="2" t="str">
        <f t="shared" si="22"/>
        <v>Q3</v>
      </c>
      <c r="U352" s="2">
        <f t="shared" si="23"/>
        <v>2025</v>
      </c>
    </row>
    <row r="353" spans="1:21" x14ac:dyDescent="0.3">
      <c r="A353" t="s">
        <v>3538</v>
      </c>
      <c r="B353" t="s">
        <v>4495</v>
      </c>
      <c r="C353" t="s">
        <v>4976</v>
      </c>
      <c r="D353" t="s">
        <v>4372</v>
      </c>
      <c r="E353">
        <v>32</v>
      </c>
      <c r="F353" t="s">
        <v>5224</v>
      </c>
      <c r="G353">
        <v>9666371160</v>
      </c>
      <c r="H353" t="s">
        <v>4395</v>
      </c>
      <c r="I353" t="s">
        <v>4396</v>
      </c>
      <c r="J353" t="s">
        <v>4446</v>
      </c>
      <c r="K353">
        <v>7.1</v>
      </c>
      <c r="L353">
        <v>13.6</v>
      </c>
      <c r="M353">
        <v>16.3</v>
      </c>
      <c r="N353" t="s">
        <v>4368</v>
      </c>
      <c r="O353" t="s">
        <v>4400</v>
      </c>
      <c r="P353" s="1">
        <v>45893</v>
      </c>
      <c r="Q353" t="str">
        <f t="shared" si="20"/>
        <v>10+ Years</v>
      </c>
      <c r="R353" t="str">
        <f>IF(Table7[[#This Row],[Age]]&lt;=25,"20-25",IF(Table7[[#This Row],[Age]]&lt;=30,"26-30",IF(Table7[[#This Row],[Age]]&lt;=35,"31-35","36+")))</f>
        <v>31-35</v>
      </c>
      <c r="S353" t="str">
        <f t="shared" si="21"/>
        <v>August</v>
      </c>
      <c r="T353" s="2" t="str">
        <f t="shared" si="22"/>
        <v>Q3</v>
      </c>
      <c r="U353" s="2">
        <f t="shared" si="23"/>
        <v>2025</v>
      </c>
    </row>
    <row r="354" spans="1:21" x14ac:dyDescent="0.3">
      <c r="A354" t="s">
        <v>3244</v>
      </c>
      <c r="B354" t="s">
        <v>5225</v>
      </c>
      <c r="C354" t="s">
        <v>5226</v>
      </c>
      <c r="D354" t="s">
        <v>4372</v>
      </c>
      <c r="E354">
        <v>24</v>
      </c>
      <c r="F354" t="s">
        <v>5227</v>
      </c>
      <c r="G354">
        <v>9146449160</v>
      </c>
      <c r="H354" t="s">
        <v>4476</v>
      </c>
      <c r="I354" t="s">
        <v>4477</v>
      </c>
      <c r="J354" t="s">
        <v>4482</v>
      </c>
      <c r="K354">
        <v>8.4</v>
      </c>
      <c r="L354">
        <v>11.4</v>
      </c>
      <c r="M354">
        <v>15.9</v>
      </c>
      <c r="N354" t="s">
        <v>4377</v>
      </c>
      <c r="O354" t="s">
        <v>4369</v>
      </c>
      <c r="P354" s="1">
        <v>45736</v>
      </c>
      <c r="Q354" t="str">
        <f t="shared" si="20"/>
        <v>10+ Years</v>
      </c>
      <c r="R354" t="str">
        <f>IF(Table7[[#This Row],[Age]]&lt;=25,"20-25",IF(Table7[[#This Row],[Age]]&lt;=30,"26-30",IF(Table7[[#This Row],[Age]]&lt;=35,"31-35","36+")))</f>
        <v>20-25</v>
      </c>
      <c r="S354" t="str">
        <f t="shared" si="21"/>
        <v>March</v>
      </c>
      <c r="T354" s="2" t="str">
        <f t="shared" si="22"/>
        <v>Q1</v>
      </c>
      <c r="U354" s="2">
        <f t="shared" si="23"/>
        <v>2025</v>
      </c>
    </row>
    <row r="355" spans="1:21" x14ac:dyDescent="0.3">
      <c r="A355" t="s">
        <v>3780</v>
      </c>
      <c r="B355" t="s">
        <v>4593</v>
      </c>
      <c r="C355" t="s">
        <v>4974</v>
      </c>
      <c r="D355" t="s">
        <v>4363</v>
      </c>
      <c r="E355">
        <v>29</v>
      </c>
      <c r="F355" t="s">
        <v>5228</v>
      </c>
      <c r="G355">
        <v>9210383827</v>
      </c>
      <c r="H355" t="s">
        <v>4476</v>
      </c>
      <c r="I355" t="s">
        <v>4477</v>
      </c>
      <c r="J355" t="s">
        <v>4482</v>
      </c>
      <c r="K355">
        <v>2.2000000000000002</v>
      </c>
      <c r="L355">
        <v>8.9</v>
      </c>
      <c r="M355">
        <v>12.3</v>
      </c>
      <c r="N355" t="s">
        <v>4390</v>
      </c>
      <c r="O355" t="s">
        <v>4391</v>
      </c>
      <c r="P355" s="1">
        <v>45703</v>
      </c>
      <c r="Q355" t="str">
        <f t="shared" si="20"/>
        <v>10+ Years</v>
      </c>
      <c r="R355" t="str">
        <f>IF(Table7[[#This Row],[Age]]&lt;=25,"20-25",IF(Table7[[#This Row],[Age]]&lt;=30,"26-30",IF(Table7[[#This Row],[Age]]&lt;=35,"31-35","36+")))</f>
        <v>26-30</v>
      </c>
      <c r="S355" t="str">
        <f t="shared" si="21"/>
        <v>February</v>
      </c>
      <c r="T355" s="2" t="str">
        <f t="shared" si="22"/>
        <v>Q1</v>
      </c>
      <c r="U355" s="2">
        <f t="shared" si="23"/>
        <v>2025</v>
      </c>
    </row>
    <row r="356" spans="1:21" x14ac:dyDescent="0.3">
      <c r="A356" t="s">
        <v>3121</v>
      </c>
      <c r="B356" t="s">
        <v>4582</v>
      </c>
      <c r="C356" t="s">
        <v>5035</v>
      </c>
      <c r="D356" t="s">
        <v>4372</v>
      </c>
      <c r="E356">
        <v>35</v>
      </c>
      <c r="F356" t="s">
        <v>5229</v>
      </c>
      <c r="G356">
        <v>9579105101</v>
      </c>
      <c r="H356" t="s">
        <v>4404</v>
      </c>
      <c r="I356" t="s">
        <v>4405</v>
      </c>
      <c r="J356" t="s">
        <v>4367</v>
      </c>
      <c r="K356">
        <v>4</v>
      </c>
      <c r="L356">
        <v>5.7</v>
      </c>
      <c r="M356">
        <v>7.6</v>
      </c>
      <c r="N356" t="s">
        <v>4390</v>
      </c>
      <c r="O356" t="s">
        <v>4369</v>
      </c>
      <c r="P356" s="1">
        <v>45922</v>
      </c>
      <c r="Q356" t="str">
        <f t="shared" si="20"/>
        <v>10+ Years</v>
      </c>
      <c r="R356" t="str">
        <f>IF(Table7[[#This Row],[Age]]&lt;=25,"20-25",IF(Table7[[#This Row],[Age]]&lt;=30,"26-30",IF(Table7[[#This Row],[Age]]&lt;=35,"31-35","36+")))</f>
        <v>31-35</v>
      </c>
      <c r="S356" t="str">
        <f t="shared" si="21"/>
        <v>September</v>
      </c>
      <c r="T356" s="2" t="str">
        <f t="shared" si="22"/>
        <v>Q3</v>
      </c>
      <c r="U356" s="2">
        <f t="shared" si="23"/>
        <v>2025</v>
      </c>
    </row>
    <row r="357" spans="1:21" x14ac:dyDescent="0.3">
      <c r="A357" t="s">
        <v>2267</v>
      </c>
      <c r="B357" t="s">
        <v>5230</v>
      </c>
      <c r="C357" t="s">
        <v>5231</v>
      </c>
      <c r="D357" t="s">
        <v>4372</v>
      </c>
      <c r="E357">
        <v>28</v>
      </c>
      <c r="F357" t="s">
        <v>5232</v>
      </c>
      <c r="G357">
        <v>9240147423</v>
      </c>
      <c r="H357" t="s">
        <v>4476</v>
      </c>
      <c r="I357" t="s">
        <v>4477</v>
      </c>
      <c r="J357" t="s">
        <v>4415</v>
      </c>
      <c r="K357">
        <v>1.4</v>
      </c>
      <c r="L357">
        <v>3.2</v>
      </c>
      <c r="M357">
        <v>4.3</v>
      </c>
      <c r="N357" t="s">
        <v>4390</v>
      </c>
      <c r="O357" t="s">
        <v>4383</v>
      </c>
      <c r="P357" s="1">
        <v>45853</v>
      </c>
      <c r="Q357" t="str">
        <f t="shared" si="20"/>
        <v>10+ Years</v>
      </c>
      <c r="R357" t="str">
        <f>IF(Table7[[#This Row],[Age]]&lt;=25,"20-25",IF(Table7[[#This Row],[Age]]&lt;=30,"26-30",IF(Table7[[#This Row],[Age]]&lt;=35,"31-35","36+")))</f>
        <v>26-30</v>
      </c>
      <c r="S357" t="str">
        <f t="shared" si="21"/>
        <v>July</v>
      </c>
      <c r="T357" s="2" t="str">
        <f t="shared" si="22"/>
        <v>Q3</v>
      </c>
      <c r="U357" s="2">
        <f t="shared" si="23"/>
        <v>2025</v>
      </c>
    </row>
    <row r="358" spans="1:21" x14ac:dyDescent="0.3">
      <c r="A358" t="s">
        <v>1661</v>
      </c>
      <c r="B358" t="s">
        <v>5034</v>
      </c>
      <c r="C358" t="s">
        <v>4398</v>
      </c>
      <c r="D358" t="s">
        <v>4372</v>
      </c>
      <c r="E358">
        <v>29</v>
      </c>
      <c r="F358" t="s">
        <v>5233</v>
      </c>
      <c r="G358">
        <v>9315664116</v>
      </c>
      <c r="H358" t="s">
        <v>4410</v>
      </c>
      <c r="I358" t="s">
        <v>4411</v>
      </c>
      <c r="J358" t="s">
        <v>4376</v>
      </c>
      <c r="K358">
        <v>7.2</v>
      </c>
      <c r="L358">
        <v>10.8</v>
      </c>
      <c r="M358">
        <v>12.3</v>
      </c>
      <c r="N358" t="s">
        <v>4368</v>
      </c>
      <c r="O358" t="s">
        <v>4456</v>
      </c>
      <c r="P358" s="1">
        <v>45798</v>
      </c>
      <c r="Q358" t="str">
        <f t="shared" si="20"/>
        <v>10+ Years</v>
      </c>
      <c r="R358" t="str">
        <f>IF(Table7[[#This Row],[Age]]&lt;=25,"20-25",IF(Table7[[#This Row],[Age]]&lt;=30,"26-30",IF(Table7[[#This Row],[Age]]&lt;=35,"31-35","36+")))</f>
        <v>26-30</v>
      </c>
      <c r="S358" t="str">
        <f t="shared" si="21"/>
        <v>May</v>
      </c>
      <c r="T358" s="2" t="str">
        <f t="shared" si="22"/>
        <v>Q2</v>
      </c>
      <c r="U358" s="2">
        <f t="shared" si="23"/>
        <v>2025</v>
      </c>
    </row>
    <row r="359" spans="1:21" x14ac:dyDescent="0.3">
      <c r="A359" t="s">
        <v>5234</v>
      </c>
      <c r="B359" t="s">
        <v>5235</v>
      </c>
      <c r="C359" t="s">
        <v>5236</v>
      </c>
      <c r="D359" t="s">
        <v>4363</v>
      </c>
      <c r="E359">
        <v>21</v>
      </c>
      <c r="F359" t="s">
        <v>5237</v>
      </c>
      <c r="G359">
        <v>9359664703</v>
      </c>
      <c r="H359" t="s">
        <v>4454</v>
      </c>
      <c r="I359" t="s">
        <v>4455</v>
      </c>
      <c r="J359" t="s">
        <v>4446</v>
      </c>
      <c r="K359">
        <v>1.9</v>
      </c>
      <c r="L359">
        <v>8.3000000000000007</v>
      </c>
      <c r="M359">
        <v>9.5</v>
      </c>
      <c r="N359" t="s">
        <v>4390</v>
      </c>
      <c r="O359" t="s">
        <v>4485</v>
      </c>
      <c r="P359" s="1">
        <v>45761</v>
      </c>
      <c r="Q359" t="str">
        <f t="shared" si="20"/>
        <v>10+ Years</v>
      </c>
      <c r="R359" t="str">
        <f>IF(Table7[[#This Row],[Age]]&lt;=25,"20-25",IF(Table7[[#This Row],[Age]]&lt;=30,"26-30",IF(Table7[[#This Row],[Age]]&lt;=35,"31-35","36+")))</f>
        <v>20-25</v>
      </c>
      <c r="S359" t="str">
        <f t="shared" si="21"/>
        <v>April</v>
      </c>
      <c r="T359" s="2" t="str">
        <f t="shared" si="22"/>
        <v>Q2</v>
      </c>
      <c r="U359" s="2">
        <f t="shared" si="23"/>
        <v>2025</v>
      </c>
    </row>
    <row r="360" spans="1:21" x14ac:dyDescent="0.3">
      <c r="A360" t="s">
        <v>548</v>
      </c>
      <c r="B360" t="s">
        <v>4825</v>
      </c>
      <c r="C360" t="s">
        <v>4535</v>
      </c>
      <c r="D360" t="s">
        <v>4372</v>
      </c>
      <c r="E360">
        <v>37</v>
      </c>
      <c r="F360" t="s">
        <v>5238</v>
      </c>
      <c r="G360">
        <v>9763423702</v>
      </c>
      <c r="H360" t="s">
        <v>4473</v>
      </c>
      <c r="I360" t="s">
        <v>4473</v>
      </c>
      <c r="J360" t="s">
        <v>4482</v>
      </c>
      <c r="K360">
        <v>4.5</v>
      </c>
      <c r="L360">
        <v>8.8000000000000007</v>
      </c>
      <c r="M360">
        <v>10</v>
      </c>
      <c r="N360" t="s">
        <v>4390</v>
      </c>
      <c r="O360" t="s">
        <v>4391</v>
      </c>
      <c r="P360" s="1">
        <v>46022</v>
      </c>
      <c r="Q360" t="str">
        <f t="shared" si="20"/>
        <v>10+ Years</v>
      </c>
      <c r="R360" t="str">
        <f>IF(Table7[[#This Row],[Age]]&lt;=25,"20-25",IF(Table7[[#This Row],[Age]]&lt;=30,"26-30",IF(Table7[[#This Row],[Age]]&lt;=35,"31-35","36+")))</f>
        <v>36+</v>
      </c>
      <c r="S360" t="str">
        <f t="shared" si="21"/>
        <v>December</v>
      </c>
      <c r="T360" s="2" t="str">
        <f t="shared" si="22"/>
        <v>Q4</v>
      </c>
      <c r="U360" s="2">
        <f t="shared" si="23"/>
        <v>2025</v>
      </c>
    </row>
    <row r="361" spans="1:21" x14ac:dyDescent="0.3">
      <c r="A361" t="s">
        <v>493</v>
      </c>
      <c r="B361" t="s">
        <v>5239</v>
      </c>
      <c r="C361" t="s">
        <v>5240</v>
      </c>
      <c r="D361" t="s">
        <v>4363</v>
      </c>
      <c r="E361">
        <v>35</v>
      </c>
      <c r="F361" t="s">
        <v>5241</v>
      </c>
      <c r="G361">
        <v>9562747371</v>
      </c>
      <c r="H361" t="s">
        <v>4395</v>
      </c>
      <c r="I361" t="s">
        <v>4396</v>
      </c>
      <c r="J361" t="s">
        <v>4376</v>
      </c>
      <c r="K361">
        <v>0.8</v>
      </c>
      <c r="L361">
        <v>14.9</v>
      </c>
      <c r="M361">
        <v>18</v>
      </c>
      <c r="N361" t="s">
        <v>4368</v>
      </c>
      <c r="O361" t="s">
        <v>4400</v>
      </c>
      <c r="P361" s="1">
        <v>45724</v>
      </c>
      <c r="Q361" t="str">
        <f t="shared" si="20"/>
        <v>10+ Years</v>
      </c>
      <c r="R361" t="str">
        <f>IF(Table7[[#This Row],[Age]]&lt;=25,"20-25",IF(Table7[[#This Row],[Age]]&lt;=30,"26-30",IF(Table7[[#This Row],[Age]]&lt;=35,"31-35","36+")))</f>
        <v>31-35</v>
      </c>
      <c r="S361" t="str">
        <f t="shared" si="21"/>
        <v>March</v>
      </c>
      <c r="T361" s="2" t="str">
        <f t="shared" si="22"/>
        <v>Q1</v>
      </c>
      <c r="U361" s="2">
        <f t="shared" si="23"/>
        <v>2025</v>
      </c>
    </row>
    <row r="362" spans="1:21" x14ac:dyDescent="0.3">
      <c r="A362" t="s">
        <v>2653</v>
      </c>
      <c r="B362" t="s">
        <v>4557</v>
      </c>
      <c r="C362" t="s">
        <v>5242</v>
      </c>
      <c r="D362" t="s">
        <v>4363</v>
      </c>
      <c r="E362">
        <v>26</v>
      </c>
      <c r="F362" t="s">
        <v>5243</v>
      </c>
      <c r="G362">
        <v>9864392519</v>
      </c>
      <c r="H362" t="s">
        <v>4521</v>
      </c>
      <c r="I362" t="s">
        <v>4522</v>
      </c>
      <c r="J362" t="s">
        <v>4482</v>
      </c>
      <c r="K362">
        <v>0.1</v>
      </c>
      <c r="L362">
        <v>6.7</v>
      </c>
      <c r="M362">
        <v>9</v>
      </c>
      <c r="N362" t="s">
        <v>4368</v>
      </c>
      <c r="O362" t="s">
        <v>4369</v>
      </c>
      <c r="P362" s="1">
        <v>45886</v>
      </c>
      <c r="Q362" t="str">
        <f t="shared" si="20"/>
        <v>10+ Years</v>
      </c>
      <c r="R362" t="str">
        <f>IF(Table7[[#This Row],[Age]]&lt;=25,"20-25",IF(Table7[[#This Row],[Age]]&lt;=30,"26-30",IF(Table7[[#This Row],[Age]]&lt;=35,"31-35","36+")))</f>
        <v>26-30</v>
      </c>
      <c r="S362" t="str">
        <f t="shared" si="21"/>
        <v>August</v>
      </c>
      <c r="T362" s="2" t="str">
        <f t="shared" si="22"/>
        <v>Q3</v>
      </c>
      <c r="U362" s="2">
        <f t="shared" si="23"/>
        <v>2025</v>
      </c>
    </row>
    <row r="363" spans="1:21" x14ac:dyDescent="0.3">
      <c r="A363" t="s">
        <v>3976</v>
      </c>
      <c r="B363" t="s">
        <v>4596</v>
      </c>
      <c r="C363" t="s">
        <v>4594</v>
      </c>
      <c r="D363" t="s">
        <v>4372</v>
      </c>
      <c r="E363">
        <v>26</v>
      </c>
      <c r="F363" t="s">
        <v>5244</v>
      </c>
      <c r="G363">
        <v>9545293810</v>
      </c>
      <c r="H363" t="s">
        <v>4491</v>
      </c>
      <c r="I363" t="s">
        <v>4491</v>
      </c>
      <c r="K363">
        <v>12.3</v>
      </c>
      <c r="L363">
        <v>20</v>
      </c>
      <c r="M363">
        <v>26.6</v>
      </c>
      <c r="N363" t="s">
        <v>4377</v>
      </c>
      <c r="O363" t="s">
        <v>4369</v>
      </c>
      <c r="P363" s="1">
        <v>45946</v>
      </c>
      <c r="Q363" t="str">
        <f t="shared" si="20"/>
        <v>10+ Years</v>
      </c>
      <c r="R363" t="str">
        <f>IF(Table7[[#This Row],[Age]]&lt;=25,"20-25",IF(Table7[[#This Row],[Age]]&lt;=30,"26-30",IF(Table7[[#This Row],[Age]]&lt;=35,"31-35","36+")))</f>
        <v>26-30</v>
      </c>
      <c r="S363" t="str">
        <f t="shared" si="21"/>
        <v>October</v>
      </c>
      <c r="T363" s="2" t="str">
        <f t="shared" si="22"/>
        <v>Q4</v>
      </c>
      <c r="U363" s="2">
        <f t="shared" si="23"/>
        <v>2025</v>
      </c>
    </row>
    <row r="364" spans="1:21" x14ac:dyDescent="0.3">
      <c r="A364" t="s">
        <v>2839</v>
      </c>
      <c r="B364" t="s">
        <v>4461</v>
      </c>
      <c r="C364" t="s">
        <v>5195</v>
      </c>
      <c r="D364" t="s">
        <v>4372</v>
      </c>
      <c r="E364">
        <v>29</v>
      </c>
      <c r="F364" t="s">
        <v>5245</v>
      </c>
      <c r="G364">
        <v>9852634004</v>
      </c>
      <c r="H364" t="s">
        <v>4506</v>
      </c>
      <c r="I364" t="s">
        <v>4507</v>
      </c>
      <c r="J364" t="s">
        <v>4415</v>
      </c>
      <c r="K364">
        <v>6.7</v>
      </c>
      <c r="L364">
        <v>18.3</v>
      </c>
      <c r="M364">
        <v>26.5</v>
      </c>
      <c r="N364" t="s">
        <v>4368</v>
      </c>
      <c r="O364" t="s">
        <v>4369</v>
      </c>
      <c r="P364" s="1">
        <v>45861</v>
      </c>
      <c r="Q364" t="str">
        <f t="shared" si="20"/>
        <v>10+ Years</v>
      </c>
      <c r="R364" t="str">
        <f>IF(Table7[[#This Row],[Age]]&lt;=25,"20-25",IF(Table7[[#This Row],[Age]]&lt;=30,"26-30",IF(Table7[[#This Row],[Age]]&lt;=35,"31-35","36+")))</f>
        <v>26-30</v>
      </c>
      <c r="S364" t="str">
        <f t="shared" si="21"/>
        <v>July</v>
      </c>
      <c r="T364" s="2" t="str">
        <f t="shared" si="22"/>
        <v>Q3</v>
      </c>
      <c r="U364" s="2">
        <f t="shared" si="23"/>
        <v>2025</v>
      </c>
    </row>
    <row r="365" spans="1:21" x14ac:dyDescent="0.3">
      <c r="A365" t="s">
        <v>3215</v>
      </c>
      <c r="B365" t="s">
        <v>4734</v>
      </c>
      <c r="C365" t="s">
        <v>5246</v>
      </c>
      <c r="D365" t="s">
        <v>4372</v>
      </c>
      <c r="E365">
        <v>35</v>
      </c>
      <c r="F365" t="s">
        <v>5247</v>
      </c>
      <c r="G365">
        <v>9908312892</v>
      </c>
      <c r="H365" t="s">
        <v>4506</v>
      </c>
      <c r="I365" t="s">
        <v>4507</v>
      </c>
      <c r="J365" t="s">
        <v>4367</v>
      </c>
      <c r="K365">
        <v>6.4</v>
      </c>
      <c r="L365">
        <v>16.600000000000001</v>
      </c>
      <c r="M365">
        <v>19.899999999999999</v>
      </c>
      <c r="N365" t="s">
        <v>4368</v>
      </c>
      <c r="O365" t="s">
        <v>4383</v>
      </c>
      <c r="P365" s="1">
        <v>46006</v>
      </c>
      <c r="Q365" t="str">
        <f t="shared" si="20"/>
        <v>10+ Years</v>
      </c>
      <c r="R365" t="str">
        <f>IF(Table7[[#This Row],[Age]]&lt;=25,"20-25",IF(Table7[[#This Row],[Age]]&lt;=30,"26-30",IF(Table7[[#This Row],[Age]]&lt;=35,"31-35","36+")))</f>
        <v>31-35</v>
      </c>
      <c r="S365" t="str">
        <f t="shared" si="21"/>
        <v>December</v>
      </c>
      <c r="T365" s="2" t="str">
        <f t="shared" si="22"/>
        <v>Q4</v>
      </c>
      <c r="U365" s="2">
        <f t="shared" si="23"/>
        <v>2025</v>
      </c>
    </row>
    <row r="366" spans="1:21" x14ac:dyDescent="0.3">
      <c r="A366" t="s">
        <v>844</v>
      </c>
      <c r="B366" t="s">
        <v>4727</v>
      </c>
      <c r="C366" t="s">
        <v>4486</v>
      </c>
      <c r="D366" t="s">
        <v>4372</v>
      </c>
      <c r="E366">
        <v>27</v>
      </c>
      <c r="F366" t="s">
        <v>5248</v>
      </c>
      <c r="G366">
        <v>9925952724</v>
      </c>
      <c r="H366" t="s">
        <v>4381</v>
      </c>
      <c r="I366" t="s">
        <v>4382</v>
      </c>
      <c r="J366" t="s">
        <v>4389</v>
      </c>
      <c r="K366">
        <v>6</v>
      </c>
      <c r="L366">
        <v>13.5</v>
      </c>
      <c r="M366">
        <v>15.6</v>
      </c>
      <c r="N366" t="s">
        <v>4368</v>
      </c>
      <c r="O366" t="s">
        <v>4369</v>
      </c>
      <c r="P366" s="1">
        <v>45665</v>
      </c>
      <c r="Q366" t="str">
        <f t="shared" si="20"/>
        <v>10+ Years</v>
      </c>
      <c r="R366" t="str">
        <f>IF(Table7[[#This Row],[Age]]&lt;=25,"20-25",IF(Table7[[#This Row],[Age]]&lt;=30,"26-30",IF(Table7[[#This Row],[Age]]&lt;=35,"31-35","36+")))</f>
        <v>26-30</v>
      </c>
      <c r="S366" t="str">
        <f t="shared" si="21"/>
        <v>January</v>
      </c>
      <c r="T366" s="2" t="str">
        <f t="shared" si="22"/>
        <v>Q1</v>
      </c>
      <c r="U366" s="2">
        <f t="shared" si="23"/>
        <v>2025</v>
      </c>
    </row>
    <row r="367" spans="1:21" x14ac:dyDescent="0.3">
      <c r="A367" t="s">
        <v>1975</v>
      </c>
      <c r="B367" t="s">
        <v>5249</v>
      </c>
      <c r="C367" t="s">
        <v>5250</v>
      </c>
      <c r="D367" t="s">
        <v>4372</v>
      </c>
      <c r="E367">
        <v>23</v>
      </c>
      <c r="F367" t="s">
        <v>5251</v>
      </c>
      <c r="G367">
        <v>9908862260</v>
      </c>
      <c r="H367" t="s">
        <v>4365</v>
      </c>
      <c r="I367" t="s">
        <v>4366</v>
      </c>
      <c r="J367" t="s">
        <v>4376</v>
      </c>
      <c r="K367">
        <v>2</v>
      </c>
      <c r="L367">
        <v>7</v>
      </c>
      <c r="M367">
        <v>8</v>
      </c>
      <c r="N367" t="s">
        <v>4390</v>
      </c>
      <c r="O367" t="s">
        <v>4456</v>
      </c>
      <c r="P367" s="1">
        <v>45905</v>
      </c>
      <c r="Q367" t="str">
        <f t="shared" si="20"/>
        <v>10+ Years</v>
      </c>
      <c r="R367" t="str">
        <f>IF(Table7[[#This Row],[Age]]&lt;=25,"20-25",IF(Table7[[#This Row],[Age]]&lt;=30,"26-30",IF(Table7[[#This Row],[Age]]&lt;=35,"31-35","36+")))</f>
        <v>20-25</v>
      </c>
      <c r="S367" t="str">
        <f t="shared" si="21"/>
        <v>September</v>
      </c>
      <c r="T367" s="2" t="str">
        <f t="shared" si="22"/>
        <v>Q3</v>
      </c>
      <c r="U367" s="2">
        <f t="shared" si="23"/>
        <v>2025</v>
      </c>
    </row>
    <row r="368" spans="1:21" x14ac:dyDescent="0.3">
      <c r="A368" t="s">
        <v>3188</v>
      </c>
      <c r="B368" t="s">
        <v>4668</v>
      </c>
      <c r="C368" t="s">
        <v>4440</v>
      </c>
      <c r="D368" t="s">
        <v>4363</v>
      </c>
      <c r="E368">
        <v>32</v>
      </c>
      <c r="F368" t="s">
        <v>5252</v>
      </c>
      <c r="G368">
        <v>9841971561</v>
      </c>
      <c r="H368" t="s">
        <v>4404</v>
      </c>
      <c r="I368" t="s">
        <v>4405</v>
      </c>
      <c r="J368" t="s">
        <v>4482</v>
      </c>
      <c r="K368">
        <v>0.6</v>
      </c>
      <c r="L368">
        <v>7.8</v>
      </c>
      <c r="M368">
        <v>10.199999999999999</v>
      </c>
      <c r="N368" t="s">
        <v>4494</v>
      </c>
      <c r="O368" t="s">
        <v>4400</v>
      </c>
      <c r="P368" s="1">
        <v>45978</v>
      </c>
      <c r="Q368" t="str">
        <f t="shared" si="20"/>
        <v>10+ Years</v>
      </c>
      <c r="R368" t="str">
        <f>IF(Table7[[#This Row],[Age]]&lt;=25,"20-25",IF(Table7[[#This Row],[Age]]&lt;=30,"26-30",IF(Table7[[#This Row],[Age]]&lt;=35,"31-35","36+")))</f>
        <v>31-35</v>
      </c>
      <c r="S368" t="str">
        <f t="shared" si="21"/>
        <v>November</v>
      </c>
      <c r="T368" s="2" t="str">
        <f t="shared" si="22"/>
        <v>Q4</v>
      </c>
      <c r="U368" s="2">
        <f t="shared" si="23"/>
        <v>2025</v>
      </c>
    </row>
    <row r="369" spans="1:21" x14ac:dyDescent="0.3">
      <c r="A369" t="s">
        <v>217</v>
      </c>
      <c r="B369" t="s">
        <v>4537</v>
      </c>
      <c r="C369" t="s">
        <v>4657</v>
      </c>
      <c r="D369" t="s">
        <v>4372</v>
      </c>
      <c r="E369">
        <v>26</v>
      </c>
      <c r="F369" t="s">
        <v>5253</v>
      </c>
      <c r="G369">
        <v>9304279816</v>
      </c>
      <c r="H369" t="s">
        <v>4374</v>
      </c>
      <c r="I369" t="s">
        <v>4375</v>
      </c>
      <c r="J369" t="s">
        <v>4608</v>
      </c>
      <c r="K369">
        <v>0.7</v>
      </c>
      <c r="L369">
        <v>8.1</v>
      </c>
      <c r="M369">
        <v>9.6</v>
      </c>
      <c r="N369" t="s">
        <v>4390</v>
      </c>
      <c r="O369" t="s">
        <v>4383</v>
      </c>
      <c r="P369" s="1">
        <v>45702</v>
      </c>
      <c r="Q369" t="str">
        <f t="shared" si="20"/>
        <v>10+ Years</v>
      </c>
      <c r="R369" t="str">
        <f>IF(Table7[[#This Row],[Age]]&lt;=25,"20-25",IF(Table7[[#This Row],[Age]]&lt;=30,"26-30",IF(Table7[[#This Row],[Age]]&lt;=35,"31-35","36+")))</f>
        <v>26-30</v>
      </c>
      <c r="S369" t="str">
        <f t="shared" si="21"/>
        <v>February</v>
      </c>
      <c r="T369" s="2" t="str">
        <f t="shared" si="22"/>
        <v>Q1</v>
      </c>
      <c r="U369" s="2">
        <f t="shared" si="23"/>
        <v>2025</v>
      </c>
    </row>
    <row r="370" spans="1:21" x14ac:dyDescent="0.3">
      <c r="A370" t="s">
        <v>2064</v>
      </c>
      <c r="B370" t="s">
        <v>4886</v>
      </c>
      <c r="C370" t="s">
        <v>4878</v>
      </c>
      <c r="D370" t="s">
        <v>4372</v>
      </c>
      <c r="E370">
        <v>27</v>
      </c>
      <c r="F370" t="s">
        <v>5254</v>
      </c>
      <c r="G370">
        <v>9812915940</v>
      </c>
      <c r="H370" t="s">
        <v>4506</v>
      </c>
      <c r="I370" t="s">
        <v>4507</v>
      </c>
      <c r="J370" t="s">
        <v>4432</v>
      </c>
      <c r="K370">
        <v>3.2</v>
      </c>
      <c r="L370">
        <v>8</v>
      </c>
      <c r="M370">
        <v>10</v>
      </c>
      <c r="N370" t="s">
        <v>4377</v>
      </c>
      <c r="O370" t="s">
        <v>4456</v>
      </c>
      <c r="P370" s="1">
        <v>45815</v>
      </c>
      <c r="Q370" t="str">
        <f t="shared" si="20"/>
        <v>10+ Years</v>
      </c>
      <c r="R370" t="str">
        <f>IF(Table7[[#This Row],[Age]]&lt;=25,"20-25",IF(Table7[[#This Row],[Age]]&lt;=30,"26-30",IF(Table7[[#This Row],[Age]]&lt;=35,"31-35","36+")))</f>
        <v>26-30</v>
      </c>
      <c r="S370" t="str">
        <f t="shared" si="21"/>
        <v>June</v>
      </c>
      <c r="T370" s="2" t="str">
        <f t="shared" si="22"/>
        <v>Q2</v>
      </c>
      <c r="U370" s="2">
        <f t="shared" si="23"/>
        <v>2025</v>
      </c>
    </row>
    <row r="371" spans="1:21" x14ac:dyDescent="0.3">
      <c r="A371" t="s">
        <v>615</v>
      </c>
      <c r="B371" t="s">
        <v>4573</v>
      </c>
      <c r="C371" t="s">
        <v>5255</v>
      </c>
      <c r="D371" t="s">
        <v>4372</v>
      </c>
      <c r="E371">
        <v>25</v>
      </c>
      <c r="F371" t="s">
        <v>5256</v>
      </c>
      <c r="G371">
        <v>9961110943</v>
      </c>
      <c r="H371" t="s">
        <v>4381</v>
      </c>
      <c r="I371" t="s">
        <v>4382</v>
      </c>
      <c r="J371" t="s">
        <v>4446</v>
      </c>
      <c r="K371">
        <v>2.8</v>
      </c>
      <c r="L371">
        <v>7.9</v>
      </c>
      <c r="M371">
        <v>9.5</v>
      </c>
      <c r="N371" t="s">
        <v>4368</v>
      </c>
      <c r="O371" t="s">
        <v>4369</v>
      </c>
      <c r="P371" s="1">
        <v>45932</v>
      </c>
      <c r="Q371" t="str">
        <f t="shared" si="20"/>
        <v>10+ Years</v>
      </c>
      <c r="R371" t="str">
        <f>IF(Table7[[#This Row],[Age]]&lt;=25,"20-25",IF(Table7[[#This Row],[Age]]&lt;=30,"26-30",IF(Table7[[#This Row],[Age]]&lt;=35,"31-35","36+")))</f>
        <v>20-25</v>
      </c>
      <c r="S371" t="str">
        <f t="shared" si="21"/>
        <v>October</v>
      </c>
      <c r="T371" s="2" t="str">
        <f t="shared" si="22"/>
        <v>Q4</v>
      </c>
      <c r="U371" s="2">
        <f t="shared" si="23"/>
        <v>2025</v>
      </c>
    </row>
    <row r="372" spans="1:21" x14ac:dyDescent="0.3">
      <c r="A372" t="s">
        <v>5257</v>
      </c>
      <c r="B372" t="s">
        <v>5258</v>
      </c>
      <c r="C372" t="s">
        <v>5088</v>
      </c>
      <c r="D372" t="s">
        <v>4363</v>
      </c>
      <c r="E372">
        <v>21</v>
      </c>
      <c r="F372" t="s">
        <v>5259</v>
      </c>
      <c r="G372">
        <v>9804720201</v>
      </c>
      <c r="H372" t="s">
        <v>4491</v>
      </c>
      <c r="I372" t="s">
        <v>4491</v>
      </c>
      <c r="J372" t="s">
        <v>4389</v>
      </c>
      <c r="K372">
        <v>6.4</v>
      </c>
      <c r="L372">
        <v>10.4</v>
      </c>
      <c r="M372">
        <v>12.1</v>
      </c>
      <c r="N372" t="s">
        <v>4494</v>
      </c>
      <c r="O372" t="s">
        <v>4391</v>
      </c>
      <c r="P372" s="1">
        <v>45891</v>
      </c>
      <c r="Q372" t="str">
        <f t="shared" si="20"/>
        <v>10+ Years</v>
      </c>
      <c r="R372" t="str">
        <f>IF(Table7[[#This Row],[Age]]&lt;=25,"20-25",IF(Table7[[#This Row],[Age]]&lt;=30,"26-30",IF(Table7[[#This Row],[Age]]&lt;=35,"31-35","36+")))</f>
        <v>20-25</v>
      </c>
      <c r="S372" t="str">
        <f t="shared" si="21"/>
        <v>August</v>
      </c>
      <c r="T372" s="2" t="str">
        <f t="shared" si="22"/>
        <v>Q3</v>
      </c>
      <c r="U372" s="2">
        <f t="shared" si="23"/>
        <v>2025</v>
      </c>
    </row>
    <row r="373" spans="1:21" x14ac:dyDescent="0.3">
      <c r="A373" t="s">
        <v>2003</v>
      </c>
      <c r="B373" t="s">
        <v>4436</v>
      </c>
      <c r="C373" t="s">
        <v>5260</v>
      </c>
      <c r="D373" t="s">
        <v>4363</v>
      </c>
      <c r="E373">
        <v>28</v>
      </c>
      <c r="F373" t="s">
        <v>5261</v>
      </c>
      <c r="G373">
        <v>9812849936</v>
      </c>
      <c r="H373" t="s">
        <v>4410</v>
      </c>
      <c r="I373" t="s">
        <v>4411</v>
      </c>
      <c r="J373" t="s">
        <v>4389</v>
      </c>
      <c r="K373">
        <v>2.7</v>
      </c>
      <c r="L373">
        <v>10</v>
      </c>
      <c r="M373">
        <v>11.2</v>
      </c>
      <c r="N373" t="s">
        <v>4406</v>
      </c>
      <c r="O373" t="s">
        <v>4419</v>
      </c>
      <c r="P373" s="1">
        <v>45823</v>
      </c>
      <c r="Q373" t="str">
        <f t="shared" si="20"/>
        <v>10+ Years</v>
      </c>
      <c r="R373" t="str">
        <f>IF(Table7[[#This Row],[Age]]&lt;=25,"20-25",IF(Table7[[#This Row],[Age]]&lt;=30,"26-30",IF(Table7[[#This Row],[Age]]&lt;=35,"31-35","36+")))</f>
        <v>26-30</v>
      </c>
      <c r="S373" t="str">
        <f t="shared" si="21"/>
        <v>June</v>
      </c>
      <c r="T373" s="2" t="str">
        <f t="shared" si="22"/>
        <v>Q2</v>
      </c>
      <c r="U373" s="2">
        <f t="shared" si="23"/>
        <v>2025</v>
      </c>
    </row>
    <row r="374" spans="1:21" x14ac:dyDescent="0.3">
      <c r="A374" t="s">
        <v>2173</v>
      </c>
      <c r="B374" t="s">
        <v>5034</v>
      </c>
      <c r="C374" t="s">
        <v>5262</v>
      </c>
      <c r="D374" t="s">
        <v>4372</v>
      </c>
      <c r="E374">
        <v>36</v>
      </c>
      <c r="F374" t="s">
        <v>5263</v>
      </c>
      <c r="G374">
        <v>9954793474</v>
      </c>
      <c r="H374" t="s">
        <v>4491</v>
      </c>
      <c r="I374" t="s">
        <v>4491</v>
      </c>
      <c r="J374" t="s">
        <v>4432</v>
      </c>
      <c r="K374">
        <v>8.4</v>
      </c>
      <c r="L374">
        <v>13.9</v>
      </c>
      <c r="M374">
        <v>18.8</v>
      </c>
      <c r="N374" t="s">
        <v>4377</v>
      </c>
      <c r="O374" t="s">
        <v>4383</v>
      </c>
      <c r="P374" s="1">
        <v>45890</v>
      </c>
      <c r="Q374" t="str">
        <f t="shared" si="20"/>
        <v>10+ Years</v>
      </c>
      <c r="R374" t="str">
        <f>IF(Table7[[#This Row],[Age]]&lt;=25,"20-25",IF(Table7[[#This Row],[Age]]&lt;=30,"26-30",IF(Table7[[#This Row],[Age]]&lt;=35,"31-35","36+")))</f>
        <v>36+</v>
      </c>
      <c r="S374" t="str">
        <f t="shared" si="21"/>
        <v>August</v>
      </c>
      <c r="T374" s="2" t="str">
        <f t="shared" si="22"/>
        <v>Q3</v>
      </c>
      <c r="U374" s="2">
        <f t="shared" si="23"/>
        <v>2025</v>
      </c>
    </row>
    <row r="375" spans="1:21" x14ac:dyDescent="0.3">
      <c r="A375" t="s">
        <v>3992</v>
      </c>
      <c r="B375" t="s">
        <v>4335</v>
      </c>
      <c r="C375" t="s">
        <v>5264</v>
      </c>
      <c r="D375" t="s">
        <v>4372</v>
      </c>
      <c r="E375">
        <v>30</v>
      </c>
      <c r="F375" t="s">
        <v>5265</v>
      </c>
      <c r="G375">
        <v>9577687183</v>
      </c>
      <c r="H375" t="s">
        <v>4365</v>
      </c>
      <c r="I375" t="s">
        <v>4366</v>
      </c>
      <c r="J375" t="s">
        <v>4446</v>
      </c>
      <c r="K375">
        <v>3.8</v>
      </c>
      <c r="L375">
        <v>5.9</v>
      </c>
      <c r="M375">
        <v>6.7</v>
      </c>
      <c r="N375" t="s">
        <v>4390</v>
      </c>
      <c r="O375" t="s">
        <v>4383</v>
      </c>
      <c r="P375" s="1">
        <v>45683</v>
      </c>
      <c r="Q375" t="str">
        <f t="shared" si="20"/>
        <v>10+ Years</v>
      </c>
      <c r="R375" t="str">
        <f>IF(Table7[[#This Row],[Age]]&lt;=25,"20-25",IF(Table7[[#This Row],[Age]]&lt;=30,"26-30",IF(Table7[[#This Row],[Age]]&lt;=35,"31-35","36+")))</f>
        <v>26-30</v>
      </c>
      <c r="S375" t="str">
        <f t="shared" si="21"/>
        <v>January</v>
      </c>
      <c r="T375" s="2" t="str">
        <f t="shared" si="22"/>
        <v>Q1</v>
      </c>
      <c r="U375" s="2">
        <f t="shared" si="23"/>
        <v>2025</v>
      </c>
    </row>
    <row r="376" spans="1:21" x14ac:dyDescent="0.3">
      <c r="A376" t="s">
        <v>521</v>
      </c>
      <c r="B376" t="s">
        <v>5266</v>
      </c>
      <c r="C376" t="s">
        <v>4434</v>
      </c>
      <c r="D376" t="s">
        <v>4372</v>
      </c>
      <c r="E376">
        <v>28</v>
      </c>
      <c r="F376" t="s">
        <v>5267</v>
      </c>
      <c r="G376">
        <v>9974343817</v>
      </c>
      <c r="H376" t="s">
        <v>4521</v>
      </c>
      <c r="I376" t="s">
        <v>4522</v>
      </c>
      <c r="J376" t="s">
        <v>4415</v>
      </c>
      <c r="K376">
        <v>0</v>
      </c>
      <c r="L376">
        <v>7.4</v>
      </c>
      <c r="M376">
        <v>8.3000000000000007</v>
      </c>
      <c r="N376" t="s">
        <v>4390</v>
      </c>
      <c r="O376" t="s">
        <v>4400</v>
      </c>
      <c r="P376" s="1">
        <v>45742</v>
      </c>
      <c r="Q376" t="str">
        <f t="shared" si="20"/>
        <v>10+ Years</v>
      </c>
      <c r="R376" t="str">
        <f>IF(Table7[[#This Row],[Age]]&lt;=25,"20-25",IF(Table7[[#This Row],[Age]]&lt;=30,"26-30",IF(Table7[[#This Row],[Age]]&lt;=35,"31-35","36+")))</f>
        <v>26-30</v>
      </c>
      <c r="S376" t="str">
        <f t="shared" si="21"/>
        <v>March</v>
      </c>
      <c r="T376" s="2" t="str">
        <f t="shared" si="22"/>
        <v>Q1</v>
      </c>
      <c r="U376" s="2">
        <f t="shared" si="23"/>
        <v>2025</v>
      </c>
    </row>
    <row r="377" spans="1:21" x14ac:dyDescent="0.3">
      <c r="A377" t="s">
        <v>3033</v>
      </c>
      <c r="B377" t="s">
        <v>5268</v>
      </c>
      <c r="C377" t="s">
        <v>5098</v>
      </c>
      <c r="D377" t="s">
        <v>4372</v>
      </c>
      <c r="E377">
        <v>25</v>
      </c>
      <c r="F377" t="s">
        <v>5269</v>
      </c>
      <c r="G377">
        <v>9873558396</v>
      </c>
      <c r="H377" t="s">
        <v>4395</v>
      </c>
      <c r="I377" t="s">
        <v>4396</v>
      </c>
      <c r="J377" t="s">
        <v>4389</v>
      </c>
      <c r="K377">
        <v>0.9</v>
      </c>
      <c r="L377">
        <v>12.9</v>
      </c>
      <c r="M377">
        <v>17.899999999999999</v>
      </c>
      <c r="N377" t="s">
        <v>4390</v>
      </c>
      <c r="O377" t="s">
        <v>4369</v>
      </c>
      <c r="P377" s="1">
        <v>45763</v>
      </c>
      <c r="Q377" t="str">
        <f t="shared" si="20"/>
        <v>10+ Years</v>
      </c>
      <c r="R377" t="str">
        <f>IF(Table7[[#This Row],[Age]]&lt;=25,"20-25",IF(Table7[[#This Row],[Age]]&lt;=30,"26-30",IF(Table7[[#This Row],[Age]]&lt;=35,"31-35","36+")))</f>
        <v>20-25</v>
      </c>
      <c r="S377" t="str">
        <f t="shared" si="21"/>
        <v>April</v>
      </c>
      <c r="T377" s="2" t="str">
        <f t="shared" si="22"/>
        <v>Q2</v>
      </c>
      <c r="U377" s="2">
        <f t="shared" si="23"/>
        <v>2025</v>
      </c>
    </row>
    <row r="378" spans="1:21" x14ac:dyDescent="0.3">
      <c r="A378" t="s">
        <v>3102</v>
      </c>
      <c r="B378" t="s">
        <v>4586</v>
      </c>
      <c r="C378" t="s">
        <v>5270</v>
      </c>
      <c r="D378" t="s">
        <v>4372</v>
      </c>
      <c r="E378">
        <v>26</v>
      </c>
      <c r="F378" t="s">
        <v>5271</v>
      </c>
      <c r="G378">
        <v>9202258031</v>
      </c>
      <c r="H378" t="s">
        <v>4365</v>
      </c>
      <c r="I378" t="s">
        <v>4366</v>
      </c>
      <c r="J378" t="s">
        <v>4389</v>
      </c>
      <c r="K378">
        <v>8.1</v>
      </c>
      <c r="M378">
        <v>29.7</v>
      </c>
      <c r="N378" t="s">
        <v>4390</v>
      </c>
      <c r="O378" t="s">
        <v>4456</v>
      </c>
      <c r="P378" s="1">
        <v>45789</v>
      </c>
      <c r="Q378" t="str">
        <f t="shared" si="20"/>
        <v>10+ Years</v>
      </c>
      <c r="R378" t="str">
        <f>IF(Table7[[#This Row],[Age]]&lt;=25,"20-25",IF(Table7[[#This Row],[Age]]&lt;=30,"26-30",IF(Table7[[#This Row],[Age]]&lt;=35,"31-35","36+")))</f>
        <v>26-30</v>
      </c>
      <c r="S378" t="str">
        <f t="shared" si="21"/>
        <v>May</v>
      </c>
      <c r="T378" s="2" t="str">
        <f t="shared" si="22"/>
        <v>Q2</v>
      </c>
      <c r="U378" s="2">
        <f t="shared" si="23"/>
        <v>2025</v>
      </c>
    </row>
    <row r="379" spans="1:21" x14ac:dyDescent="0.3">
      <c r="A379" t="s">
        <v>2946</v>
      </c>
      <c r="B379" t="s">
        <v>4457</v>
      </c>
      <c r="C379" t="s">
        <v>4652</v>
      </c>
      <c r="D379" t="s">
        <v>4363</v>
      </c>
      <c r="E379">
        <v>25</v>
      </c>
      <c r="F379" t="s">
        <v>5272</v>
      </c>
      <c r="G379">
        <v>9836493243</v>
      </c>
      <c r="H379" t="s">
        <v>4381</v>
      </c>
      <c r="I379" t="s">
        <v>4382</v>
      </c>
      <c r="J379" t="s">
        <v>4367</v>
      </c>
      <c r="K379">
        <v>4.7</v>
      </c>
      <c r="L379">
        <v>11.2</v>
      </c>
      <c r="M379">
        <v>12.8</v>
      </c>
      <c r="N379" t="s">
        <v>4390</v>
      </c>
      <c r="O379" t="s">
        <v>4369</v>
      </c>
      <c r="P379" s="1">
        <v>45886</v>
      </c>
      <c r="Q379" t="str">
        <f t="shared" si="20"/>
        <v>10+ Years</v>
      </c>
      <c r="R379" t="str">
        <f>IF(Table7[[#This Row],[Age]]&lt;=25,"20-25",IF(Table7[[#This Row],[Age]]&lt;=30,"26-30",IF(Table7[[#This Row],[Age]]&lt;=35,"31-35","36+")))</f>
        <v>20-25</v>
      </c>
      <c r="S379" t="str">
        <f t="shared" si="21"/>
        <v>August</v>
      </c>
      <c r="T379" s="2" t="str">
        <f t="shared" si="22"/>
        <v>Q3</v>
      </c>
      <c r="U379" s="2">
        <f t="shared" si="23"/>
        <v>2025</v>
      </c>
    </row>
    <row r="380" spans="1:21" x14ac:dyDescent="0.3">
      <c r="A380" t="s">
        <v>1491</v>
      </c>
      <c r="B380" t="s">
        <v>5273</v>
      </c>
      <c r="C380" t="s">
        <v>5274</v>
      </c>
      <c r="D380" t="s">
        <v>4372</v>
      </c>
      <c r="E380">
        <v>24</v>
      </c>
      <c r="F380" t="s">
        <v>5275</v>
      </c>
      <c r="G380">
        <v>9724977986</v>
      </c>
      <c r="H380" t="s">
        <v>4473</v>
      </c>
      <c r="I380" t="s">
        <v>4473</v>
      </c>
      <c r="J380" t="s">
        <v>4432</v>
      </c>
      <c r="K380">
        <v>0.3</v>
      </c>
      <c r="L380">
        <v>4.4000000000000004</v>
      </c>
      <c r="M380">
        <v>5.7</v>
      </c>
      <c r="N380" t="s">
        <v>4368</v>
      </c>
      <c r="O380" t="s">
        <v>4485</v>
      </c>
      <c r="P380" s="1">
        <v>45824</v>
      </c>
      <c r="Q380" t="str">
        <f t="shared" si="20"/>
        <v>10+ Years</v>
      </c>
      <c r="R380" t="str">
        <f>IF(Table7[[#This Row],[Age]]&lt;=25,"20-25",IF(Table7[[#This Row],[Age]]&lt;=30,"26-30",IF(Table7[[#This Row],[Age]]&lt;=35,"31-35","36+")))</f>
        <v>20-25</v>
      </c>
      <c r="S380" t="str">
        <f t="shared" si="21"/>
        <v>June</v>
      </c>
      <c r="T380" s="2" t="str">
        <f t="shared" si="22"/>
        <v>Q2</v>
      </c>
      <c r="U380" s="2">
        <f t="shared" si="23"/>
        <v>2025</v>
      </c>
    </row>
    <row r="381" spans="1:21" x14ac:dyDescent="0.3">
      <c r="A381" t="s">
        <v>5276</v>
      </c>
      <c r="B381" t="s">
        <v>5135</v>
      </c>
      <c r="C381" t="s">
        <v>4729</v>
      </c>
      <c r="D381" t="s">
        <v>4363</v>
      </c>
      <c r="E381">
        <v>35</v>
      </c>
      <c r="F381" t="s">
        <v>5277</v>
      </c>
      <c r="G381">
        <v>9263099035</v>
      </c>
      <c r="H381" t="s">
        <v>4473</v>
      </c>
      <c r="I381" t="s">
        <v>4473</v>
      </c>
      <c r="J381" t="s">
        <v>4389</v>
      </c>
      <c r="K381">
        <v>8.1</v>
      </c>
      <c r="L381">
        <v>14.7</v>
      </c>
      <c r="M381">
        <v>17.600000000000001</v>
      </c>
      <c r="N381" t="s">
        <v>4494</v>
      </c>
      <c r="O381" t="s">
        <v>4391</v>
      </c>
      <c r="P381" s="1">
        <v>45737</v>
      </c>
      <c r="Q381" t="str">
        <f t="shared" si="20"/>
        <v>10+ Years</v>
      </c>
      <c r="R381" t="str">
        <f>IF(Table7[[#This Row],[Age]]&lt;=25,"20-25",IF(Table7[[#This Row],[Age]]&lt;=30,"26-30",IF(Table7[[#This Row],[Age]]&lt;=35,"31-35","36+")))</f>
        <v>31-35</v>
      </c>
      <c r="S381" t="str">
        <f t="shared" si="21"/>
        <v>March</v>
      </c>
      <c r="T381" s="2" t="str">
        <f t="shared" si="22"/>
        <v>Q1</v>
      </c>
      <c r="U381" s="2">
        <f t="shared" si="23"/>
        <v>2025</v>
      </c>
    </row>
    <row r="382" spans="1:21" x14ac:dyDescent="0.3">
      <c r="A382" t="s">
        <v>2316</v>
      </c>
      <c r="B382" t="s">
        <v>4430</v>
      </c>
      <c r="C382" t="s">
        <v>5278</v>
      </c>
      <c r="D382" t="s">
        <v>4363</v>
      </c>
      <c r="E382">
        <v>25</v>
      </c>
      <c r="F382" t="s">
        <v>5279</v>
      </c>
      <c r="G382">
        <v>9803117171</v>
      </c>
      <c r="H382" t="s">
        <v>4374</v>
      </c>
      <c r="I382" t="s">
        <v>4375</v>
      </c>
      <c r="J382" t="s">
        <v>4389</v>
      </c>
      <c r="K382">
        <v>15.7</v>
      </c>
      <c r="L382">
        <v>24.7</v>
      </c>
      <c r="M382">
        <v>29.3</v>
      </c>
      <c r="N382" t="s">
        <v>4406</v>
      </c>
      <c r="O382" t="s">
        <v>4369</v>
      </c>
      <c r="P382" s="1">
        <v>45828</v>
      </c>
      <c r="Q382" t="str">
        <f t="shared" si="20"/>
        <v>10+ Years</v>
      </c>
      <c r="R382" t="str">
        <f>IF(Table7[[#This Row],[Age]]&lt;=25,"20-25",IF(Table7[[#This Row],[Age]]&lt;=30,"26-30",IF(Table7[[#This Row],[Age]]&lt;=35,"31-35","36+")))</f>
        <v>20-25</v>
      </c>
      <c r="S382" t="str">
        <f t="shared" si="21"/>
        <v>June</v>
      </c>
      <c r="T382" s="2" t="str">
        <f t="shared" si="22"/>
        <v>Q2</v>
      </c>
      <c r="U382" s="2">
        <f t="shared" si="23"/>
        <v>2025</v>
      </c>
    </row>
    <row r="383" spans="1:21" x14ac:dyDescent="0.3">
      <c r="A383" t="s">
        <v>1678</v>
      </c>
      <c r="B383" t="s">
        <v>4837</v>
      </c>
      <c r="C383" t="s">
        <v>5154</v>
      </c>
      <c r="D383" t="s">
        <v>4363</v>
      </c>
      <c r="E383">
        <v>43</v>
      </c>
      <c r="F383" t="s">
        <v>5280</v>
      </c>
      <c r="G383">
        <v>9141674521</v>
      </c>
      <c r="H383" t="s">
        <v>4506</v>
      </c>
      <c r="I383" t="s">
        <v>4507</v>
      </c>
      <c r="J383" t="s">
        <v>4482</v>
      </c>
      <c r="K383">
        <v>0.3</v>
      </c>
      <c r="L383">
        <v>7.6</v>
      </c>
      <c r="M383">
        <v>10.199999999999999</v>
      </c>
      <c r="N383" t="s">
        <v>4368</v>
      </c>
      <c r="O383" t="s">
        <v>4456</v>
      </c>
      <c r="P383" s="1">
        <v>45926</v>
      </c>
      <c r="Q383" t="str">
        <f t="shared" si="20"/>
        <v>10+ Years</v>
      </c>
      <c r="R383" t="str">
        <f>IF(Table7[[#This Row],[Age]]&lt;=25,"20-25",IF(Table7[[#This Row],[Age]]&lt;=30,"26-30",IF(Table7[[#This Row],[Age]]&lt;=35,"31-35","36+")))</f>
        <v>36+</v>
      </c>
      <c r="S383" t="str">
        <f t="shared" si="21"/>
        <v>September</v>
      </c>
      <c r="T383" s="2" t="str">
        <f t="shared" si="22"/>
        <v>Q3</v>
      </c>
      <c r="U383" s="2">
        <f t="shared" si="23"/>
        <v>2025</v>
      </c>
    </row>
    <row r="384" spans="1:21" x14ac:dyDescent="0.3">
      <c r="A384" t="s">
        <v>687</v>
      </c>
      <c r="B384" t="s">
        <v>5281</v>
      </c>
      <c r="C384" t="s">
        <v>5282</v>
      </c>
      <c r="D384" t="s">
        <v>4372</v>
      </c>
      <c r="E384">
        <v>38</v>
      </c>
      <c r="F384" t="s">
        <v>5283</v>
      </c>
      <c r="G384">
        <v>9626043174</v>
      </c>
      <c r="H384" t="s">
        <v>4476</v>
      </c>
      <c r="I384" t="s">
        <v>4477</v>
      </c>
      <c r="J384" t="s">
        <v>4367</v>
      </c>
      <c r="K384">
        <v>11.2</v>
      </c>
      <c r="L384">
        <v>18</v>
      </c>
      <c r="M384">
        <v>24.8</v>
      </c>
      <c r="N384" t="s">
        <v>4377</v>
      </c>
      <c r="O384" t="s">
        <v>4485</v>
      </c>
      <c r="P384" s="1">
        <v>45760</v>
      </c>
      <c r="Q384" t="str">
        <f t="shared" si="20"/>
        <v>10+ Years</v>
      </c>
      <c r="R384" t="str">
        <f>IF(Table7[[#This Row],[Age]]&lt;=25,"20-25",IF(Table7[[#This Row],[Age]]&lt;=30,"26-30",IF(Table7[[#This Row],[Age]]&lt;=35,"31-35","36+")))</f>
        <v>36+</v>
      </c>
      <c r="S384" t="str">
        <f t="shared" si="21"/>
        <v>April</v>
      </c>
      <c r="T384" s="2" t="str">
        <f t="shared" si="22"/>
        <v>Q2</v>
      </c>
      <c r="U384" s="2">
        <f t="shared" si="23"/>
        <v>2025</v>
      </c>
    </row>
    <row r="385" spans="1:21" x14ac:dyDescent="0.3">
      <c r="A385" t="s">
        <v>5284</v>
      </c>
      <c r="B385" t="s">
        <v>4335</v>
      </c>
      <c r="C385" t="s">
        <v>5285</v>
      </c>
      <c r="D385" t="s">
        <v>4372</v>
      </c>
      <c r="E385">
        <v>23</v>
      </c>
      <c r="F385" t="s">
        <v>5286</v>
      </c>
      <c r="G385">
        <v>9741858166</v>
      </c>
      <c r="H385" t="s">
        <v>4521</v>
      </c>
      <c r="I385" t="s">
        <v>4522</v>
      </c>
      <c r="K385">
        <v>2</v>
      </c>
      <c r="L385">
        <v>6.3</v>
      </c>
      <c r="M385">
        <v>7.2</v>
      </c>
      <c r="N385" t="s">
        <v>4406</v>
      </c>
      <c r="O385" t="s">
        <v>4369</v>
      </c>
      <c r="P385" s="1">
        <v>45774</v>
      </c>
      <c r="Q385" t="str">
        <f t="shared" si="20"/>
        <v>10+ Years</v>
      </c>
      <c r="R385" t="str">
        <f>IF(Table7[[#This Row],[Age]]&lt;=25,"20-25",IF(Table7[[#This Row],[Age]]&lt;=30,"26-30",IF(Table7[[#This Row],[Age]]&lt;=35,"31-35","36+")))</f>
        <v>20-25</v>
      </c>
      <c r="S385" t="str">
        <f t="shared" si="21"/>
        <v>April</v>
      </c>
      <c r="T385" s="2" t="str">
        <f t="shared" si="22"/>
        <v>Q2</v>
      </c>
      <c r="U385" s="2">
        <f t="shared" si="23"/>
        <v>2025</v>
      </c>
    </row>
    <row r="386" spans="1:21" x14ac:dyDescent="0.3">
      <c r="A386" t="s">
        <v>3209</v>
      </c>
      <c r="B386" t="s">
        <v>5287</v>
      </c>
      <c r="C386" t="s">
        <v>4729</v>
      </c>
      <c r="D386" t="s">
        <v>4363</v>
      </c>
      <c r="E386">
        <v>28</v>
      </c>
      <c r="F386" t="s">
        <v>5288</v>
      </c>
      <c r="G386">
        <v>9134793432</v>
      </c>
      <c r="H386" t="s">
        <v>4521</v>
      </c>
      <c r="I386" t="s">
        <v>4522</v>
      </c>
      <c r="J386" t="s">
        <v>4376</v>
      </c>
      <c r="K386">
        <v>4.4000000000000004</v>
      </c>
      <c r="L386">
        <v>15.8</v>
      </c>
      <c r="M386">
        <v>22.7</v>
      </c>
      <c r="N386" t="s">
        <v>4368</v>
      </c>
      <c r="O386" t="s">
        <v>4485</v>
      </c>
      <c r="P386" s="1">
        <v>45994</v>
      </c>
      <c r="Q386" t="str">
        <f t="shared" ref="Q386:Q449" si="24">IF(P386&lt;=2,"0-2 Years",IF(P386&lt;=5,"3-5 Years",IF(P386&lt;=10,"6-10 Years","10+ Years")))</f>
        <v>10+ Years</v>
      </c>
      <c r="R386" t="str">
        <f>IF(Table7[[#This Row],[Age]]&lt;=25,"20-25",IF(Table7[[#This Row],[Age]]&lt;=30,"26-30",IF(Table7[[#This Row],[Age]]&lt;=35,"31-35","36+")))</f>
        <v>26-30</v>
      </c>
      <c r="S386" t="str">
        <f t="shared" ref="S386:S449" si="25">TEXT(P386,"mmmm")</f>
        <v>December</v>
      </c>
      <c r="T386" s="2" t="str">
        <f t="shared" ref="T386:T449" si="26">"Q"&amp;ROUNDUP(MONTH(P386)/3,0)</f>
        <v>Q4</v>
      </c>
      <c r="U386" s="2">
        <f t="shared" ref="U386:U449" si="27">YEAR(P386)</f>
        <v>2025</v>
      </c>
    </row>
    <row r="387" spans="1:21" x14ac:dyDescent="0.3">
      <c r="A387" t="s">
        <v>243</v>
      </c>
      <c r="B387" t="s">
        <v>5289</v>
      </c>
      <c r="C387" t="s">
        <v>5290</v>
      </c>
      <c r="D387" t="s">
        <v>4372</v>
      </c>
      <c r="E387">
        <v>36</v>
      </c>
      <c r="F387" t="s">
        <v>5291</v>
      </c>
      <c r="G387">
        <v>9457701216</v>
      </c>
      <c r="H387" t="s">
        <v>4476</v>
      </c>
      <c r="I387" t="s">
        <v>4477</v>
      </c>
      <c r="J387" t="s">
        <v>4415</v>
      </c>
      <c r="K387">
        <v>0.3</v>
      </c>
      <c r="L387">
        <v>3.8</v>
      </c>
      <c r="M387">
        <v>4.5999999999999996</v>
      </c>
      <c r="N387" t="s">
        <v>4390</v>
      </c>
      <c r="O387" t="s">
        <v>4369</v>
      </c>
      <c r="P387" s="1">
        <v>45810</v>
      </c>
      <c r="Q387" t="str">
        <f t="shared" si="24"/>
        <v>10+ Years</v>
      </c>
      <c r="R387" t="str">
        <f>IF(Table7[[#This Row],[Age]]&lt;=25,"20-25",IF(Table7[[#This Row],[Age]]&lt;=30,"26-30",IF(Table7[[#This Row],[Age]]&lt;=35,"31-35","36+")))</f>
        <v>36+</v>
      </c>
      <c r="S387" t="str">
        <f t="shared" si="25"/>
        <v>June</v>
      </c>
      <c r="T387" s="2" t="str">
        <f t="shared" si="26"/>
        <v>Q2</v>
      </c>
      <c r="U387" s="2">
        <f t="shared" si="27"/>
        <v>2025</v>
      </c>
    </row>
    <row r="388" spans="1:21" x14ac:dyDescent="0.3">
      <c r="A388" t="s">
        <v>3019</v>
      </c>
      <c r="B388" t="s">
        <v>5292</v>
      </c>
      <c r="C388" t="s">
        <v>5293</v>
      </c>
      <c r="D388" t="s">
        <v>4363</v>
      </c>
      <c r="E388">
        <v>23</v>
      </c>
      <c r="F388" t="s">
        <v>5294</v>
      </c>
      <c r="G388">
        <v>9700409680</v>
      </c>
      <c r="H388" t="s">
        <v>4491</v>
      </c>
      <c r="I388" t="s">
        <v>4491</v>
      </c>
      <c r="J388" t="s">
        <v>4367</v>
      </c>
      <c r="K388">
        <v>0.3</v>
      </c>
      <c r="L388">
        <v>3.3</v>
      </c>
      <c r="M388">
        <v>4.3</v>
      </c>
      <c r="N388" t="s">
        <v>4377</v>
      </c>
      <c r="O388" t="s">
        <v>4383</v>
      </c>
      <c r="P388" s="1">
        <v>45894</v>
      </c>
      <c r="Q388" t="str">
        <f t="shared" si="24"/>
        <v>10+ Years</v>
      </c>
      <c r="R388" t="str">
        <f>IF(Table7[[#This Row],[Age]]&lt;=25,"20-25",IF(Table7[[#This Row],[Age]]&lt;=30,"26-30",IF(Table7[[#This Row],[Age]]&lt;=35,"31-35","36+")))</f>
        <v>20-25</v>
      </c>
      <c r="S388" t="str">
        <f t="shared" si="25"/>
        <v>August</v>
      </c>
      <c r="T388" s="2" t="str">
        <f t="shared" si="26"/>
        <v>Q3</v>
      </c>
      <c r="U388" s="2">
        <f t="shared" si="27"/>
        <v>2025</v>
      </c>
    </row>
    <row r="389" spans="1:21" x14ac:dyDescent="0.3">
      <c r="A389" t="s">
        <v>2549</v>
      </c>
      <c r="B389" t="s">
        <v>5295</v>
      </c>
      <c r="C389" t="s">
        <v>5296</v>
      </c>
      <c r="D389" t="s">
        <v>4372</v>
      </c>
      <c r="E389">
        <v>33</v>
      </c>
      <c r="F389" t="s">
        <v>5297</v>
      </c>
      <c r="G389">
        <v>9651221211</v>
      </c>
      <c r="H389" t="s">
        <v>4521</v>
      </c>
      <c r="I389" t="s">
        <v>4522</v>
      </c>
      <c r="J389" t="s">
        <v>4367</v>
      </c>
      <c r="K389">
        <v>2.7</v>
      </c>
      <c r="L389">
        <v>6.6</v>
      </c>
      <c r="M389">
        <v>8.8000000000000007</v>
      </c>
      <c r="O389" t="s">
        <v>4383</v>
      </c>
      <c r="P389" s="1">
        <v>45838</v>
      </c>
      <c r="Q389" t="str">
        <f t="shared" si="24"/>
        <v>10+ Years</v>
      </c>
      <c r="R389" t="str">
        <f>IF(Table7[[#This Row],[Age]]&lt;=25,"20-25",IF(Table7[[#This Row],[Age]]&lt;=30,"26-30",IF(Table7[[#This Row],[Age]]&lt;=35,"31-35","36+")))</f>
        <v>31-35</v>
      </c>
      <c r="S389" t="str">
        <f t="shared" si="25"/>
        <v>June</v>
      </c>
      <c r="T389" s="2" t="str">
        <f t="shared" si="26"/>
        <v>Q2</v>
      </c>
      <c r="U389" s="2">
        <f t="shared" si="27"/>
        <v>2025</v>
      </c>
    </row>
    <row r="390" spans="1:21" x14ac:dyDescent="0.3">
      <c r="A390" t="s">
        <v>1403</v>
      </c>
      <c r="B390" t="s">
        <v>5298</v>
      </c>
      <c r="C390" t="s">
        <v>5057</v>
      </c>
      <c r="D390" t="s">
        <v>4372</v>
      </c>
      <c r="E390">
        <v>32</v>
      </c>
      <c r="F390" t="s">
        <v>5299</v>
      </c>
      <c r="G390">
        <v>9812046168</v>
      </c>
      <c r="H390" t="s">
        <v>4404</v>
      </c>
      <c r="I390" t="s">
        <v>4405</v>
      </c>
      <c r="J390" t="s">
        <v>4367</v>
      </c>
      <c r="K390">
        <v>7.6</v>
      </c>
      <c r="L390">
        <v>9.4</v>
      </c>
      <c r="M390">
        <v>11.1</v>
      </c>
      <c r="N390" t="s">
        <v>4494</v>
      </c>
      <c r="O390" t="s">
        <v>4391</v>
      </c>
      <c r="P390" s="1">
        <v>45988</v>
      </c>
      <c r="Q390" t="str">
        <f t="shared" si="24"/>
        <v>10+ Years</v>
      </c>
      <c r="R390" t="str">
        <f>IF(Table7[[#This Row],[Age]]&lt;=25,"20-25",IF(Table7[[#This Row],[Age]]&lt;=30,"26-30",IF(Table7[[#This Row],[Age]]&lt;=35,"31-35","36+")))</f>
        <v>31-35</v>
      </c>
      <c r="S390" t="str">
        <f t="shared" si="25"/>
        <v>November</v>
      </c>
      <c r="T390" s="2" t="str">
        <f t="shared" si="26"/>
        <v>Q4</v>
      </c>
      <c r="U390" s="2">
        <f t="shared" si="27"/>
        <v>2025</v>
      </c>
    </row>
    <row r="391" spans="1:21" x14ac:dyDescent="0.3">
      <c r="A391" t="s">
        <v>886</v>
      </c>
      <c r="B391" t="s">
        <v>4668</v>
      </c>
      <c r="C391" t="s">
        <v>5300</v>
      </c>
      <c r="D391" t="s">
        <v>4363</v>
      </c>
      <c r="E391">
        <v>31</v>
      </c>
      <c r="F391" t="s">
        <v>5301</v>
      </c>
      <c r="G391">
        <v>9425755566</v>
      </c>
      <c r="H391" t="s">
        <v>4395</v>
      </c>
      <c r="I391" t="s">
        <v>4396</v>
      </c>
      <c r="J391" t="s">
        <v>4432</v>
      </c>
      <c r="K391">
        <v>3.9</v>
      </c>
      <c r="L391">
        <v>12.8</v>
      </c>
      <c r="M391">
        <v>14.8</v>
      </c>
      <c r="N391" t="s">
        <v>4368</v>
      </c>
      <c r="O391" t="s">
        <v>4369</v>
      </c>
      <c r="P391" s="1">
        <v>45796</v>
      </c>
      <c r="Q391" t="str">
        <f t="shared" si="24"/>
        <v>10+ Years</v>
      </c>
      <c r="R391" t="str">
        <f>IF(Table7[[#This Row],[Age]]&lt;=25,"20-25",IF(Table7[[#This Row],[Age]]&lt;=30,"26-30",IF(Table7[[#This Row],[Age]]&lt;=35,"31-35","36+")))</f>
        <v>31-35</v>
      </c>
      <c r="S391" t="str">
        <f t="shared" si="25"/>
        <v>May</v>
      </c>
      <c r="T391" s="2" t="str">
        <f t="shared" si="26"/>
        <v>Q2</v>
      </c>
      <c r="U391" s="2">
        <f t="shared" si="27"/>
        <v>2025</v>
      </c>
    </row>
    <row r="392" spans="1:21" x14ac:dyDescent="0.3">
      <c r="A392" t="s">
        <v>3323</v>
      </c>
      <c r="B392" t="s">
        <v>5302</v>
      </c>
      <c r="C392" t="s">
        <v>5303</v>
      </c>
      <c r="D392" t="s">
        <v>4372</v>
      </c>
      <c r="E392">
        <v>38</v>
      </c>
      <c r="F392" t="s">
        <v>5304</v>
      </c>
      <c r="G392">
        <v>9448183800</v>
      </c>
      <c r="H392" t="s">
        <v>4491</v>
      </c>
      <c r="I392" t="s">
        <v>4491</v>
      </c>
      <c r="J392" t="s">
        <v>4432</v>
      </c>
      <c r="K392">
        <v>9.1</v>
      </c>
      <c r="L392">
        <v>19.399999999999999</v>
      </c>
      <c r="M392">
        <v>25.4</v>
      </c>
      <c r="N392" t="s">
        <v>4406</v>
      </c>
      <c r="O392" t="s">
        <v>4369</v>
      </c>
      <c r="P392" s="1">
        <v>45759</v>
      </c>
      <c r="Q392" t="str">
        <f t="shared" si="24"/>
        <v>10+ Years</v>
      </c>
      <c r="R392" t="str">
        <f>IF(Table7[[#This Row],[Age]]&lt;=25,"20-25",IF(Table7[[#This Row],[Age]]&lt;=30,"26-30",IF(Table7[[#This Row],[Age]]&lt;=35,"31-35","36+")))</f>
        <v>36+</v>
      </c>
      <c r="S392" t="str">
        <f t="shared" si="25"/>
        <v>April</v>
      </c>
      <c r="T392" s="2" t="str">
        <f t="shared" si="26"/>
        <v>Q2</v>
      </c>
      <c r="U392" s="2">
        <f t="shared" si="27"/>
        <v>2025</v>
      </c>
    </row>
    <row r="393" spans="1:21" x14ac:dyDescent="0.3">
      <c r="A393" t="s">
        <v>1372</v>
      </c>
      <c r="B393" t="s">
        <v>4457</v>
      </c>
      <c r="C393" t="s">
        <v>5142</v>
      </c>
      <c r="D393" t="s">
        <v>4372</v>
      </c>
      <c r="E393">
        <v>29</v>
      </c>
      <c r="F393" t="s">
        <v>5305</v>
      </c>
      <c r="G393">
        <v>9318461678</v>
      </c>
      <c r="H393" t="s">
        <v>4395</v>
      </c>
      <c r="I393" t="s">
        <v>4396</v>
      </c>
      <c r="J393" t="s">
        <v>4450</v>
      </c>
      <c r="K393">
        <v>2.6</v>
      </c>
      <c r="L393">
        <v>11.2</v>
      </c>
      <c r="M393">
        <v>15.2</v>
      </c>
      <c r="N393" t="s">
        <v>4390</v>
      </c>
      <c r="O393" t="s">
        <v>4369</v>
      </c>
      <c r="P393" s="1">
        <v>45706</v>
      </c>
      <c r="Q393" t="str">
        <f t="shared" si="24"/>
        <v>10+ Years</v>
      </c>
      <c r="R393" t="str">
        <f>IF(Table7[[#This Row],[Age]]&lt;=25,"20-25",IF(Table7[[#This Row],[Age]]&lt;=30,"26-30",IF(Table7[[#This Row],[Age]]&lt;=35,"31-35","36+")))</f>
        <v>26-30</v>
      </c>
      <c r="S393" t="str">
        <f t="shared" si="25"/>
        <v>February</v>
      </c>
      <c r="T393" s="2" t="str">
        <f t="shared" si="26"/>
        <v>Q1</v>
      </c>
      <c r="U393" s="2">
        <f t="shared" si="27"/>
        <v>2025</v>
      </c>
    </row>
    <row r="394" spans="1:21" x14ac:dyDescent="0.3">
      <c r="A394" t="s">
        <v>1255</v>
      </c>
      <c r="B394" t="s">
        <v>4430</v>
      </c>
      <c r="C394" t="s">
        <v>5306</v>
      </c>
      <c r="D394" t="s">
        <v>4372</v>
      </c>
      <c r="E394">
        <v>33</v>
      </c>
      <c r="F394" t="s">
        <v>5307</v>
      </c>
      <c r="G394">
        <v>9624416641</v>
      </c>
      <c r="H394" t="s">
        <v>4473</v>
      </c>
      <c r="I394" t="s">
        <v>4473</v>
      </c>
      <c r="J394" t="s">
        <v>4389</v>
      </c>
      <c r="K394">
        <v>18.7</v>
      </c>
      <c r="L394">
        <v>25.7</v>
      </c>
      <c r="M394">
        <v>33.6</v>
      </c>
      <c r="N394" t="s">
        <v>4390</v>
      </c>
      <c r="O394" t="s">
        <v>4369</v>
      </c>
      <c r="P394" s="1">
        <v>45745</v>
      </c>
      <c r="Q394" t="str">
        <f t="shared" si="24"/>
        <v>10+ Years</v>
      </c>
      <c r="R394" t="str">
        <f>IF(Table7[[#This Row],[Age]]&lt;=25,"20-25",IF(Table7[[#This Row],[Age]]&lt;=30,"26-30",IF(Table7[[#This Row],[Age]]&lt;=35,"31-35","36+")))</f>
        <v>31-35</v>
      </c>
      <c r="S394" t="str">
        <f t="shared" si="25"/>
        <v>March</v>
      </c>
      <c r="T394" s="2" t="str">
        <f t="shared" si="26"/>
        <v>Q1</v>
      </c>
      <c r="U394" s="2">
        <f t="shared" si="27"/>
        <v>2025</v>
      </c>
    </row>
    <row r="395" spans="1:21" x14ac:dyDescent="0.3">
      <c r="A395" t="s">
        <v>2925</v>
      </c>
      <c r="B395" t="s">
        <v>5308</v>
      </c>
      <c r="C395" t="s">
        <v>5309</v>
      </c>
      <c r="D395" t="s">
        <v>4372</v>
      </c>
      <c r="E395">
        <v>24</v>
      </c>
      <c r="F395" t="s">
        <v>5310</v>
      </c>
      <c r="G395">
        <v>9133200146</v>
      </c>
      <c r="H395" t="s">
        <v>4381</v>
      </c>
      <c r="I395" t="s">
        <v>4382</v>
      </c>
      <c r="J395" t="s">
        <v>4482</v>
      </c>
      <c r="K395">
        <v>2.1</v>
      </c>
      <c r="L395">
        <v>11</v>
      </c>
      <c r="M395">
        <v>14.2</v>
      </c>
      <c r="N395" t="s">
        <v>4368</v>
      </c>
      <c r="O395" t="s">
        <v>4485</v>
      </c>
      <c r="P395" s="1">
        <v>45701</v>
      </c>
      <c r="Q395" t="str">
        <f t="shared" si="24"/>
        <v>10+ Years</v>
      </c>
      <c r="R395" t="str">
        <f>IF(Table7[[#This Row],[Age]]&lt;=25,"20-25",IF(Table7[[#This Row],[Age]]&lt;=30,"26-30",IF(Table7[[#This Row],[Age]]&lt;=35,"31-35","36+")))</f>
        <v>20-25</v>
      </c>
      <c r="S395" t="str">
        <f t="shared" si="25"/>
        <v>February</v>
      </c>
      <c r="T395" s="2" t="str">
        <f t="shared" si="26"/>
        <v>Q1</v>
      </c>
      <c r="U395" s="2">
        <f t="shared" si="27"/>
        <v>2025</v>
      </c>
    </row>
    <row r="396" spans="1:21" x14ac:dyDescent="0.3">
      <c r="A396" t="s">
        <v>2445</v>
      </c>
      <c r="B396" t="s">
        <v>5311</v>
      </c>
      <c r="C396" t="s">
        <v>5142</v>
      </c>
      <c r="D396" t="s">
        <v>4363</v>
      </c>
      <c r="E396">
        <v>26</v>
      </c>
      <c r="F396" t="s">
        <v>5312</v>
      </c>
      <c r="G396">
        <v>9351167423</v>
      </c>
      <c r="H396" t="s">
        <v>4365</v>
      </c>
      <c r="I396" t="s">
        <v>4366</v>
      </c>
      <c r="J396" t="s">
        <v>4376</v>
      </c>
      <c r="K396">
        <v>2.4</v>
      </c>
      <c r="L396">
        <v>8.8000000000000007</v>
      </c>
      <c r="M396">
        <v>12.1</v>
      </c>
      <c r="N396" t="s">
        <v>4390</v>
      </c>
      <c r="O396" t="s">
        <v>4369</v>
      </c>
      <c r="P396" s="1">
        <v>45783</v>
      </c>
      <c r="Q396" t="str">
        <f t="shared" si="24"/>
        <v>10+ Years</v>
      </c>
      <c r="R396" t="str">
        <f>IF(Table7[[#This Row],[Age]]&lt;=25,"20-25",IF(Table7[[#This Row],[Age]]&lt;=30,"26-30",IF(Table7[[#This Row],[Age]]&lt;=35,"31-35","36+")))</f>
        <v>26-30</v>
      </c>
      <c r="S396" t="str">
        <f t="shared" si="25"/>
        <v>May</v>
      </c>
      <c r="T396" s="2" t="str">
        <f t="shared" si="26"/>
        <v>Q2</v>
      </c>
      <c r="U396" s="2">
        <f t="shared" si="27"/>
        <v>2025</v>
      </c>
    </row>
    <row r="397" spans="1:21" x14ac:dyDescent="0.3">
      <c r="A397" t="s">
        <v>899</v>
      </c>
      <c r="B397" t="s">
        <v>5313</v>
      </c>
      <c r="C397" t="s">
        <v>5314</v>
      </c>
      <c r="D397" t="s">
        <v>4372</v>
      </c>
      <c r="E397">
        <v>32</v>
      </c>
      <c r="F397" t="s">
        <v>5315</v>
      </c>
      <c r="G397">
        <v>9205307596</v>
      </c>
      <c r="H397" t="s">
        <v>4410</v>
      </c>
      <c r="I397" t="s">
        <v>4411</v>
      </c>
      <c r="J397" t="s">
        <v>4367</v>
      </c>
      <c r="K397">
        <v>0.2</v>
      </c>
      <c r="L397">
        <v>7.7</v>
      </c>
      <c r="M397">
        <v>10.6</v>
      </c>
      <c r="N397" t="s">
        <v>4368</v>
      </c>
      <c r="O397" t="s">
        <v>4391</v>
      </c>
      <c r="P397" s="1">
        <v>45701</v>
      </c>
      <c r="Q397" t="str">
        <f t="shared" si="24"/>
        <v>10+ Years</v>
      </c>
      <c r="R397" t="str">
        <f>IF(Table7[[#This Row],[Age]]&lt;=25,"20-25",IF(Table7[[#This Row],[Age]]&lt;=30,"26-30",IF(Table7[[#This Row],[Age]]&lt;=35,"31-35","36+")))</f>
        <v>31-35</v>
      </c>
      <c r="S397" t="str">
        <f t="shared" si="25"/>
        <v>February</v>
      </c>
      <c r="T397" s="2" t="str">
        <f t="shared" si="26"/>
        <v>Q1</v>
      </c>
      <c r="U397" s="2">
        <f t="shared" si="27"/>
        <v>2025</v>
      </c>
    </row>
    <row r="398" spans="1:21" x14ac:dyDescent="0.3">
      <c r="A398" t="s">
        <v>3840</v>
      </c>
      <c r="B398" t="s">
        <v>4787</v>
      </c>
      <c r="C398" t="s">
        <v>4561</v>
      </c>
      <c r="D398" t="s">
        <v>4363</v>
      </c>
      <c r="E398">
        <v>27</v>
      </c>
      <c r="F398" t="s">
        <v>5316</v>
      </c>
      <c r="G398">
        <v>9735507987</v>
      </c>
      <c r="H398" t="s">
        <v>4387</v>
      </c>
      <c r="I398" t="s">
        <v>4388</v>
      </c>
      <c r="J398" t="s">
        <v>4367</v>
      </c>
      <c r="K398">
        <v>1.2</v>
      </c>
      <c r="L398">
        <v>6.1</v>
      </c>
      <c r="M398">
        <v>7.5</v>
      </c>
      <c r="N398" t="s">
        <v>4494</v>
      </c>
      <c r="O398" t="s">
        <v>4400</v>
      </c>
      <c r="P398" s="1">
        <v>45674</v>
      </c>
      <c r="Q398" t="str">
        <f t="shared" si="24"/>
        <v>10+ Years</v>
      </c>
      <c r="R398" t="str">
        <f>IF(Table7[[#This Row],[Age]]&lt;=25,"20-25",IF(Table7[[#This Row],[Age]]&lt;=30,"26-30",IF(Table7[[#This Row],[Age]]&lt;=35,"31-35","36+")))</f>
        <v>26-30</v>
      </c>
      <c r="S398" t="str">
        <f t="shared" si="25"/>
        <v>January</v>
      </c>
      <c r="T398" s="2" t="str">
        <f t="shared" si="26"/>
        <v>Q1</v>
      </c>
      <c r="U398" s="2">
        <f t="shared" si="27"/>
        <v>2025</v>
      </c>
    </row>
    <row r="399" spans="1:21" x14ac:dyDescent="0.3">
      <c r="A399" t="s">
        <v>1414</v>
      </c>
      <c r="B399" t="s">
        <v>4959</v>
      </c>
      <c r="C399" t="s">
        <v>5290</v>
      </c>
      <c r="D399" t="s">
        <v>4372</v>
      </c>
      <c r="E399">
        <v>35</v>
      </c>
      <c r="F399" t="s">
        <v>5317</v>
      </c>
      <c r="G399">
        <v>9258983405</v>
      </c>
      <c r="H399" t="s">
        <v>4404</v>
      </c>
      <c r="I399" t="s">
        <v>4405</v>
      </c>
      <c r="J399" t="s">
        <v>4415</v>
      </c>
      <c r="K399">
        <v>3.7</v>
      </c>
      <c r="L399">
        <v>8.1999999999999993</v>
      </c>
      <c r="M399">
        <v>9.6</v>
      </c>
      <c r="N399" t="s">
        <v>4377</v>
      </c>
      <c r="O399" t="s">
        <v>4400</v>
      </c>
      <c r="P399" s="1">
        <v>45762</v>
      </c>
      <c r="Q399" t="str">
        <f t="shared" si="24"/>
        <v>10+ Years</v>
      </c>
      <c r="R399" t="str">
        <f>IF(Table7[[#This Row],[Age]]&lt;=25,"20-25",IF(Table7[[#This Row],[Age]]&lt;=30,"26-30",IF(Table7[[#This Row],[Age]]&lt;=35,"31-35","36+")))</f>
        <v>31-35</v>
      </c>
      <c r="S399" t="str">
        <f t="shared" si="25"/>
        <v>April</v>
      </c>
      <c r="T399" s="2" t="str">
        <f t="shared" si="26"/>
        <v>Q2</v>
      </c>
      <c r="U399" s="2">
        <f t="shared" si="27"/>
        <v>2025</v>
      </c>
    </row>
    <row r="400" spans="1:21" x14ac:dyDescent="0.3">
      <c r="A400" t="s">
        <v>5318</v>
      </c>
      <c r="B400" t="s">
        <v>5285</v>
      </c>
      <c r="C400" t="s">
        <v>4616</v>
      </c>
      <c r="D400" t="s">
        <v>4372</v>
      </c>
      <c r="E400">
        <v>27</v>
      </c>
      <c r="F400" t="s">
        <v>5319</v>
      </c>
      <c r="G400">
        <v>9836625825</v>
      </c>
      <c r="H400" t="s">
        <v>4476</v>
      </c>
      <c r="I400" t="s">
        <v>4477</v>
      </c>
      <c r="J400" t="s">
        <v>4389</v>
      </c>
      <c r="K400">
        <v>0.5</v>
      </c>
      <c r="L400">
        <v>4.4000000000000004</v>
      </c>
      <c r="M400">
        <v>5</v>
      </c>
      <c r="N400" t="s">
        <v>4406</v>
      </c>
      <c r="O400" t="s">
        <v>4485</v>
      </c>
      <c r="P400" s="1">
        <v>45677</v>
      </c>
      <c r="Q400" t="str">
        <f t="shared" si="24"/>
        <v>10+ Years</v>
      </c>
      <c r="R400" t="str">
        <f>IF(Table7[[#This Row],[Age]]&lt;=25,"20-25",IF(Table7[[#This Row],[Age]]&lt;=30,"26-30",IF(Table7[[#This Row],[Age]]&lt;=35,"31-35","36+")))</f>
        <v>26-30</v>
      </c>
      <c r="S400" t="str">
        <f t="shared" si="25"/>
        <v>January</v>
      </c>
      <c r="T400" s="2" t="str">
        <f t="shared" si="26"/>
        <v>Q1</v>
      </c>
      <c r="U400" s="2">
        <f t="shared" si="27"/>
        <v>2025</v>
      </c>
    </row>
    <row r="401" spans="1:21" x14ac:dyDescent="0.3">
      <c r="A401" t="s">
        <v>2186</v>
      </c>
      <c r="B401" t="s">
        <v>4447</v>
      </c>
      <c r="C401" t="s">
        <v>5320</v>
      </c>
      <c r="D401" t="s">
        <v>4372</v>
      </c>
      <c r="E401">
        <v>39</v>
      </c>
      <c r="F401" t="s">
        <v>5321</v>
      </c>
      <c r="G401">
        <v>9174128975</v>
      </c>
      <c r="H401" t="s">
        <v>4473</v>
      </c>
      <c r="I401" t="s">
        <v>4473</v>
      </c>
      <c r="J401" t="s">
        <v>4376</v>
      </c>
      <c r="K401">
        <v>1.6</v>
      </c>
      <c r="L401">
        <v>8.1</v>
      </c>
      <c r="M401">
        <v>9.1999999999999993</v>
      </c>
      <c r="N401" t="s">
        <v>4377</v>
      </c>
      <c r="O401" t="s">
        <v>4369</v>
      </c>
      <c r="P401" s="1">
        <v>45845</v>
      </c>
      <c r="Q401" t="str">
        <f t="shared" si="24"/>
        <v>10+ Years</v>
      </c>
      <c r="R401" t="str">
        <f>IF(Table7[[#This Row],[Age]]&lt;=25,"20-25",IF(Table7[[#This Row],[Age]]&lt;=30,"26-30",IF(Table7[[#This Row],[Age]]&lt;=35,"31-35","36+")))</f>
        <v>36+</v>
      </c>
      <c r="S401" t="str">
        <f t="shared" si="25"/>
        <v>July</v>
      </c>
      <c r="T401" s="2" t="str">
        <f t="shared" si="26"/>
        <v>Q3</v>
      </c>
      <c r="U401" s="2">
        <f t="shared" si="27"/>
        <v>2025</v>
      </c>
    </row>
    <row r="402" spans="1:21" x14ac:dyDescent="0.3">
      <c r="A402" t="s">
        <v>523</v>
      </c>
      <c r="B402" t="s">
        <v>5322</v>
      </c>
      <c r="C402" t="s">
        <v>4814</v>
      </c>
      <c r="D402" t="s">
        <v>4363</v>
      </c>
      <c r="E402">
        <v>37</v>
      </c>
      <c r="F402" t="s">
        <v>5323</v>
      </c>
      <c r="G402">
        <v>9798947876</v>
      </c>
      <c r="H402" t="s">
        <v>4404</v>
      </c>
      <c r="I402" t="s">
        <v>4405</v>
      </c>
      <c r="J402" t="s">
        <v>4618</v>
      </c>
      <c r="K402">
        <v>2.2000000000000002</v>
      </c>
      <c r="L402">
        <v>7.7</v>
      </c>
      <c r="M402">
        <v>10.1</v>
      </c>
      <c r="N402" t="s">
        <v>4377</v>
      </c>
      <c r="O402" t="s">
        <v>4391</v>
      </c>
      <c r="P402" s="1">
        <v>45912</v>
      </c>
      <c r="Q402" t="str">
        <f t="shared" si="24"/>
        <v>10+ Years</v>
      </c>
      <c r="R402" t="str">
        <f>IF(Table7[[#This Row],[Age]]&lt;=25,"20-25",IF(Table7[[#This Row],[Age]]&lt;=30,"26-30",IF(Table7[[#This Row],[Age]]&lt;=35,"31-35","36+")))</f>
        <v>36+</v>
      </c>
      <c r="S402" t="str">
        <f t="shared" si="25"/>
        <v>September</v>
      </c>
      <c r="T402" s="2" t="str">
        <f t="shared" si="26"/>
        <v>Q3</v>
      </c>
      <c r="U402" s="2">
        <f t="shared" si="27"/>
        <v>2025</v>
      </c>
    </row>
    <row r="403" spans="1:21" x14ac:dyDescent="0.3">
      <c r="A403" t="s">
        <v>5324</v>
      </c>
      <c r="B403" t="s">
        <v>4964</v>
      </c>
      <c r="C403" t="s">
        <v>5325</v>
      </c>
      <c r="D403" t="s">
        <v>4372</v>
      </c>
      <c r="E403">
        <v>33</v>
      </c>
      <c r="F403" t="s">
        <v>5326</v>
      </c>
      <c r="G403">
        <v>9425307826</v>
      </c>
      <c r="H403" t="s">
        <v>4387</v>
      </c>
      <c r="I403" t="s">
        <v>4388</v>
      </c>
      <c r="J403" t="s">
        <v>4367</v>
      </c>
      <c r="K403">
        <v>3.9</v>
      </c>
      <c r="L403">
        <v>10.4</v>
      </c>
      <c r="M403">
        <v>13.2</v>
      </c>
      <c r="N403" t="s">
        <v>4377</v>
      </c>
      <c r="O403" t="s">
        <v>4456</v>
      </c>
      <c r="P403" s="1">
        <v>45742</v>
      </c>
      <c r="Q403" t="str">
        <f t="shared" si="24"/>
        <v>10+ Years</v>
      </c>
      <c r="R403" t="str">
        <f>IF(Table7[[#This Row],[Age]]&lt;=25,"20-25",IF(Table7[[#This Row],[Age]]&lt;=30,"26-30",IF(Table7[[#This Row],[Age]]&lt;=35,"31-35","36+")))</f>
        <v>31-35</v>
      </c>
      <c r="S403" t="str">
        <f t="shared" si="25"/>
        <v>March</v>
      </c>
      <c r="T403" s="2" t="str">
        <f t="shared" si="26"/>
        <v>Q1</v>
      </c>
      <c r="U403" s="2">
        <f t="shared" si="27"/>
        <v>2025</v>
      </c>
    </row>
    <row r="404" spans="1:21" x14ac:dyDescent="0.3">
      <c r="A404" t="s">
        <v>1648</v>
      </c>
      <c r="B404" t="s">
        <v>5302</v>
      </c>
      <c r="C404" t="s">
        <v>5327</v>
      </c>
      <c r="D404" t="s">
        <v>4372</v>
      </c>
      <c r="E404">
        <v>23</v>
      </c>
      <c r="F404" t="s">
        <v>5328</v>
      </c>
      <c r="G404">
        <v>9942275669</v>
      </c>
      <c r="H404" t="s">
        <v>4506</v>
      </c>
      <c r="I404" t="s">
        <v>4507</v>
      </c>
      <c r="J404" t="s">
        <v>4415</v>
      </c>
      <c r="K404">
        <v>1.7</v>
      </c>
      <c r="L404">
        <v>9.6999999999999993</v>
      </c>
      <c r="M404">
        <v>13.3</v>
      </c>
      <c r="N404" t="s">
        <v>4390</v>
      </c>
      <c r="O404" t="s">
        <v>4456</v>
      </c>
      <c r="P404" s="1">
        <v>45981</v>
      </c>
      <c r="Q404" t="str">
        <f t="shared" si="24"/>
        <v>10+ Years</v>
      </c>
      <c r="R404" t="str">
        <f>IF(Table7[[#This Row],[Age]]&lt;=25,"20-25",IF(Table7[[#This Row],[Age]]&lt;=30,"26-30",IF(Table7[[#This Row],[Age]]&lt;=35,"31-35","36+")))</f>
        <v>20-25</v>
      </c>
      <c r="S404" t="str">
        <f t="shared" si="25"/>
        <v>November</v>
      </c>
      <c r="T404" s="2" t="str">
        <f t="shared" si="26"/>
        <v>Q4</v>
      </c>
      <c r="U404" s="2">
        <f t="shared" si="27"/>
        <v>2025</v>
      </c>
    </row>
    <row r="405" spans="1:21" x14ac:dyDescent="0.3">
      <c r="A405" t="s">
        <v>5329</v>
      </c>
      <c r="B405" t="s">
        <v>4566</v>
      </c>
      <c r="C405" t="s">
        <v>5330</v>
      </c>
      <c r="D405" t="s">
        <v>4372</v>
      </c>
      <c r="E405">
        <v>28</v>
      </c>
      <c r="F405" t="s">
        <v>5331</v>
      </c>
      <c r="G405">
        <v>9906074328</v>
      </c>
      <c r="H405" t="s">
        <v>4506</v>
      </c>
      <c r="I405" t="s">
        <v>4507</v>
      </c>
      <c r="K405">
        <v>4.2</v>
      </c>
      <c r="L405">
        <v>7.4</v>
      </c>
      <c r="M405">
        <v>8.9</v>
      </c>
      <c r="N405" t="s">
        <v>4390</v>
      </c>
      <c r="O405" t="s">
        <v>4383</v>
      </c>
      <c r="P405" s="1">
        <v>45910</v>
      </c>
      <c r="Q405" t="str">
        <f t="shared" si="24"/>
        <v>10+ Years</v>
      </c>
      <c r="R405" t="str">
        <f>IF(Table7[[#This Row],[Age]]&lt;=25,"20-25",IF(Table7[[#This Row],[Age]]&lt;=30,"26-30",IF(Table7[[#This Row],[Age]]&lt;=35,"31-35","36+")))</f>
        <v>26-30</v>
      </c>
      <c r="S405" t="str">
        <f t="shared" si="25"/>
        <v>September</v>
      </c>
      <c r="T405" s="2" t="str">
        <f t="shared" si="26"/>
        <v>Q3</v>
      </c>
      <c r="U405" s="2">
        <f t="shared" si="27"/>
        <v>2025</v>
      </c>
    </row>
    <row r="406" spans="1:21" x14ac:dyDescent="0.3">
      <c r="A406" t="s">
        <v>2992</v>
      </c>
      <c r="B406" t="s">
        <v>5332</v>
      </c>
      <c r="C406" t="s">
        <v>4729</v>
      </c>
      <c r="D406" t="s">
        <v>4363</v>
      </c>
      <c r="E406">
        <v>27</v>
      </c>
      <c r="F406" t="s">
        <v>5333</v>
      </c>
      <c r="G406">
        <v>9862782694</v>
      </c>
      <c r="H406" t="s">
        <v>4410</v>
      </c>
      <c r="I406" t="s">
        <v>4411</v>
      </c>
      <c r="J406" t="s">
        <v>4482</v>
      </c>
      <c r="K406">
        <v>1.5</v>
      </c>
      <c r="L406">
        <v>9.4</v>
      </c>
      <c r="M406">
        <v>13</v>
      </c>
      <c r="N406" t="s">
        <v>4377</v>
      </c>
      <c r="O406" t="s">
        <v>4456</v>
      </c>
      <c r="P406" s="1">
        <v>45833</v>
      </c>
      <c r="Q406" t="str">
        <f t="shared" si="24"/>
        <v>10+ Years</v>
      </c>
      <c r="R406" t="str">
        <f>IF(Table7[[#This Row],[Age]]&lt;=25,"20-25",IF(Table7[[#This Row],[Age]]&lt;=30,"26-30",IF(Table7[[#This Row],[Age]]&lt;=35,"31-35","36+")))</f>
        <v>26-30</v>
      </c>
      <c r="S406" t="str">
        <f t="shared" si="25"/>
        <v>June</v>
      </c>
      <c r="T406" s="2" t="str">
        <f t="shared" si="26"/>
        <v>Q2</v>
      </c>
      <c r="U406" s="2">
        <f t="shared" si="27"/>
        <v>2025</v>
      </c>
    </row>
    <row r="407" spans="1:21" x14ac:dyDescent="0.3">
      <c r="A407" t="s">
        <v>1629</v>
      </c>
      <c r="B407" t="s">
        <v>4629</v>
      </c>
      <c r="C407" t="s">
        <v>4637</v>
      </c>
      <c r="D407" t="s">
        <v>4363</v>
      </c>
      <c r="E407">
        <v>26</v>
      </c>
      <c r="F407" t="s">
        <v>5334</v>
      </c>
      <c r="G407">
        <v>9193521281</v>
      </c>
      <c r="H407" t="s">
        <v>4365</v>
      </c>
      <c r="I407" t="s">
        <v>4366</v>
      </c>
      <c r="J407" t="s">
        <v>4376</v>
      </c>
      <c r="K407">
        <v>10.8</v>
      </c>
      <c r="L407">
        <v>21.3</v>
      </c>
      <c r="M407">
        <v>29.7</v>
      </c>
      <c r="N407" t="s">
        <v>4368</v>
      </c>
      <c r="O407" t="s">
        <v>4383</v>
      </c>
      <c r="P407" s="1">
        <v>45876</v>
      </c>
      <c r="Q407" t="str">
        <f t="shared" si="24"/>
        <v>10+ Years</v>
      </c>
      <c r="R407" t="str">
        <f>IF(Table7[[#This Row],[Age]]&lt;=25,"20-25",IF(Table7[[#This Row],[Age]]&lt;=30,"26-30",IF(Table7[[#This Row],[Age]]&lt;=35,"31-35","36+")))</f>
        <v>26-30</v>
      </c>
      <c r="S407" t="str">
        <f t="shared" si="25"/>
        <v>August</v>
      </c>
      <c r="T407" s="2" t="str">
        <f t="shared" si="26"/>
        <v>Q3</v>
      </c>
      <c r="U407" s="2">
        <f t="shared" si="27"/>
        <v>2025</v>
      </c>
    </row>
    <row r="408" spans="1:21" x14ac:dyDescent="0.3">
      <c r="A408" t="s">
        <v>1724</v>
      </c>
      <c r="B408" t="s">
        <v>4465</v>
      </c>
      <c r="C408" t="s">
        <v>4940</v>
      </c>
      <c r="D408" t="s">
        <v>4363</v>
      </c>
      <c r="E408">
        <v>32</v>
      </c>
      <c r="F408" t="s">
        <v>5335</v>
      </c>
      <c r="G408">
        <v>9422627420</v>
      </c>
      <c r="H408" t="s">
        <v>4491</v>
      </c>
      <c r="I408" t="s">
        <v>4491</v>
      </c>
      <c r="K408">
        <v>3.5</v>
      </c>
      <c r="L408">
        <v>12.7</v>
      </c>
      <c r="M408">
        <v>18.2</v>
      </c>
      <c r="N408" t="s">
        <v>4377</v>
      </c>
      <c r="O408" t="s">
        <v>4391</v>
      </c>
      <c r="P408" s="1">
        <v>45868</v>
      </c>
      <c r="Q408" t="str">
        <f t="shared" si="24"/>
        <v>10+ Years</v>
      </c>
      <c r="R408" t="str">
        <f>IF(Table7[[#This Row],[Age]]&lt;=25,"20-25",IF(Table7[[#This Row],[Age]]&lt;=30,"26-30",IF(Table7[[#This Row],[Age]]&lt;=35,"31-35","36+")))</f>
        <v>31-35</v>
      </c>
      <c r="S408" t="str">
        <f t="shared" si="25"/>
        <v>July</v>
      </c>
      <c r="T408" s="2" t="str">
        <f t="shared" si="26"/>
        <v>Q3</v>
      </c>
      <c r="U408" s="2">
        <f t="shared" si="27"/>
        <v>2025</v>
      </c>
    </row>
    <row r="409" spans="1:21" x14ac:dyDescent="0.3">
      <c r="A409" t="s">
        <v>5336</v>
      </c>
      <c r="B409" t="s">
        <v>4578</v>
      </c>
      <c r="C409" t="s">
        <v>4529</v>
      </c>
      <c r="D409" t="s">
        <v>4363</v>
      </c>
      <c r="E409">
        <v>37</v>
      </c>
      <c r="F409" t="s">
        <v>5337</v>
      </c>
      <c r="G409">
        <v>9256584001</v>
      </c>
      <c r="H409" t="s">
        <v>4476</v>
      </c>
      <c r="I409" t="s">
        <v>4477</v>
      </c>
      <c r="J409" t="s">
        <v>4376</v>
      </c>
      <c r="K409">
        <v>4.0999999999999996</v>
      </c>
      <c r="L409">
        <v>11.5</v>
      </c>
      <c r="M409">
        <v>13.2</v>
      </c>
      <c r="N409" t="s">
        <v>4390</v>
      </c>
      <c r="O409" t="s">
        <v>4391</v>
      </c>
      <c r="P409" s="1">
        <v>45674</v>
      </c>
      <c r="Q409" t="str">
        <f t="shared" si="24"/>
        <v>10+ Years</v>
      </c>
      <c r="R409" t="str">
        <f>IF(Table7[[#This Row],[Age]]&lt;=25,"20-25",IF(Table7[[#This Row],[Age]]&lt;=30,"26-30",IF(Table7[[#This Row],[Age]]&lt;=35,"31-35","36+")))</f>
        <v>36+</v>
      </c>
      <c r="S409" t="str">
        <f t="shared" si="25"/>
        <v>January</v>
      </c>
      <c r="T409" s="2" t="str">
        <f t="shared" si="26"/>
        <v>Q1</v>
      </c>
      <c r="U409" s="2">
        <f t="shared" si="27"/>
        <v>2025</v>
      </c>
    </row>
    <row r="410" spans="1:21" x14ac:dyDescent="0.3">
      <c r="A410" t="s">
        <v>414</v>
      </c>
      <c r="B410" t="s">
        <v>4893</v>
      </c>
      <c r="C410" t="s">
        <v>5338</v>
      </c>
      <c r="D410" t="s">
        <v>4372</v>
      </c>
      <c r="E410">
        <v>21</v>
      </c>
      <c r="F410" t="s">
        <v>5339</v>
      </c>
      <c r="G410">
        <v>9390994473</v>
      </c>
      <c r="H410" t="s">
        <v>4395</v>
      </c>
      <c r="I410" t="s">
        <v>4396</v>
      </c>
      <c r="J410" t="s">
        <v>4389</v>
      </c>
      <c r="K410">
        <v>1.8</v>
      </c>
      <c r="L410">
        <v>8.1</v>
      </c>
      <c r="M410">
        <v>10.3</v>
      </c>
      <c r="N410" t="s">
        <v>4390</v>
      </c>
      <c r="O410" t="s">
        <v>4400</v>
      </c>
      <c r="P410" s="1">
        <v>45719</v>
      </c>
      <c r="Q410" t="str">
        <f t="shared" si="24"/>
        <v>10+ Years</v>
      </c>
      <c r="R410" t="str">
        <f>IF(Table7[[#This Row],[Age]]&lt;=25,"20-25",IF(Table7[[#This Row],[Age]]&lt;=30,"26-30",IF(Table7[[#This Row],[Age]]&lt;=35,"31-35","36+")))</f>
        <v>20-25</v>
      </c>
      <c r="S410" t="str">
        <f t="shared" si="25"/>
        <v>March</v>
      </c>
      <c r="T410" s="2" t="str">
        <f t="shared" si="26"/>
        <v>Q1</v>
      </c>
      <c r="U410" s="2">
        <f t="shared" si="27"/>
        <v>2025</v>
      </c>
    </row>
    <row r="411" spans="1:21" x14ac:dyDescent="0.3">
      <c r="A411" t="s">
        <v>116</v>
      </c>
      <c r="B411" t="s">
        <v>4810</v>
      </c>
      <c r="C411" t="s">
        <v>5340</v>
      </c>
      <c r="D411" t="s">
        <v>4372</v>
      </c>
      <c r="E411">
        <v>27</v>
      </c>
      <c r="F411" t="s">
        <v>5341</v>
      </c>
      <c r="G411">
        <v>9144583581</v>
      </c>
      <c r="H411" t="s">
        <v>4381</v>
      </c>
      <c r="I411" t="s">
        <v>4382</v>
      </c>
      <c r="J411" t="s">
        <v>4446</v>
      </c>
      <c r="K411">
        <v>5.9</v>
      </c>
      <c r="L411">
        <v>12.2</v>
      </c>
      <c r="M411">
        <v>14.4</v>
      </c>
      <c r="N411" t="s">
        <v>4368</v>
      </c>
      <c r="O411" t="s">
        <v>4419</v>
      </c>
      <c r="P411" s="1">
        <v>45843</v>
      </c>
      <c r="Q411" t="str">
        <f t="shared" si="24"/>
        <v>10+ Years</v>
      </c>
      <c r="R411" t="str">
        <f>IF(Table7[[#This Row],[Age]]&lt;=25,"20-25",IF(Table7[[#This Row],[Age]]&lt;=30,"26-30",IF(Table7[[#This Row],[Age]]&lt;=35,"31-35","36+")))</f>
        <v>26-30</v>
      </c>
      <c r="S411" t="str">
        <f t="shared" si="25"/>
        <v>July</v>
      </c>
      <c r="T411" s="2" t="str">
        <f t="shared" si="26"/>
        <v>Q3</v>
      </c>
      <c r="U411" s="2">
        <f t="shared" si="27"/>
        <v>2025</v>
      </c>
    </row>
    <row r="412" spans="1:21" x14ac:dyDescent="0.3">
      <c r="A412" t="s">
        <v>295</v>
      </c>
      <c r="B412" t="s">
        <v>4959</v>
      </c>
      <c r="C412" t="s">
        <v>5342</v>
      </c>
      <c r="D412" t="s">
        <v>4372</v>
      </c>
      <c r="E412">
        <v>26</v>
      </c>
      <c r="F412" t="s">
        <v>5343</v>
      </c>
      <c r="G412">
        <v>9976014261</v>
      </c>
      <c r="H412" t="s">
        <v>4521</v>
      </c>
      <c r="I412" t="s">
        <v>4522</v>
      </c>
      <c r="K412">
        <v>5.9</v>
      </c>
      <c r="L412">
        <v>14.3</v>
      </c>
      <c r="M412">
        <v>20.5</v>
      </c>
      <c r="N412" t="s">
        <v>4368</v>
      </c>
      <c r="O412" t="s">
        <v>4391</v>
      </c>
      <c r="P412" s="1">
        <v>45917</v>
      </c>
      <c r="Q412" t="str">
        <f t="shared" si="24"/>
        <v>10+ Years</v>
      </c>
      <c r="R412" t="str">
        <f>IF(Table7[[#This Row],[Age]]&lt;=25,"20-25",IF(Table7[[#This Row],[Age]]&lt;=30,"26-30",IF(Table7[[#This Row],[Age]]&lt;=35,"31-35","36+")))</f>
        <v>26-30</v>
      </c>
      <c r="S412" t="str">
        <f t="shared" si="25"/>
        <v>September</v>
      </c>
      <c r="T412" s="2" t="str">
        <f t="shared" si="26"/>
        <v>Q3</v>
      </c>
      <c r="U412" s="2">
        <f t="shared" si="27"/>
        <v>2025</v>
      </c>
    </row>
    <row r="413" spans="1:21" x14ac:dyDescent="0.3">
      <c r="A413" t="s">
        <v>2280</v>
      </c>
      <c r="B413" t="s">
        <v>4704</v>
      </c>
      <c r="C413" t="s">
        <v>4693</v>
      </c>
      <c r="D413" t="s">
        <v>4363</v>
      </c>
      <c r="E413">
        <v>23</v>
      </c>
      <c r="F413" t="s">
        <v>5344</v>
      </c>
      <c r="G413">
        <v>9303417844</v>
      </c>
      <c r="H413" t="s">
        <v>4506</v>
      </c>
      <c r="I413" t="s">
        <v>4507</v>
      </c>
      <c r="J413" t="s">
        <v>4446</v>
      </c>
      <c r="K413">
        <v>5.3</v>
      </c>
      <c r="L413">
        <v>10</v>
      </c>
      <c r="M413">
        <v>11.7</v>
      </c>
      <c r="N413" t="s">
        <v>4390</v>
      </c>
      <c r="O413" t="s">
        <v>4369</v>
      </c>
      <c r="P413" s="1">
        <v>45747</v>
      </c>
      <c r="Q413" t="str">
        <f t="shared" si="24"/>
        <v>10+ Years</v>
      </c>
      <c r="R413" t="str">
        <f>IF(Table7[[#This Row],[Age]]&lt;=25,"20-25",IF(Table7[[#This Row],[Age]]&lt;=30,"26-30",IF(Table7[[#This Row],[Age]]&lt;=35,"31-35","36+")))</f>
        <v>20-25</v>
      </c>
      <c r="S413" t="str">
        <f t="shared" si="25"/>
        <v>March</v>
      </c>
      <c r="T413" s="2" t="str">
        <f t="shared" si="26"/>
        <v>Q1</v>
      </c>
      <c r="U413" s="2">
        <f t="shared" si="27"/>
        <v>2025</v>
      </c>
    </row>
    <row r="414" spans="1:21" x14ac:dyDescent="0.3">
      <c r="A414" t="s">
        <v>1232</v>
      </c>
      <c r="B414" t="s">
        <v>4830</v>
      </c>
      <c r="C414" t="s">
        <v>5345</v>
      </c>
      <c r="D414" t="s">
        <v>4372</v>
      </c>
      <c r="E414">
        <v>27</v>
      </c>
      <c r="F414" t="s">
        <v>5346</v>
      </c>
      <c r="G414">
        <v>9588091621</v>
      </c>
      <c r="H414" t="s">
        <v>4521</v>
      </c>
      <c r="I414" t="s">
        <v>4522</v>
      </c>
      <c r="J414" t="s">
        <v>4446</v>
      </c>
      <c r="K414">
        <v>0.5</v>
      </c>
      <c r="L414">
        <v>8.1</v>
      </c>
      <c r="M414">
        <v>9.6999999999999993</v>
      </c>
      <c r="O414" t="s">
        <v>4369</v>
      </c>
      <c r="P414" s="1">
        <v>45940</v>
      </c>
      <c r="Q414" t="str">
        <f t="shared" si="24"/>
        <v>10+ Years</v>
      </c>
      <c r="R414" t="str">
        <f>IF(Table7[[#This Row],[Age]]&lt;=25,"20-25",IF(Table7[[#This Row],[Age]]&lt;=30,"26-30",IF(Table7[[#This Row],[Age]]&lt;=35,"31-35","36+")))</f>
        <v>26-30</v>
      </c>
      <c r="S414" t="str">
        <f t="shared" si="25"/>
        <v>October</v>
      </c>
      <c r="T414" s="2" t="str">
        <f t="shared" si="26"/>
        <v>Q4</v>
      </c>
      <c r="U414" s="2">
        <f t="shared" si="27"/>
        <v>2025</v>
      </c>
    </row>
    <row r="415" spans="1:21" x14ac:dyDescent="0.3">
      <c r="A415" t="s">
        <v>54</v>
      </c>
      <c r="B415" t="s">
        <v>4731</v>
      </c>
      <c r="C415" t="s">
        <v>4558</v>
      </c>
      <c r="D415" t="s">
        <v>4363</v>
      </c>
      <c r="E415">
        <v>24</v>
      </c>
      <c r="F415" t="s">
        <v>5347</v>
      </c>
      <c r="G415">
        <v>9651760406</v>
      </c>
      <c r="H415" t="s">
        <v>4395</v>
      </c>
      <c r="I415" t="s">
        <v>4396</v>
      </c>
      <c r="J415" t="s">
        <v>4482</v>
      </c>
      <c r="K415">
        <v>20</v>
      </c>
      <c r="L415">
        <v>30.5</v>
      </c>
      <c r="M415">
        <v>43.5</v>
      </c>
      <c r="N415" t="s">
        <v>4377</v>
      </c>
      <c r="O415" t="s">
        <v>4456</v>
      </c>
      <c r="P415" s="1">
        <v>45696</v>
      </c>
      <c r="Q415" t="str">
        <f t="shared" si="24"/>
        <v>10+ Years</v>
      </c>
      <c r="R415" t="str">
        <f>IF(Table7[[#This Row],[Age]]&lt;=25,"20-25",IF(Table7[[#This Row],[Age]]&lt;=30,"26-30",IF(Table7[[#This Row],[Age]]&lt;=35,"31-35","36+")))</f>
        <v>20-25</v>
      </c>
      <c r="S415" t="str">
        <f t="shared" si="25"/>
        <v>February</v>
      </c>
      <c r="T415" s="2" t="str">
        <f t="shared" si="26"/>
        <v>Q1</v>
      </c>
      <c r="U415" s="2">
        <f t="shared" si="27"/>
        <v>2025</v>
      </c>
    </row>
    <row r="416" spans="1:21" x14ac:dyDescent="0.3">
      <c r="A416" t="s">
        <v>3395</v>
      </c>
      <c r="B416" t="s">
        <v>4392</v>
      </c>
      <c r="C416" t="s">
        <v>5348</v>
      </c>
      <c r="D416" t="s">
        <v>4372</v>
      </c>
      <c r="E416">
        <v>34</v>
      </c>
      <c r="F416" t="s">
        <v>5349</v>
      </c>
      <c r="G416">
        <v>9576845612</v>
      </c>
      <c r="H416" t="s">
        <v>4454</v>
      </c>
      <c r="I416" t="s">
        <v>4455</v>
      </c>
      <c r="J416" t="s">
        <v>4618</v>
      </c>
      <c r="K416">
        <v>2.4</v>
      </c>
      <c r="L416">
        <v>13</v>
      </c>
      <c r="M416">
        <v>16.100000000000001</v>
      </c>
      <c r="N416" t="s">
        <v>4390</v>
      </c>
      <c r="O416" t="s">
        <v>4383</v>
      </c>
      <c r="P416" s="1">
        <v>45850</v>
      </c>
      <c r="Q416" t="str">
        <f t="shared" si="24"/>
        <v>10+ Years</v>
      </c>
      <c r="R416" t="str">
        <f>IF(Table7[[#This Row],[Age]]&lt;=25,"20-25",IF(Table7[[#This Row],[Age]]&lt;=30,"26-30",IF(Table7[[#This Row],[Age]]&lt;=35,"31-35","36+")))</f>
        <v>31-35</v>
      </c>
      <c r="S416" t="str">
        <f t="shared" si="25"/>
        <v>July</v>
      </c>
      <c r="T416" s="2" t="str">
        <f t="shared" si="26"/>
        <v>Q3</v>
      </c>
      <c r="U416" s="2">
        <f t="shared" si="27"/>
        <v>2025</v>
      </c>
    </row>
    <row r="417" spans="1:21" x14ac:dyDescent="0.3">
      <c r="A417" t="s">
        <v>1048</v>
      </c>
      <c r="B417" t="s">
        <v>5153</v>
      </c>
      <c r="C417" t="s">
        <v>4693</v>
      </c>
      <c r="D417" t="s">
        <v>4363</v>
      </c>
      <c r="E417">
        <v>28</v>
      </c>
      <c r="F417" t="s">
        <v>5350</v>
      </c>
      <c r="G417">
        <v>9164087823</v>
      </c>
      <c r="H417" t="s">
        <v>4387</v>
      </c>
      <c r="I417" t="s">
        <v>4388</v>
      </c>
      <c r="J417" t="s">
        <v>4376</v>
      </c>
      <c r="K417">
        <v>5.5</v>
      </c>
      <c r="L417">
        <v>9.6</v>
      </c>
      <c r="M417">
        <v>12.3</v>
      </c>
      <c r="N417" t="s">
        <v>4390</v>
      </c>
      <c r="O417" t="s">
        <v>4369</v>
      </c>
      <c r="P417" s="1">
        <v>46007</v>
      </c>
      <c r="Q417" t="str">
        <f t="shared" si="24"/>
        <v>10+ Years</v>
      </c>
      <c r="R417" t="str">
        <f>IF(Table7[[#This Row],[Age]]&lt;=25,"20-25",IF(Table7[[#This Row],[Age]]&lt;=30,"26-30",IF(Table7[[#This Row],[Age]]&lt;=35,"31-35","36+")))</f>
        <v>26-30</v>
      </c>
      <c r="S417" t="str">
        <f t="shared" si="25"/>
        <v>December</v>
      </c>
      <c r="T417" s="2" t="str">
        <f t="shared" si="26"/>
        <v>Q4</v>
      </c>
      <c r="U417" s="2">
        <f t="shared" si="27"/>
        <v>2025</v>
      </c>
    </row>
    <row r="418" spans="1:21" x14ac:dyDescent="0.3">
      <c r="A418" t="s">
        <v>2915</v>
      </c>
      <c r="B418" t="s">
        <v>5147</v>
      </c>
      <c r="C418" t="s">
        <v>4996</v>
      </c>
      <c r="D418" t="s">
        <v>4372</v>
      </c>
      <c r="E418">
        <v>31</v>
      </c>
      <c r="F418" t="s">
        <v>5351</v>
      </c>
      <c r="G418">
        <v>9580750331</v>
      </c>
      <c r="H418" t="s">
        <v>4454</v>
      </c>
      <c r="I418" t="s">
        <v>4455</v>
      </c>
      <c r="J418" t="s">
        <v>4389</v>
      </c>
      <c r="K418">
        <v>0.9</v>
      </c>
      <c r="L418">
        <v>8.1</v>
      </c>
      <c r="M418">
        <v>11.5</v>
      </c>
      <c r="N418" t="s">
        <v>4390</v>
      </c>
      <c r="O418" t="s">
        <v>4400</v>
      </c>
      <c r="P418" s="1">
        <v>45675</v>
      </c>
      <c r="Q418" t="str">
        <f t="shared" si="24"/>
        <v>10+ Years</v>
      </c>
      <c r="R418" t="str">
        <f>IF(Table7[[#This Row],[Age]]&lt;=25,"20-25",IF(Table7[[#This Row],[Age]]&lt;=30,"26-30",IF(Table7[[#This Row],[Age]]&lt;=35,"31-35","36+")))</f>
        <v>31-35</v>
      </c>
      <c r="S418" t="str">
        <f t="shared" si="25"/>
        <v>January</v>
      </c>
      <c r="T418" s="2" t="str">
        <f t="shared" si="26"/>
        <v>Q1</v>
      </c>
      <c r="U418" s="2">
        <f t="shared" si="27"/>
        <v>2025</v>
      </c>
    </row>
    <row r="419" spans="1:21" x14ac:dyDescent="0.3">
      <c r="A419" t="s">
        <v>1191</v>
      </c>
      <c r="B419" t="s">
        <v>5352</v>
      </c>
      <c r="C419" t="s">
        <v>4757</v>
      </c>
      <c r="D419" t="s">
        <v>4363</v>
      </c>
      <c r="E419">
        <v>27</v>
      </c>
      <c r="F419" t="s">
        <v>5353</v>
      </c>
      <c r="G419">
        <v>9247094707</v>
      </c>
      <c r="H419" t="s">
        <v>4410</v>
      </c>
      <c r="I419" t="s">
        <v>4411</v>
      </c>
      <c r="J419" t="s">
        <v>4618</v>
      </c>
      <c r="K419">
        <v>6</v>
      </c>
      <c r="L419">
        <v>12.5</v>
      </c>
      <c r="M419">
        <v>17.7</v>
      </c>
      <c r="N419" t="s">
        <v>4406</v>
      </c>
      <c r="O419" t="s">
        <v>4383</v>
      </c>
      <c r="P419" s="1">
        <v>45953</v>
      </c>
      <c r="Q419" t="str">
        <f t="shared" si="24"/>
        <v>10+ Years</v>
      </c>
      <c r="R419" t="str">
        <f>IF(Table7[[#This Row],[Age]]&lt;=25,"20-25",IF(Table7[[#This Row],[Age]]&lt;=30,"26-30",IF(Table7[[#This Row],[Age]]&lt;=35,"31-35","36+")))</f>
        <v>26-30</v>
      </c>
      <c r="S419" t="str">
        <f t="shared" si="25"/>
        <v>October</v>
      </c>
      <c r="T419" s="2" t="str">
        <f t="shared" si="26"/>
        <v>Q4</v>
      </c>
      <c r="U419" s="2">
        <f t="shared" si="27"/>
        <v>2025</v>
      </c>
    </row>
    <row r="420" spans="1:21" x14ac:dyDescent="0.3">
      <c r="A420" t="s">
        <v>2537</v>
      </c>
      <c r="B420" t="s">
        <v>4708</v>
      </c>
      <c r="C420" t="s">
        <v>5345</v>
      </c>
      <c r="D420" t="s">
        <v>4372</v>
      </c>
      <c r="E420">
        <v>39</v>
      </c>
      <c r="F420" t="s">
        <v>5354</v>
      </c>
      <c r="G420">
        <v>9286382982</v>
      </c>
      <c r="H420" t="s">
        <v>4404</v>
      </c>
      <c r="I420" t="s">
        <v>4405</v>
      </c>
      <c r="K420">
        <v>2.7</v>
      </c>
      <c r="L420">
        <v>9.3000000000000007</v>
      </c>
      <c r="M420">
        <v>13.4</v>
      </c>
      <c r="N420" t="s">
        <v>4390</v>
      </c>
      <c r="O420" t="s">
        <v>4369</v>
      </c>
      <c r="P420" s="1">
        <v>45936</v>
      </c>
      <c r="Q420" t="str">
        <f t="shared" si="24"/>
        <v>10+ Years</v>
      </c>
      <c r="R420" t="str">
        <f>IF(Table7[[#This Row],[Age]]&lt;=25,"20-25",IF(Table7[[#This Row],[Age]]&lt;=30,"26-30",IF(Table7[[#This Row],[Age]]&lt;=35,"31-35","36+")))</f>
        <v>36+</v>
      </c>
      <c r="S420" t="str">
        <f t="shared" si="25"/>
        <v>October</v>
      </c>
      <c r="T420" s="2" t="str">
        <f t="shared" si="26"/>
        <v>Q4</v>
      </c>
      <c r="U420" s="2">
        <f t="shared" si="27"/>
        <v>2025</v>
      </c>
    </row>
    <row r="421" spans="1:21" x14ac:dyDescent="0.3">
      <c r="A421" t="s">
        <v>3634</v>
      </c>
      <c r="B421" t="s">
        <v>4931</v>
      </c>
      <c r="C421" t="s">
        <v>4594</v>
      </c>
      <c r="D421" t="s">
        <v>4372</v>
      </c>
      <c r="E421">
        <v>25</v>
      </c>
      <c r="F421" t="s">
        <v>5355</v>
      </c>
      <c r="G421">
        <v>9537617536</v>
      </c>
      <c r="H421" t="s">
        <v>4395</v>
      </c>
      <c r="I421" t="s">
        <v>4396</v>
      </c>
      <c r="J421" t="s">
        <v>4367</v>
      </c>
      <c r="K421">
        <v>0.3</v>
      </c>
      <c r="L421">
        <v>2.5</v>
      </c>
      <c r="M421">
        <v>3.6</v>
      </c>
      <c r="O421" t="s">
        <v>4391</v>
      </c>
      <c r="P421" s="1">
        <v>46021</v>
      </c>
      <c r="Q421" t="str">
        <f t="shared" si="24"/>
        <v>10+ Years</v>
      </c>
      <c r="R421" t="str">
        <f>IF(Table7[[#This Row],[Age]]&lt;=25,"20-25",IF(Table7[[#This Row],[Age]]&lt;=30,"26-30",IF(Table7[[#This Row],[Age]]&lt;=35,"31-35","36+")))</f>
        <v>20-25</v>
      </c>
      <c r="S421" t="str">
        <f t="shared" si="25"/>
        <v>December</v>
      </c>
      <c r="T421" s="2" t="str">
        <f t="shared" si="26"/>
        <v>Q4</v>
      </c>
      <c r="U421" s="2">
        <f t="shared" si="27"/>
        <v>2025</v>
      </c>
    </row>
    <row r="422" spans="1:21" x14ac:dyDescent="0.3">
      <c r="A422" t="s">
        <v>2825</v>
      </c>
      <c r="B422" t="s">
        <v>4565</v>
      </c>
      <c r="C422" t="s">
        <v>5356</v>
      </c>
      <c r="D422" t="s">
        <v>4372</v>
      </c>
      <c r="E422">
        <v>42</v>
      </c>
      <c r="F422" t="s">
        <v>5357</v>
      </c>
      <c r="G422">
        <v>9448109360</v>
      </c>
      <c r="H422" t="s">
        <v>4395</v>
      </c>
      <c r="I422" t="s">
        <v>4396</v>
      </c>
      <c r="K422">
        <v>3.7</v>
      </c>
      <c r="M422">
        <v>11.6</v>
      </c>
      <c r="N422" t="s">
        <v>4406</v>
      </c>
      <c r="O422" t="s">
        <v>4383</v>
      </c>
      <c r="P422" s="1">
        <v>45729</v>
      </c>
      <c r="Q422" t="str">
        <f t="shared" si="24"/>
        <v>10+ Years</v>
      </c>
      <c r="R422" t="str">
        <f>IF(Table7[[#This Row],[Age]]&lt;=25,"20-25",IF(Table7[[#This Row],[Age]]&lt;=30,"26-30",IF(Table7[[#This Row],[Age]]&lt;=35,"31-35","36+")))</f>
        <v>36+</v>
      </c>
      <c r="S422" t="str">
        <f t="shared" si="25"/>
        <v>March</v>
      </c>
      <c r="T422" s="2" t="str">
        <f t="shared" si="26"/>
        <v>Q1</v>
      </c>
      <c r="U422" s="2">
        <f t="shared" si="27"/>
        <v>2025</v>
      </c>
    </row>
    <row r="423" spans="1:21" x14ac:dyDescent="0.3">
      <c r="A423" t="s">
        <v>1919</v>
      </c>
      <c r="B423" t="s">
        <v>4582</v>
      </c>
      <c r="C423" t="s">
        <v>4875</v>
      </c>
      <c r="D423" t="s">
        <v>4372</v>
      </c>
      <c r="E423">
        <v>26</v>
      </c>
      <c r="F423" t="s">
        <v>5358</v>
      </c>
      <c r="G423">
        <v>9274106760</v>
      </c>
      <c r="H423" t="s">
        <v>4454</v>
      </c>
      <c r="I423" t="s">
        <v>4455</v>
      </c>
      <c r="J423" t="s">
        <v>4389</v>
      </c>
      <c r="K423">
        <v>0.1</v>
      </c>
      <c r="L423">
        <v>4.5999999999999996</v>
      </c>
      <c r="M423">
        <v>5.4</v>
      </c>
      <c r="N423" t="s">
        <v>4368</v>
      </c>
      <c r="O423" t="s">
        <v>4369</v>
      </c>
      <c r="P423" s="1">
        <v>45810</v>
      </c>
      <c r="Q423" t="str">
        <f t="shared" si="24"/>
        <v>10+ Years</v>
      </c>
      <c r="R423" t="str">
        <f>IF(Table7[[#This Row],[Age]]&lt;=25,"20-25",IF(Table7[[#This Row],[Age]]&lt;=30,"26-30",IF(Table7[[#This Row],[Age]]&lt;=35,"31-35","36+")))</f>
        <v>26-30</v>
      </c>
      <c r="S423" t="str">
        <f t="shared" si="25"/>
        <v>June</v>
      </c>
      <c r="T423" s="2" t="str">
        <f t="shared" si="26"/>
        <v>Q2</v>
      </c>
      <c r="U423" s="2">
        <f t="shared" si="27"/>
        <v>2025</v>
      </c>
    </row>
    <row r="424" spans="1:21" x14ac:dyDescent="0.3">
      <c r="A424" t="s">
        <v>2619</v>
      </c>
      <c r="B424" t="s">
        <v>4731</v>
      </c>
      <c r="C424" t="s">
        <v>5359</v>
      </c>
      <c r="D424" t="s">
        <v>4363</v>
      </c>
      <c r="E424">
        <v>21</v>
      </c>
      <c r="F424" t="s">
        <v>5360</v>
      </c>
      <c r="G424">
        <v>9844667429</v>
      </c>
      <c r="H424" t="s">
        <v>4395</v>
      </c>
      <c r="I424" t="s">
        <v>4396</v>
      </c>
      <c r="K424">
        <v>1.1000000000000001</v>
      </c>
      <c r="L424">
        <v>8.8000000000000007</v>
      </c>
      <c r="M424">
        <v>12.4</v>
      </c>
      <c r="N424" t="s">
        <v>4390</v>
      </c>
      <c r="O424" t="s">
        <v>4383</v>
      </c>
      <c r="P424" s="1">
        <v>45882</v>
      </c>
      <c r="Q424" t="str">
        <f t="shared" si="24"/>
        <v>10+ Years</v>
      </c>
      <c r="R424" t="str">
        <f>IF(Table7[[#This Row],[Age]]&lt;=25,"20-25",IF(Table7[[#This Row],[Age]]&lt;=30,"26-30",IF(Table7[[#This Row],[Age]]&lt;=35,"31-35","36+")))</f>
        <v>20-25</v>
      </c>
      <c r="S424" t="str">
        <f t="shared" si="25"/>
        <v>August</v>
      </c>
      <c r="T424" s="2" t="str">
        <f t="shared" si="26"/>
        <v>Q3</v>
      </c>
      <c r="U424" s="2">
        <f t="shared" si="27"/>
        <v>2025</v>
      </c>
    </row>
    <row r="425" spans="1:21" x14ac:dyDescent="0.3">
      <c r="A425" t="s">
        <v>473</v>
      </c>
      <c r="B425" t="s">
        <v>5361</v>
      </c>
      <c r="C425" t="s">
        <v>4512</v>
      </c>
      <c r="D425" t="s">
        <v>4372</v>
      </c>
      <c r="E425">
        <v>27</v>
      </c>
      <c r="F425" t="s">
        <v>5362</v>
      </c>
      <c r="G425">
        <v>9379398463</v>
      </c>
      <c r="H425" t="s">
        <v>4476</v>
      </c>
      <c r="I425" t="s">
        <v>4477</v>
      </c>
      <c r="J425" t="s">
        <v>4482</v>
      </c>
      <c r="K425">
        <v>2.5</v>
      </c>
      <c r="L425">
        <v>3.4</v>
      </c>
      <c r="M425">
        <v>4.2</v>
      </c>
      <c r="N425" t="s">
        <v>4494</v>
      </c>
      <c r="O425" t="s">
        <v>4369</v>
      </c>
      <c r="P425" s="1">
        <v>45762</v>
      </c>
      <c r="Q425" t="str">
        <f t="shared" si="24"/>
        <v>10+ Years</v>
      </c>
      <c r="R425" t="str">
        <f>IF(Table7[[#This Row],[Age]]&lt;=25,"20-25",IF(Table7[[#This Row],[Age]]&lt;=30,"26-30",IF(Table7[[#This Row],[Age]]&lt;=35,"31-35","36+")))</f>
        <v>26-30</v>
      </c>
      <c r="S425" t="str">
        <f t="shared" si="25"/>
        <v>April</v>
      </c>
      <c r="T425" s="2" t="str">
        <f t="shared" si="26"/>
        <v>Q2</v>
      </c>
      <c r="U425" s="2">
        <f t="shared" si="27"/>
        <v>2025</v>
      </c>
    </row>
    <row r="426" spans="1:21" x14ac:dyDescent="0.3">
      <c r="A426" t="s">
        <v>2021</v>
      </c>
      <c r="B426" t="s">
        <v>4651</v>
      </c>
      <c r="C426" t="s">
        <v>5363</v>
      </c>
      <c r="D426" t="s">
        <v>4363</v>
      </c>
      <c r="E426">
        <v>27</v>
      </c>
      <c r="F426" t="s">
        <v>5364</v>
      </c>
      <c r="G426">
        <v>9583439976</v>
      </c>
      <c r="H426" t="s">
        <v>4374</v>
      </c>
      <c r="I426" t="s">
        <v>4375</v>
      </c>
      <c r="J426" t="s">
        <v>4446</v>
      </c>
      <c r="K426">
        <v>3.7</v>
      </c>
      <c r="L426">
        <v>8</v>
      </c>
      <c r="M426">
        <v>10.6</v>
      </c>
      <c r="N426" t="s">
        <v>4377</v>
      </c>
      <c r="O426" t="s">
        <v>4391</v>
      </c>
      <c r="P426" s="1">
        <v>45735</v>
      </c>
      <c r="Q426" t="str">
        <f t="shared" si="24"/>
        <v>10+ Years</v>
      </c>
      <c r="R426" t="str">
        <f>IF(Table7[[#This Row],[Age]]&lt;=25,"20-25",IF(Table7[[#This Row],[Age]]&lt;=30,"26-30",IF(Table7[[#This Row],[Age]]&lt;=35,"31-35","36+")))</f>
        <v>26-30</v>
      </c>
      <c r="S426" t="str">
        <f t="shared" si="25"/>
        <v>March</v>
      </c>
      <c r="T426" s="2" t="str">
        <f t="shared" si="26"/>
        <v>Q1</v>
      </c>
      <c r="U426" s="2">
        <f t="shared" si="27"/>
        <v>2025</v>
      </c>
    </row>
    <row r="427" spans="1:21" x14ac:dyDescent="0.3">
      <c r="A427" t="s">
        <v>1797</v>
      </c>
      <c r="B427" t="s">
        <v>4778</v>
      </c>
      <c r="C427" t="s">
        <v>4940</v>
      </c>
      <c r="D427" t="s">
        <v>4372</v>
      </c>
      <c r="E427">
        <v>27</v>
      </c>
      <c r="F427" t="s">
        <v>5365</v>
      </c>
      <c r="G427">
        <v>9604894025</v>
      </c>
      <c r="H427" t="s">
        <v>4395</v>
      </c>
      <c r="I427" t="s">
        <v>4396</v>
      </c>
      <c r="J427" t="s">
        <v>4376</v>
      </c>
      <c r="K427">
        <v>0.8</v>
      </c>
      <c r="L427">
        <v>6.3</v>
      </c>
      <c r="M427">
        <v>8.5</v>
      </c>
      <c r="N427" t="s">
        <v>4377</v>
      </c>
      <c r="O427" t="s">
        <v>4369</v>
      </c>
      <c r="P427" s="1">
        <v>45843</v>
      </c>
      <c r="Q427" t="str">
        <f t="shared" si="24"/>
        <v>10+ Years</v>
      </c>
      <c r="R427" t="str">
        <f>IF(Table7[[#This Row],[Age]]&lt;=25,"20-25",IF(Table7[[#This Row],[Age]]&lt;=30,"26-30",IF(Table7[[#This Row],[Age]]&lt;=35,"31-35","36+")))</f>
        <v>26-30</v>
      </c>
      <c r="S427" t="str">
        <f t="shared" si="25"/>
        <v>July</v>
      </c>
      <c r="T427" s="2" t="str">
        <f t="shared" si="26"/>
        <v>Q3</v>
      </c>
      <c r="U427" s="2">
        <f t="shared" si="27"/>
        <v>2025</v>
      </c>
    </row>
    <row r="428" spans="1:21" x14ac:dyDescent="0.3">
      <c r="A428" t="s">
        <v>1309</v>
      </c>
      <c r="B428" t="s">
        <v>4662</v>
      </c>
      <c r="C428" t="s">
        <v>5366</v>
      </c>
      <c r="D428" t="s">
        <v>4363</v>
      </c>
      <c r="E428">
        <v>36</v>
      </c>
      <c r="F428" t="s">
        <v>5367</v>
      </c>
      <c r="G428">
        <v>9668378070</v>
      </c>
      <c r="H428" t="s">
        <v>4473</v>
      </c>
      <c r="I428" t="s">
        <v>4473</v>
      </c>
      <c r="J428" t="s">
        <v>4432</v>
      </c>
      <c r="K428">
        <v>15.5</v>
      </c>
      <c r="L428">
        <v>16.600000000000001</v>
      </c>
      <c r="M428">
        <v>22</v>
      </c>
      <c r="N428" t="s">
        <v>4368</v>
      </c>
      <c r="O428" t="s">
        <v>4400</v>
      </c>
      <c r="P428" s="1">
        <v>45679</v>
      </c>
      <c r="Q428" t="str">
        <f t="shared" si="24"/>
        <v>10+ Years</v>
      </c>
      <c r="R428" t="str">
        <f>IF(Table7[[#This Row],[Age]]&lt;=25,"20-25",IF(Table7[[#This Row],[Age]]&lt;=30,"26-30",IF(Table7[[#This Row],[Age]]&lt;=35,"31-35","36+")))</f>
        <v>36+</v>
      </c>
      <c r="S428" t="str">
        <f t="shared" si="25"/>
        <v>January</v>
      </c>
      <c r="T428" s="2" t="str">
        <f t="shared" si="26"/>
        <v>Q1</v>
      </c>
      <c r="U428" s="2">
        <f t="shared" si="27"/>
        <v>2025</v>
      </c>
    </row>
    <row r="429" spans="1:21" x14ac:dyDescent="0.3">
      <c r="A429" t="s">
        <v>151</v>
      </c>
      <c r="B429" t="s">
        <v>4924</v>
      </c>
      <c r="C429" t="s">
        <v>4529</v>
      </c>
      <c r="D429" t="s">
        <v>4372</v>
      </c>
      <c r="E429">
        <v>31</v>
      </c>
      <c r="F429" t="s">
        <v>5368</v>
      </c>
      <c r="G429">
        <v>9708247226</v>
      </c>
      <c r="H429" t="s">
        <v>4454</v>
      </c>
      <c r="I429" t="s">
        <v>4455</v>
      </c>
      <c r="J429" t="s">
        <v>4482</v>
      </c>
      <c r="K429">
        <v>1.9</v>
      </c>
      <c r="L429">
        <v>8.6</v>
      </c>
      <c r="M429">
        <v>12.3</v>
      </c>
      <c r="N429" t="s">
        <v>4368</v>
      </c>
      <c r="O429" t="s">
        <v>4369</v>
      </c>
      <c r="P429" s="1">
        <v>45693</v>
      </c>
      <c r="Q429" t="str">
        <f t="shared" si="24"/>
        <v>10+ Years</v>
      </c>
      <c r="R429" t="str">
        <f>IF(Table7[[#This Row],[Age]]&lt;=25,"20-25",IF(Table7[[#This Row],[Age]]&lt;=30,"26-30",IF(Table7[[#This Row],[Age]]&lt;=35,"31-35","36+")))</f>
        <v>31-35</v>
      </c>
      <c r="S429" t="str">
        <f t="shared" si="25"/>
        <v>February</v>
      </c>
      <c r="T429" s="2" t="str">
        <f t="shared" si="26"/>
        <v>Q1</v>
      </c>
      <c r="U429" s="2">
        <f t="shared" si="27"/>
        <v>2025</v>
      </c>
    </row>
    <row r="430" spans="1:21" x14ac:dyDescent="0.3">
      <c r="A430" t="s">
        <v>2231</v>
      </c>
      <c r="B430" t="s">
        <v>4931</v>
      </c>
      <c r="C430" t="s">
        <v>4591</v>
      </c>
      <c r="D430" t="s">
        <v>4363</v>
      </c>
      <c r="E430">
        <v>22</v>
      </c>
      <c r="F430" t="s">
        <v>5369</v>
      </c>
      <c r="G430">
        <v>9909317441</v>
      </c>
      <c r="H430" t="s">
        <v>4521</v>
      </c>
      <c r="I430" t="s">
        <v>4522</v>
      </c>
      <c r="J430" t="s">
        <v>4389</v>
      </c>
      <c r="K430">
        <v>4.2</v>
      </c>
      <c r="M430">
        <v>14.8</v>
      </c>
      <c r="N430" t="s">
        <v>4377</v>
      </c>
      <c r="O430" t="s">
        <v>4369</v>
      </c>
      <c r="P430" s="1">
        <v>45815</v>
      </c>
      <c r="Q430" t="str">
        <f t="shared" si="24"/>
        <v>10+ Years</v>
      </c>
      <c r="R430" t="str">
        <f>IF(Table7[[#This Row],[Age]]&lt;=25,"20-25",IF(Table7[[#This Row],[Age]]&lt;=30,"26-30",IF(Table7[[#This Row],[Age]]&lt;=35,"31-35","36+")))</f>
        <v>20-25</v>
      </c>
      <c r="S430" t="str">
        <f t="shared" si="25"/>
        <v>June</v>
      </c>
      <c r="T430" s="2" t="str">
        <f t="shared" si="26"/>
        <v>Q2</v>
      </c>
      <c r="U430" s="2">
        <f t="shared" si="27"/>
        <v>2025</v>
      </c>
    </row>
    <row r="431" spans="1:21" x14ac:dyDescent="0.3">
      <c r="A431" t="s">
        <v>1429</v>
      </c>
      <c r="B431" t="s">
        <v>4429</v>
      </c>
      <c r="C431" t="s">
        <v>4434</v>
      </c>
      <c r="D431" t="s">
        <v>4372</v>
      </c>
      <c r="E431">
        <v>31</v>
      </c>
      <c r="F431" t="s">
        <v>5370</v>
      </c>
      <c r="G431">
        <v>9876229434</v>
      </c>
      <c r="H431" t="s">
        <v>4395</v>
      </c>
      <c r="I431" t="s">
        <v>4396</v>
      </c>
      <c r="J431" t="s">
        <v>4389</v>
      </c>
      <c r="K431">
        <v>8.4</v>
      </c>
      <c r="L431">
        <v>12.6</v>
      </c>
      <c r="M431">
        <v>14.6</v>
      </c>
      <c r="O431" t="s">
        <v>4400</v>
      </c>
      <c r="P431" s="1">
        <v>45832</v>
      </c>
      <c r="Q431" t="str">
        <f t="shared" si="24"/>
        <v>10+ Years</v>
      </c>
      <c r="R431" t="str">
        <f>IF(Table7[[#This Row],[Age]]&lt;=25,"20-25",IF(Table7[[#This Row],[Age]]&lt;=30,"26-30",IF(Table7[[#This Row],[Age]]&lt;=35,"31-35","36+")))</f>
        <v>31-35</v>
      </c>
      <c r="S431" t="str">
        <f t="shared" si="25"/>
        <v>June</v>
      </c>
      <c r="T431" s="2" t="str">
        <f t="shared" si="26"/>
        <v>Q2</v>
      </c>
      <c r="U431" s="2">
        <f t="shared" si="27"/>
        <v>2025</v>
      </c>
    </row>
    <row r="432" spans="1:21" x14ac:dyDescent="0.3">
      <c r="A432" t="s">
        <v>3470</v>
      </c>
      <c r="B432" t="s">
        <v>4451</v>
      </c>
      <c r="C432" t="s">
        <v>4693</v>
      </c>
      <c r="D432" t="s">
        <v>4372</v>
      </c>
      <c r="E432">
        <v>29</v>
      </c>
      <c r="F432" t="s">
        <v>5371</v>
      </c>
      <c r="G432">
        <v>9965148698</v>
      </c>
      <c r="H432" t="s">
        <v>4476</v>
      </c>
      <c r="I432" t="s">
        <v>4477</v>
      </c>
      <c r="J432" t="s">
        <v>4482</v>
      </c>
      <c r="K432">
        <v>1.8</v>
      </c>
      <c r="L432">
        <v>7.9</v>
      </c>
      <c r="M432">
        <v>9.3000000000000007</v>
      </c>
      <c r="N432" t="s">
        <v>4377</v>
      </c>
      <c r="O432" t="s">
        <v>4383</v>
      </c>
      <c r="P432" s="1">
        <v>45924</v>
      </c>
      <c r="Q432" t="str">
        <f t="shared" si="24"/>
        <v>10+ Years</v>
      </c>
      <c r="R432" t="str">
        <f>IF(Table7[[#This Row],[Age]]&lt;=25,"20-25",IF(Table7[[#This Row],[Age]]&lt;=30,"26-30",IF(Table7[[#This Row],[Age]]&lt;=35,"31-35","36+")))</f>
        <v>26-30</v>
      </c>
      <c r="S432" t="str">
        <f t="shared" si="25"/>
        <v>September</v>
      </c>
      <c r="T432" s="2" t="str">
        <f t="shared" si="26"/>
        <v>Q3</v>
      </c>
      <c r="U432" s="2">
        <f t="shared" si="27"/>
        <v>2025</v>
      </c>
    </row>
    <row r="433" spans="1:21" x14ac:dyDescent="0.3">
      <c r="A433" t="s">
        <v>2196</v>
      </c>
      <c r="B433" t="s">
        <v>4668</v>
      </c>
      <c r="C433" t="s">
        <v>4532</v>
      </c>
      <c r="D433" t="s">
        <v>4372</v>
      </c>
      <c r="E433">
        <v>35</v>
      </c>
      <c r="F433" t="s">
        <v>5372</v>
      </c>
      <c r="G433">
        <v>9243414191</v>
      </c>
      <c r="H433" t="s">
        <v>4365</v>
      </c>
      <c r="I433" t="s">
        <v>4366</v>
      </c>
      <c r="J433" t="s">
        <v>4482</v>
      </c>
      <c r="K433">
        <v>0.4</v>
      </c>
      <c r="L433">
        <v>2.7</v>
      </c>
      <c r="M433">
        <v>3.1</v>
      </c>
      <c r="N433" t="s">
        <v>4390</v>
      </c>
      <c r="O433" t="s">
        <v>4383</v>
      </c>
      <c r="P433" s="1">
        <v>45951</v>
      </c>
      <c r="Q433" t="str">
        <f t="shared" si="24"/>
        <v>10+ Years</v>
      </c>
      <c r="R433" t="str">
        <f>IF(Table7[[#This Row],[Age]]&lt;=25,"20-25",IF(Table7[[#This Row],[Age]]&lt;=30,"26-30",IF(Table7[[#This Row],[Age]]&lt;=35,"31-35","36+")))</f>
        <v>31-35</v>
      </c>
      <c r="S433" t="str">
        <f t="shared" si="25"/>
        <v>October</v>
      </c>
      <c r="T433" s="2" t="str">
        <f t="shared" si="26"/>
        <v>Q4</v>
      </c>
      <c r="U433" s="2">
        <f t="shared" si="27"/>
        <v>2025</v>
      </c>
    </row>
    <row r="434" spans="1:21" x14ac:dyDescent="0.3">
      <c r="A434" t="s">
        <v>1011</v>
      </c>
      <c r="B434" t="s">
        <v>5373</v>
      </c>
      <c r="C434" t="s">
        <v>5374</v>
      </c>
      <c r="D434" t="s">
        <v>4363</v>
      </c>
      <c r="E434">
        <v>21</v>
      </c>
      <c r="F434" t="s">
        <v>5375</v>
      </c>
      <c r="G434">
        <v>9564450800</v>
      </c>
      <c r="H434" t="s">
        <v>4381</v>
      </c>
      <c r="I434" t="s">
        <v>4382</v>
      </c>
      <c r="J434" t="s">
        <v>4367</v>
      </c>
      <c r="K434">
        <v>1.3</v>
      </c>
      <c r="L434">
        <v>9.4</v>
      </c>
      <c r="M434">
        <v>12.8</v>
      </c>
      <c r="N434" t="s">
        <v>4377</v>
      </c>
      <c r="O434" t="s">
        <v>4456</v>
      </c>
      <c r="P434" s="1">
        <v>45725</v>
      </c>
      <c r="Q434" t="str">
        <f t="shared" si="24"/>
        <v>10+ Years</v>
      </c>
      <c r="R434" t="str">
        <f>IF(Table7[[#This Row],[Age]]&lt;=25,"20-25",IF(Table7[[#This Row],[Age]]&lt;=30,"26-30",IF(Table7[[#This Row],[Age]]&lt;=35,"31-35","36+")))</f>
        <v>20-25</v>
      </c>
      <c r="S434" t="str">
        <f t="shared" si="25"/>
        <v>March</v>
      </c>
      <c r="T434" s="2" t="str">
        <f t="shared" si="26"/>
        <v>Q1</v>
      </c>
      <c r="U434" s="2">
        <f t="shared" si="27"/>
        <v>2025</v>
      </c>
    </row>
    <row r="435" spans="1:21" x14ac:dyDescent="0.3">
      <c r="A435" t="s">
        <v>3281</v>
      </c>
      <c r="B435" t="s">
        <v>5376</v>
      </c>
      <c r="C435" t="s">
        <v>5006</v>
      </c>
      <c r="D435" t="s">
        <v>4372</v>
      </c>
      <c r="E435">
        <v>23</v>
      </c>
      <c r="F435" t="s">
        <v>5377</v>
      </c>
      <c r="G435">
        <v>9909724817</v>
      </c>
      <c r="H435" t="s">
        <v>4365</v>
      </c>
      <c r="I435" t="s">
        <v>4366</v>
      </c>
      <c r="J435" t="s">
        <v>4415</v>
      </c>
      <c r="K435">
        <v>0</v>
      </c>
      <c r="L435">
        <v>8.1</v>
      </c>
      <c r="M435">
        <v>11.5</v>
      </c>
      <c r="N435" t="s">
        <v>4377</v>
      </c>
      <c r="O435" t="s">
        <v>4400</v>
      </c>
      <c r="P435" s="1">
        <v>45990</v>
      </c>
      <c r="Q435" t="str">
        <f t="shared" si="24"/>
        <v>10+ Years</v>
      </c>
      <c r="R435" t="str">
        <f>IF(Table7[[#This Row],[Age]]&lt;=25,"20-25",IF(Table7[[#This Row],[Age]]&lt;=30,"26-30",IF(Table7[[#This Row],[Age]]&lt;=35,"31-35","36+")))</f>
        <v>20-25</v>
      </c>
      <c r="S435" t="str">
        <f t="shared" si="25"/>
        <v>November</v>
      </c>
      <c r="T435" s="2" t="str">
        <f t="shared" si="26"/>
        <v>Q4</v>
      </c>
      <c r="U435" s="2">
        <f t="shared" si="27"/>
        <v>2025</v>
      </c>
    </row>
    <row r="436" spans="1:21" x14ac:dyDescent="0.3">
      <c r="A436" t="s">
        <v>1073</v>
      </c>
      <c r="B436" t="s">
        <v>5378</v>
      </c>
      <c r="C436" t="s">
        <v>4924</v>
      </c>
      <c r="D436" t="s">
        <v>4372</v>
      </c>
      <c r="E436">
        <v>36</v>
      </c>
      <c r="F436" t="s">
        <v>5379</v>
      </c>
      <c r="G436">
        <v>9240959542</v>
      </c>
      <c r="H436" t="s">
        <v>4395</v>
      </c>
      <c r="I436" t="s">
        <v>4396</v>
      </c>
      <c r="J436" t="s">
        <v>4389</v>
      </c>
      <c r="K436">
        <v>6</v>
      </c>
      <c r="L436">
        <v>7.6</v>
      </c>
      <c r="M436">
        <v>10.3</v>
      </c>
      <c r="N436" t="s">
        <v>4390</v>
      </c>
      <c r="O436" t="s">
        <v>4369</v>
      </c>
      <c r="P436" s="1">
        <v>45692</v>
      </c>
      <c r="Q436" t="str">
        <f t="shared" si="24"/>
        <v>10+ Years</v>
      </c>
      <c r="R436" t="str">
        <f>IF(Table7[[#This Row],[Age]]&lt;=25,"20-25",IF(Table7[[#This Row],[Age]]&lt;=30,"26-30",IF(Table7[[#This Row],[Age]]&lt;=35,"31-35","36+")))</f>
        <v>36+</v>
      </c>
      <c r="S436" t="str">
        <f t="shared" si="25"/>
        <v>February</v>
      </c>
      <c r="T436" s="2" t="str">
        <f t="shared" si="26"/>
        <v>Q1</v>
      </c>
      <c r="U436" s="2">
        <f t="shared" si="27"/>
        <v>2025</v>
      </c>
    </row>
    <row r="437" spans="1:21" x14ac:dyDescent="0.3">
      <c r="A437" t="s">
        <v>2673</v>
      </c>
      <c r="B437" t="s">
        <v>4534</v>
      </c>
      <c r="C437" t="s">
        <v>5072</v>
      </c>
      <c r="D437" t="s">
        <v>4363</v>
      </c>
      <c r="E437">
        <v>29</v>
      </c>
      <c r="F437" t="s">
        <v>5380</v>
      </c>
      <c r="G437">
        <v>9985027782</v>
      </c>
      <c r="H437" t="s">
        <v>4374</v>
      </c>
      <c r="I437" t="s">
        <v>4375</v>
      </c>
      <c r="J437" t="s">
        <v>4432</v>
      </c>
      <c r="K437">
        <v>1.7</v>
      </c>
      <c r="L437">
        <v>6.8</v>
      </c>
      <c r="M437">
        <v>8.1</v>
      </c>
      <c r="N437" t="s">
        <v>4368</v>
      </c>
      <c r="O437" t="s">
        <v>4369</v>
      </c>
      <c r="P437" s="1">
        <v>46004</v>
      </c>
      <c r="Q437" t="str">
        <f t="shared" si="24"/>
        <v>10+ Years</v>
      </c>
      <c r="R437" t="str">
        <f>IF(Table7[[#This Row],[Age]]&lt;=25,"20-25",IF(Table7[[#This Row],[Age]]&lt;=30,"26-30",IF(Table7[[#This Row],[Age]]&lt;=35,"31-35","36+")))</f>
        <v>26-30</v>
      </c>
      <c r="S437" t="str">
        <f t="shared" si="25"/>
        <v>December</v>
      </c>
      <c r="T437" s="2" t="str">
        <f t="shared" si="26"/>
        <v>Q4</v>
      </c>
      <c r="U437" s="2">
        <f t="shared" si="27"/>
        <v>2025</v>
      </c>
    </row>
    <row r="438" spans="1:21" x14ac:dyDescent="0.3">
      <c r="A438" t="s">
        <v>5381</v>
      </c>
      <c r="B438" t="s">
        <v>4461</v>
      </c>
      <c r="C438" t="s">
        <v>5382</v>
      </c>
      <c r="D438" t="s">
        <v>4363</v>
      </c>
      <c r="E438">
        <v>37</v>
      </c>
      <c r="F438" t="s">
        <v>5383</v>
      </c>
      <c r="G438">
        <v>9486242007</v>
      </c>
      <c r="H438" t="s">
        <v>4410</v>
      </c>
      <c r="I438" t="s">
        <v>4411</v>
      </c>
      <c r="J438" t="s">
        <v>4389</v>
      </c>
      <c r="K438">
        <v>3.4</v>
      </c>
      <c r="L438">
        <v>9.9</v>
      </c>
      <c r="M438">
        <v>11.3</v>
      </c>
      <c r="N438" t="s">
        <v>4377</v>
      </c>
      <c r="O438" t="s">
        <v>4391</v>
      </c>
      <c r="P438" s="1">
        <v>45659</v>
      </c>
      <c r="Q438" t="str">
        <f t="shared" si="24"/>
        <v>10+ Years</v>
      </c>
      <c r="R438" t="str">
        <f>IF(Table7[[#This Row],[Age]]&lt;=25,"20-25",IF(Table7[[#This Row],[Age]]&lt;=30,"26-30",IF(Table7[[#This Row],[Age]]&lt;=35,"31-35","36+")))</f>
        <v>36+</v>
      </c>
      <c r="S438" t="str">
        <f t="shared" si="25"/>
        <v>January</v>
      </c>
      <c r="T438" s="2" t="str">
        <f t="shared" si="26"/>
        <v>Q1</v>
      </c>
      <c r="U438" s="2">
        <f t="shared" si="27"/>
        <v>2025</v>
      </c>
    </row>
    <row r="439" spans="1:21" x14ac:dyDescent="0.3">
      <c r="A439" t="s">
        <v>3449</v>
      </c>
      <c r="B439" t="s">
        <v>4763</v>
      </c>
      <c r="C439" t="s">
        <v>5384</v>
      </c>
      <c r="D439" t="s">
        <v>4372</v>
      </c>
      <c r="E439">
        <v>36</v>
      </c>
      <c r="F439" t="s">
        <v>5385</v>
      </c>
      <c r="G439">
        <v>9248994211</v>
      </c>
      <c r="H439" t="s">
        <v>4491</v>
      </c>
      <c r="I439" t="s">
        <v>4491</v>
      </c>
      <c r="J439" t="s">
        <v>4432</v>
      </c>
      <c r="K439">
        <v>0.6</v>
      </c>
      <c r="M439">
        <v>8.9</v>
      </c>
      <c r="N439" t="s">
        <v>4390</v>
      </c>
      <c r="O439" t="s">
        <v>4383</v>
      </c>
      <c r="P439" s="1">
        <v>45674</v>
      </c>
      <c r="Q439" t="str">
        <f t="shared" si="24"/>
        <v>10+ Years</v>
      </c>
      <c r="R439" t="str">
        <f>IF(Table7[[#This Row],[Age]]&lt;=25,"20-25",IF(Table7[[#This Row],[Age]]&lt;=30,"26-30",IF(Table7[[#This Row],[Age]]&lt;=35,"31-35","36+")))</f>
        <v>36+</v>
      </c>
      <c r="S439" t="str">
        <f t="shared" si="25"/>
        <v>January</v>
      </c>
      <c r="T439" s="2" t="str">
        <f t="shared" si="26"/>
        <v>Q1</v>
      </c>
      <c r="U439" s="2">
        <f t="shared" si="27"/>
        <v>2025</v>
      </c>
    </row>
    <row r="440" spans="1:21" x14ac:dyDescent="0.3">
      <c r="A440" t="s">
        <v>3794</v>
      </c>
      <c r="B440" t="s">
        <v>5386</v>
      </c>
      <c r="C440" t="s">
        <v>5387</v>
      </c>
      <c r="D440" t="s">
        <v>4372</v>
      </c>
      <c r="E440">
        <v>26</v>
      </c>
      <c r="F440" t="s">
        <v>5388</v>
      </c>
      <c r="G440">
        <v>9218697579</v>
      </c>
      <c r="H440" t="s">
        <v>4491</v>
      </c>
      <c r="I440" t="s">
        <v>4491</v>
      </c>
      <c r="J440" t="s">
        <v>4432</v>
      </c>
      <c r="K440">
        <v>1.4</v>
      </c>
      <c r="L440">
        <v>10.7</v>
      </c>
      <c r="M440">
        <v>14.2</v>
      </c>
      <c r="N440" t="s">
        <v>4368</v>
      </c>
      <c r="O440" t="s">
        <v>4391</v>
      </c>
      <c r="P440" s="1">
        <v>45949</v>
      </c>
      <c r="Q440" t="str">
        <f t="shared" si="24"/>
        <v>10+ Years</v>
      </c>
      <c r="R440" t="str">
        <f>IF(Table7[[#This Row],[Age]]&lt;=25,"20-25",IF(Table7[[#This Row],[Age]]&lt;=30,"26-30",IF(Table7[[#This Row],[Age]]&lt;=35,"31-35","36+")))</f>
        <v>26-30</v>
      </c>
      <c r="S440" t="str">
        <f t="shared" si="25"/>
        <v>October</v>
      </c>
      <c r="T440" s="2" t="str">
        <f t="shared" si="26"/>
        <v>Q4</v>
      </c>
      <c r="U440" s="2">
        <f t="shared" si="27"/>
        <v>2025</v>
      </c>
    </row>
    <row r="441" spans="1:21" x14ac:dyDescent="0.3">
      <c r="A441" t="s">
        <v>3743</v>
      </c>
      <c r="B441" t="s">
        <v>4457</v>
      </c>
      <c r="C441" t="s">
        <v>5389</v>
      </c>
      <c r="D441" t="s">
        <v>4372</v>
      </c>
      <c r="E441">
        <v>30</v>
      </c>
      <c r="F441" t="s">
        <v>5390</v>
      </c>
      <c r="G441">
        <v>9951980027</v>
      </c>
      <c r="H441" t="s">
        <v>4506</v>
      </c>
      <c r="I441" t="s">
        <v>4507</v>
      </c>
      <c r="K441">
        <v>3.7</v>
      </c>
      <c r="L441">
        <v>11.6</v>
      </c>
      <c r="M441">
        <v>16.2</v>
      </c>
      <c r="N441" t="s">
        <v>4377</v>
      </c>
      <c r="O441" t="s">
        <v>4383</v>
      </c>
      <c r="P441" s="1">
        <v>45673</v>
      </c>
      <c r="Q441" t="str">
        <f t="shared" si="24"/>
        <v>10+ Years</v>
      </c>
      <c r="R441" t="str">
        <f>IF(Table7[[#This Row],[Age]]&lt;=25,"20-25",IF(Table7[[#This Row],[Age]]&lt;=30,"26-30",IF(Table7[[#This Row],[Age]]&lt;=35,"31-35","36+")))</f>
        <v>26-30</v>
      </c>
      <c r="S441" t="str">
        <f t="shared" si="25"/>
        <v>January</v>
      </c>
      <c r="T441" s="2" t="str">
        <f t="shared" si="26"/>
        <v>Q1</v>
      </c>
      <c r="U441" s="2">
        <f t="shared" si="27"/>
        <v>2025</v>
      </c>
    </row>
    <row r="442" spans="1:21" x14ac:dyDescent="0.3">
      <c r="A442" t="s">
        <v>1739</v>
      </c>
      <c r="B442" t="s">
        <v>4959</v>
      </c>
      <c r="C442" t="s">
        <v>5270</v>
      </c>
      <c r="D442" t="s">
        <v>4372</v>
      </c>
      <c r="E442">
        <v>30</v>
      </c>
      <c r="F442" t="s">
        <v>5391</v>
      </c>
      <c r="G442">
        <v>9130464724</v>
      </c>
      <c r="H442" t="s">
        <v>4473</v>
      </c>
      <c r="I442" t="s">
        <v>4473</v>
      </c>
      <c r="J442" t="s">
        <v>4415</v>
      </c>
      <c r="K442">
        <v>1.6</v>
      </c>
      <c r="L442">
        <v>4.5999999999999996</v>
      </c>
      <c r="M442">
        <v>5.8</v>
      </c>
      <c r="N442" t="s">
        <v>4406</v>
      </c>
      <c r="O442" t="s">
        <v>4383</v>
      </c>
      <c r="P442" s="1">
        <v>45703</v>
      </c>
      <c r="Q442" t="str">
        <f t="shared" si="24"/>
        <v>10+ Years</v>
      </c>
      <c r="R442" t="str">
        <f>IF(Table7[[#This Row],[Age]]&lt;=25,"20-25",IF(Table7[[#This Row],[Age]]&lt;=30,"26-30",IF(Table7[[#This Row],[Age]]&lt;=35,"31-35","36+")))</f>
        <v>26-30</v>
      </c>
      <c r="S442" t="str">
        <f t="shared" si="25"/>
        <v>February</v>
      </c>
      <c r="T442" s="2" t="str">
        <f t="shared" si="26"/>
        <v>Q1</v>
      </c>
      <c r="U442" s="2">
        <f t="shared" si="27"/>
        <v>2025</v>
      </c>
    </row>
    <row r="443" spans="1:21" x14ac:dyDescent="0.3">
      <c r="A443" t="s">
        <v>3811</v>
      </c>
      <c r="B443" t="s">
        <v>5392</v>
      </c>
      <c r="C443" t="s">
        <v>4737</v>
      </c>
      <c r="D443" t="s">
        <v>4363</v>
      </c>
      <c r="E443">
        <v>45</v>
      </c>
      <c r="F443" t="s">
        <v>5393</v>
      </c>
      <c r="G443">
        <v>9519088397</v>
      </c>
      <c r="H443" t="s">
        <v>4374</v>
      </c>
      <c r="I443" t="s">
        <v>4375</v>
      </c>
      <c r="J443" t="s">
        <v>4618</v>
      </c>
      <c r="K443">
        <v>3.3</v>
      </c>
      <c r="L443">
        <v>12.8</v>
      </c>
      <c r="M443">
        <v>16.100000000000001</v>
      </c>
      <c r="N443" t="s">
        <v>4390</v>
      </c>
      <c r="O443" t="s">
        <v>4485</v>
      </c>
      <c r="P443" s="1">
        <v>45686</v>
      </c>
      <c r="Q443" t="str">
        <f t="shared" si="24"/>
        <v>10+ Years</v>
      </c>
      <c r="R443" t="str">
        <f>IF(Table7[[#This Row],[Age]]&lt;=25,"20-25",IF(Table7[[#This Row],[Age]]&lt;=30,"26-30",IF(Table7[[#This Row],[Age]]&lt;=35,"31-35","36+")))</f>
        <v>36+</v>
      </c>
      <c r="S443" t="str">
        <f t="shared" si="25"/>
        <v>January</v>
      </c>
      <c r="T443" s="2" t="str">
        <f t="shared" si="26"/>
        <v>Q1</v>
      </c>
      <c r="U443" s="2">
        <f t="shared" si="27"/>
        <v>2025</v>
      </c>
    </row>
    <row r="444" spans="1:21" x14ac:dyDescent="0.3">
      <c r="A444" t="s">
        <v>2849</v>
      </c>
      <c r="B444" t="s">
        <v>5394</v>
      </c>
      <c r="C444" t="s">
        <v>5395</v>
      </c>
      <c r="D444" t="s">
        <v>4363</v>
      </c>
      <c r="E444">
        <v>33</v>
      </c>
      <c r="F444" t="s">
        <v>5396</v>
      </c>
      <c r="G444">
        <v>9453717620</v>
      </c>
      <c r="H444" t="s">
        <v>4395</v>
      </c>
      <c r="I444" t="s">
        <v>4396</v>
      </c>
      <c r="J444" t="s">
        <v>4608</v>
      </c>
      <c r="K444">
        <v>0.3</v>
      </c>
      <c r="L444">
        <v>5.9</v>
      </c>
      <c r="M444">
        <v>6.7</v>
      </c>
      <c r="N444" t="s">
        <v>4390</v>
      </c>
      <c r="O444" t="s">
        <v>4369</v>
      </c>
      <c r="P444" s="1">
        <v>45890</v>
      </c>
      <c r="Q444" t="str">
        <f t="shared" si="24"/>
        <v>10+ Years</v>
      </c>
      <c r="R444" t="str">
        <f>IF(Table7[[#This Row],[Age]]&lt;=25,"20-25",IF(Table7[[#This Row],[Age]]&lt;=30,"26-30",IF(Table7[[#This Row],[Age]]&lt;=35,"31-35","36+")))</f>
        <v>31-35</v>
      </c>
      <c r="S444" t="str">
        <f t="shared" si="25"/>
        <v>August</v>
      </c>
      <c r="T444" s="2" t="str">
        <f t="shared" si="26"/>
        <v>Q3</v>
      </c>
      <c r="U444" s="2">
        <f t="shared" si="27"/>
        <v>2025</v>
      </c>
    </row>
    <row r="445" spans="1:21" x14ac:dyDescent="0.3">
      <c r="A445" t="s">
        <v>3989</v>
      </c>
      <c r="B445" t="s">
        <v>4439</v>
      </c>
      <c r="C445" t="s">
        <v>5270</v>
      </c>
      <c r="D445" t="s">
        <v>4363</v>
      </c>
      <c r="E445">
        <v>28</v>
      </c>
      <c r="F445" t="s">
        <v>5397</v>
      </c>
      <c r="G445">
        <v>9763228687</v>
      </c>
      <c r="H445" t="s">
        <v>4491</v>
      </c>
      <c r="I445" t="s">
        <v>4491</v>
      </c>
      <c r="J445" t="s">
        <v>4367</v>
      </c>
      <c r="K445">
        <v>3.4</v>
      </c>
      <c r="L445">
        <v>11.5</v>
      </c>
      <c r="M445">
        <v>15.2</v>
      </c>
      <c r="N445" t="s">
        <v>4406</v>
      </c>
      <c r="O445" t="s">
        <v>4369</v>
      </c>
      <c r="P445" s="1">
        <v>45757</v>
      </c>
      <c r="Q445" t="str">
        <f t="shared" si="24"/>
        <v>10+ Years</v>
      </c>
      <c r="R445" t="str">
        <f>IF(Table7[[#This Row],[Age]]&lt;=25,"20-25",IF(Table7[[#This Row],[Age]]&lt;=30,"26-30",IF(Table7[[#This Row],[Age]]&lt;=35,"31-35","36+")))</f>
        <v>26-30</v>
      </c>
      <c r="S445" t="str">
        <f t="shared" si="25"/>
        <v>April</v>
      </c>
      <c r="T445" s="2" t="str">
        <f t="shared" si="26"/>
        <v>Q2</v>
      </c>
      <c r="U445" s="2">
        <f t="shared" si="27"/>
        <v>2025</v>
      </c>
    </row>
    <row r="446" spans="1:21" x14ac:dyDescent="0.3">
      <c r="A446" t="s">
        <v>3175</v>
      </c>
      <c r="B446" t="s">
        <v>5322</v>
      </c>
      <c r="C446" t="s">
        <v>4974</v>
      </c>
      <c r="D446" t="s">
        <v>4372</v>
      </c>
      <c r="E446">
        <v>21</v>
      </c>
      <c r="F446" t="s">
        <v>5398</v>
      </c>
      <c r="G446">
        <v>9117749122</v>
      </c>
      <c r="H446" t="s">
        <v>4491</v>
      </c>
      <c r="I446" t="s">
        <v>4491</v>
      </c>
      <c r="J446" t="s">
        <v>4389</v>
      </c>
      <c r="K446">
        <v>3.8</v>
      </c>
      <c r="L446">
        <v>11</v>
      </c>
      <c r="M446">
        <v>15.2</v>
      </c>
      <c r="N446" t="s">
        <v>4390</v>
      </c>
      <c r="O446" t="s">
        <v>4400</v>
      </c>
      <c r="P446" s="1">
        <v>45761</v>
      </c>
      <c r="Q446" t="str">
        <f t="shared" si="24"/>
        <v>10+ Years</v>
      </c>
      <c r="R446" t="str">
        <f>IF(Table7[[#This Row],[Age]]&lt;=25,"20-25",IF(Table7[[#This Row],[Age]]&lt;=30,"26-30",IF(Table7[[#This Row],[Age]]&lt;=35,"31-35","36+")))</f>
        <v>20-25</v>
      </c>
      <c r="S446" t="str">
        <f t="shared" si="25"/>
        <v>April</v>
      </c>
      <c r="T446" s="2" t="str">
        <f t="shared" si="26"/>
        <v>Q2</v>
      </c>
      <c r="U446" s="2">
        <f t="shared" si="27"/>
        <v>2025</v>
      </c>
    </row>
    <row r="447" spans="1:21" x14ac:dyDescent="0.3">
      <c r="A447" t="s">
        <v>44</v>
      </c>
      <c r="B447" t="s">
        <v>4959</v>
      </c>
      <c r="C447" t="s">
        <v>4362</v>
      </c>
      <c r="D447" t="s">
        <v>4363</v>
      </c>
      <c r="E447">
        <v>28</v>
      </c>
      <c r="F447" t="s">
        <v>5399</v>
      </c>
      <c r="G447">
        <v>9999785765</v>
      </c>
      <c r="H447" t="s">
        <v>4454</v>
      </c>
      <c r="I447" t="s">
        <v>4455</v>
      </c>
      <c r="J447" t="s">
        <v>4389</v>
      </c>
      <c r="K447">
        <v>2.2999999999999998</v>
      </c>
      <c r="L447">
        <v>6</v>
      </c>
      <c r="M447">
        <v>8.6</v>
      </c>
      <c r="N447" t="s">
        <v>4377</v>
      </c>
      <c r="O447" t="s">
        <v>4456</v>
      </c>
      <c r="P447" s="1">
        <v>45666</v>
      </c>
      <c r="Q447" t="str">
        <f t="shared" si="24"/>
        <v>10+ Years</v>
      </c>
      <c r="R447" t="str">
        <f>IF(Table7[[#This Row],[Age]]&lt;=25,"20-25",IF(Table7[[#This Row],[Age]]&lt;=30,"26-30",IF(Table7[[#This Row],[Age]]&lt;=35,"31-35","36+")))</f>
        <v>26-30</v>
      </c>
      <c r="S447" t="str">
        <f t="shared" si="25"/>
        <v>January</v>
      </c>
      <c r="T447" s="2" t="str">
        <f t="shared" si="26"/>
        <v>Q1</v>
      </c>
      <c r="U447" s="2">
        <f t="shared" si="27"/>
        <v>2025</v>
      </c>
    </row>
    <row r="448" spans="1:21" x14ac:dyDescent="0.3">
      <c r="A448" t="s">
        <v>1605</v>
      </c>
      <c r="B448" t="s">
        <v>5400</v>
      </c>
      <c r="C448" t="s">
        <v>5038</v>
      </c>
      <c r="D448" t="s">
        <v>4372</v>
      </c>
      <c r="E448">
        <v>27</v>
      </c>
      <c r="F448" t="s">
        <v>5401</v>
      </c>
      <c r="G448">
        <v>9548732624</v>
      </c>
      <c r="H448" t="s">
        <v>4410</v>
      </c>
      <c r="I448" t="s">
        <v>4411</v>
      </c>
      <c r="J448" t="s">
        <v>4446</v>
      </c>
      <c r="K448">
        <v>2.2999999999999998</v>
      </c>
      <c r="L448">
        <v>8.6999999999999993</v>
      </c>
      <c r="M448">
        <v>11.6</v>
      </c>
      <c r="N448" t="s">
        <v>4390</v>
      </c>
      <c r="O448" t="s">
        <v>4383</v>
      </c>
      <c r="P448" s="1">
        <v>45943</v>
      </c>
      <c r="Q448" t="str">
        <f t="shared" si="24"/>
        <v>10+ Years</v>
      </c>
      <c r="R448" t="str">
        <f>IF(Table7[[#This Row],[Age]]&lt;=25,"20-25",IF(Table7[[#This Row],[Age]]&lt;=30,"26-30",IF(Table7[[#This Row],[Age]]&lt;=35,"31-35","36+")))</f>
        <v>26-30</v>
      </c>
      <c r="S448" t="str">
        <f t="shared" si="25"/>
        <v>October</v>
      </c>
      <c r="T448" s="2" t="str">
        <f t="shared" si="26"/>
        <v>Q4</v>
      </c>
      <c r="U448" s="2">
        <f t="shared" si="27"/>
        <v>2025</v>
      </c>
    </row>
    <row r="449" spans="1:21" x14ac:dyDescent="0.3">
      <c r="A449" t="s">
        <v>2391</v>
      </c>
      <c r="B449" t="s">
        <v>4634</v>
      </c>
      <c r="C449" t="s">
        <v>4434</v>
      </c>
      <c r="D449" t="s">
        <v>4372</v>
      </c>
      <c r="E449">
        <v>32</v>
      </c>
      <c r="F449" t="s">
        <v>5402</v>
      </c>
      <c r="G449">
        <v>9707068505</v>
      </c>
      <c r="H449" t="s">
        <v>4395</v>
      </c>
      <c r="I449" t="s">
        <v>4396</v>
      </c>
      <c r="J449" t="s">
        <v>4432</v>
      </c>
      <c r="K449">
        <v>2.5</v>
      </c>
      <c r="L449">
        <v>10.7</v>
      </c>
      <c r="M449">
        <v>13.2</v>
      </c>
      <c r="N449" t="s">
        <v>4406</v>
      </c>
      <c r="O449" t="s">
        <v>4400</v>
      </c>
      <c r="P449" s="1">
        <v>46011</v>
      </c>
      <c r="Q449" t="str">
        <f t="shared" si="24"/>
        <v>10+ Years</v>
      </c>
      <c r="R449" t="str">
        <f>IF(Table7[[#This Row],[Age]]&lt;=25,"20-25",IF(Table7[[#This Row],[Age]]&lt;=30,"26-30",IF(Table7[[#This Row],[Age]]&lt;=35,"31-35","36+")))</f>
        <v>31-35</v>
      </c>
      <c r="S449" t="str">
        <f t="shared" si="25"/>
        <v>December</v>
      </c>
      <c r="T449" s="2" t="str">
        <f t="shared" si="26"/>
        <v>Q4</v>
      </c>
      <c r="U449" s="2">
        <f t="shared" si="27"/>
        <v>2025</v>
      </c>
    </row>
    <row r="450" spans="1:21" x14ac:dyDescent="0.3">
      <c r="A450" t="s">
        <v>355</v>
      </c>
      <c r="B450" t="s">
        <v>5403</v>
      </c>
      <c r="C450" t="s">
        <v>5404</v>
      </c>
      <c r="D450" t="s">
        <v>4372</v>
      </c>
      <c r="E450">
        <v>33</v>
      </c>
      <c r="F450" t="s">
        <v>5405</v>
      </c>
      <c r="G450">
        <v>9963808810</v>
      </c>
      <c r="H450" t="s">
        <v>4404</v>
      </c>
      <c r="I450" t="s">
        <v>4405</v>
      </c>
      <c r="J450" t="s">
        <v>4415</v>
      </c>
      <c r="K450">
        <v>4.3</v>
      </c>
      <c r="L450">
        <v>12.7</v>
      </c>
      <c r="M450">
        <v>14.7</v>
      </c>
      <c r="N450" t="s">
        <v>4406</v>
      </c>
      <c r="O450" t="s">
        <v>4369</v>
      </c>
      <c r="P450" s="1">
        <v>45899</v>
      </c>
      <c r="Q450" t="str">
        <f t="shared" ref="Q450:Q513" si="28">IF(P450&lt;=2,"0-2 Years",IF(P450&lt;=5,"3-5 Years",IF(P450&lt;=10,"6-10 Years","10+ Years")))</f>
        <v>10+ Years</v>
      </c>
      <c r="R450" t="str">
        <f>IF(Table7[[#This Row],[Age]]&lt;=25,"20-25",IF(Table7[[#This Row],[Age]]&lt;=30,"26-30",IF(Table7[[#This Row],[Age]]&lt;=35,"31-35","36+")))</f>
        <v>31-35</v>
      </c>
      <c r="S450" t="str">
        <f t="shared" ref="S450:S513" si="29">TEXT(P450,"mmmm")</f>
        <v>August</v>
      </c>
      <c r="T450" s="2" t="str">
        <f t="shared" ref="T450:T513" si="30">"Q"&amp;ROUNDUP(MONTH(P450)/3,0)</f>
        <v>Q3</v>
      </c>
      <c r="U450" s="2">
        <f t="shared" ref="U450:U513" si="31">YEAR(P450)</f>
        <v>2025</v>
      </c>
    </row>
    <row r="451" spans="1:21" x14ac:dyDescent="0.3">
      <c r="A451" t="s">
        <v>3358</v>
      </c>
      <c r="B451" t="s">
        <v>4648</v>
      </c>
      <c r="C451" t="s">
        <v>4668</v>
      </c>
      <c r="D451" t="s">
        <v>4372</v>
      </c>
      <c r="E451">
        <v>30</v>
      </c>
      <c r="F451" t="s">
        <v>5406</v>
      </c>
      <c r="G451">
        <v>9462535975</v>
      </c>
      <c r="H451" t="s">
        <v>4473</v>
      </c>
      <c r="I451" t="s">
        <v>4473</v>
      </c>
      <c r="J451" t="s">
        <v>4432</v>
      </c>
      <c r="K451">
        <v>10.9</v>
      </c>
      <c r="L451">
        <v>14.1</v>
      </c>
      <c r="M451">
        <v>20</v>
      </c>
      <c r="N451" t="s">
        <v>4494</v>
      </c>
      <c r="O451" t="s">
        <v>4400</v>
      </c>
      <c r="P451" s="1">
        <v>45928</v>
      </c>
      <c r="Q451" t="str">
        <f t="shared" si="28"/>
        <v>10+ Years</v>
      </c>
      <c r="R451" t="str">
        <f>IF(Table7[[#This Row],[Age]]&lt;=25,"20-25",IF(Table7[[#This Row],[Age]]&lt;=30,"26-30",IF(Table7[[#This Row],[Age]]&lt;=35,"31-35","36+")))</f>
        <v>26-30</v>
      </c>
      <c r="S451" t="str">
        <f t="shared" si="29"/>
        <v>September</v>
      </c>
      <c r="T451" s="2" t="str">
        <f t="shared" si="30"/>
        <v>Q3</v>
      </c>
      <c r="U451" s="2">
        <f t="shared" si="31"/>
        <v>2025</v>
      </c>
    </row>
    <row r="452" spans="1:21" x14ac:dyDescent="0.3">
      <c r="A452" t="s">
        <v>3306</v>
      </c>
      <c r="B452" t="s">
        <v>4615</v>
      </c>
      <c r="C452" t="s">
        <v>5038</v>
      </c>
      <c r="D452" t="s">
        <v>4363</v>
      </c>
      <c r="E452">
        <v>33</v>
      </c>
      <c r="F452" t="s">
        <v>5407</v>
      </c>
      <c r="G452">
        <v>9517585291</v>
      </c>
      <c r="H452" t="s">
        <v>4365</v>
      </c>
      <c r="I452" t="s">
        <v>4366</v>
      </c>
      <c r="J452" t="s">
        <v>4482</v>
      </c>
      <c r="K452">
        <v>3.2</v>
      </c>
      <c r="L452">
        <v>15.1</v>
      </c>
      <c r="M452">
        <v>20.2</v>
      </c>
      <c r="N452" t="s">
        <v>4494</v>
      </c>
      <c r="O452" t="s">
        <v>4369</v>
      </c>
      <c r="P452" s="1">
        <v>45800</v>
      </c>
      <c r="Q452" t="str">
        <f t="shared" si="28"/>
        <v>10+ Years</v>
      </c>
      <c r="R452" t="str">
        <f>IF(Table7[[#This Row],[Age]]&lt;=25,"20-25",IF(Table7[[#This Row],[Age]]&lt;=30,"26-30",IF(Table7[[#This Row],[Age]]&lt;=35,"31-35","36+")))</f>
        <v>31-35</v>
      </c>
      <c r="S452" t="str">
        <f t="shared" si="29"/>
        <v>May</v>
      </c>
      <c r="T452" s="2" t="str">
        <f t="shared" si="30"/>
        <v>Q2</v>
      </c>
      <c r="U452" s="2">
        <f t="shared" si="31"/>
        <v>2025</v>
      </c>
    </row>
    <row r="453" spans="1:21" x14ac:dyDescent="0.3">
      <c r="A453" t="s">
        <v>3300</v>
      </c>
      <c r="B453" t="s">
        <v>5408</v>
      </c>
      <c r="C453" t="s">
        <v>4992</v>
      </c>
      <c r="D453" t="s">
        <v>4363</v>
      </c>
      <c r="E453">
        <v>25</v>
      </c>
      <c r="F453" t="s">
        <v>5409</v>
      </c>
      <c r="G453">
        <v>9568953949</v>
      </c>
      <c r="H453" t="s">
        <v>4473</v>
      </c>
      <c r="I453" t="s">
        <v>4473</v>
      </c>
      <c r="J453" t="s">
        <v>4389</v>
      </c>
      <c r="K453">
        <v>0.2</v>
      </c>
      <c r="L453">
        <v>2.5</v>
      </c>
      <c r="M453">
        <v>3.1</v>
      </c>
      <c r="N453" t="s">
        <v>4377</v>
      </c>
      <c r="O453" t="s">
        <v>4400</v>
      </c>
      <c r="P453" s="1">
        <v>45726</v>
      </c>
      <c r="Q453" t="str">
        <f t="shared" si="28"/>
        <v>10+ Years</v>
      </c>
      <c r="R453" t="str">
        <f>IF(Table7[[#This Row],[Age]]&lt;=25,"20-25",IF(Table7[[#This Row],[Age]]&lt;=30,"26-30",IF(Table7[[#This Row],[Age]]&lt;=35,"31-35","36+")))</f>
        <v>20-25</v>
      </c>
      <c r="S453" t="str">
        <f t="shared" si="29"/>
        <v>March</v>
      </c>
      <c r="T453" s="2" t="str">
        <f t="shared" si="30"/>
        <v>Q1</v>
      </c>
      <c r="U453" s="2">
        <f t="shared" si="31"/>
        <v>2025</v>
      </c>
    </row>
    <row r="454" spans="1:21" x14ac:dyDescent="0.3">
      <c r="A454" t="s">
        <v>2798</v>
      </c>
      <c r="B454" t="s">
        <v>4498</v>
      </c>
      <c r="C454" t="s">
        <v>5410</v>
      </c>
      <c r="D454" t="s">
        <v>4372</v>
      </c>
      <c r="E454">
        <v>27</v>
      </c>
      <c r="F454" t="s">
        <v>5411</v>
      </c>
      <c r="G454">
        <v>9329811607</v>
      </c>
      <c r="H454" t="s">
        <v>4404</v>
      </c>
      <c r="I454" t="s">
        <v>4405</v>
      </c>
      <c r="J454" t="s">
        <v>4376</v>
      </c>
      <c r="K454">
        <v>0.6</v>
      </c>
      <c r="L454">
        <v>4.2</v>
      </c>
      <c r="M454">
        <v>5.2</v>
      </c>
      <c r="N454" t="s">
        <v>4406</v>
      </c>
      <c r="O454" t="s">
        <v>4400</v>
      </c>
      <c r="P454" s="1">
        <v>45702</v>
      </c>
      <c r="Q454" t="str">
        <f t="shared" si="28"/>
        <v>10+ Years</v>
      </c>
      <c r="R454" t="str">
        <f>IF(Table7[[#This Row],[Age]]&lt;=25,"20-25",IF(Table7[[#This Row],[Age]]&lt;=30,"26-30",IF(Table7[[#This Row],[Age]]&lt;=35,"31-35","36+")))</f>
        <v>26-30</v>
      </c>
      <c r="S454" t="str">
        <f t="shared" si="29"/>
        <v>February</v>
      </c>
      <c r="T454" s="2" t="str">
        <f t="shared" si="30"/>
        <v>Q1</v>
      </c>
      <c r="U454" s="2">
        <f t="shared" si="31"/>
        <v>2025</v>
      </c>
    </row>
    <row r="455" spans="1:21" x14ac:dyDescent="0.3">
      <c r="A455" t="s">
        <v>544</v>
      </c>
      <c r="B455" t="s">
        <v>5412</v>
      </c>
      <c r="C455" t="s">
        <v>4486</v>
      </c>
      <c r="D455" t="s">
        <v>4372</v>
      </c>
      <c r="E455">
        <v>34</v>
      </c>
      <c r="F455" t="s">
        <v>5413</v>
      </c>
      <c r="G455">
        <v>9318999253</v>
      </c>
      <c r="H455" t="s">
        <v>4387</v>
      </c>
      <c r="I455" t="s">
        <v>4388</v>
      </c>
      <c r="J455" t="s">
        <v>4376</v>
      </c>
      <c r="K455">
        <v>10.1</v>
      </c>
      <c r="L455">
        <v>14</v>
      </c>
      <c r="M455">
        <v>19.899999999999999</v>
      </c>
      <c r="N455" t="s">
        <v>4377</v>
      </c>
      <c r="O455" t="s">
        <v>4391</v>
      </c>
      <c r="P455" s="1">
        <v>45944</v>
      </c>
      <c r="Q455" t="str">
        <f t="shared" si="28"/>
        <v>10+ Years</v>
      </c>
      <c r="R455" t="str">
        <f>IF(Table7[[#This Row],[Age]]&lt;=25,"20-25",IF(Table7[[#This Row],[Age]]&lt;=30,"26-30",IF(Table7[[#This Row],[Age]]&lt;=35,"31-35","36+")))</f>
        <v>31-35</v>
      </c>
      <c r="S455" t="str">
        <f t="shared" si="29"/>
        <v>October</v>
      </c>
      <c r="T455" s="2" t="str">
        <f t="shared" si="30"/>
        <v>Q4</v>
      </c>
      <c r="U455" s="2">
        <f t="shared" si="31"/>
        <v>2025</v>
      </c>
    </row>
    <row r="456" spans="1:21" x14ac:dyDescent="0.3">
      <c r="A456" t="s">
        <v>3414</v>
      </c>
      <c r="B456" t="s">
        <v>4566</v>
      </c>
      <c r="C456" t="s">
        <v>5113</v>
      </c>
      <c r="D456" t="s">
        <v>4363</v>
      </c>
      <c r="E456">
        <v>21</v>
      </c>
      <c r="F456" t="s">
        <v>5414</v>
      </c>
      <c r="G456">
        <v>9925634792</v>
      </c>
      <c r="H456" t="s">
        <v>4395</v>
      </c>
      <c r="I456" t="s">
        <v>4396</v>
      </c>
      <c r="J456" t="s">
        <v>4450</v>
      </c>
      <c r="K456">
        <v>1.9</v>
      </c>
      <c r="L456">
        <v>10.5</v>
      </c>
      <c r="M456">
        <v>11.8</v>
      </c>
      <c r="N456" t="s">
        <v>4368</v>
      </c>
      <c r="O456" t="s">
        <v>4391</v>
      </c>
      <c r="P456" s="1">
        <v>45711</v>
      </c>
      <c r="Q456" t="str">
        <f t="shared" si="28"/>
        <v>10+ Years</v>
      </c>
      <c r="R456" t="str">
        <f>IF(Table7[[#This Row],[Age]]&lt;=25,"20-25",IF(Table7[[#This Row],[Age]]&lt;=30,"26-30",IF(Table7[[#This Row],[Age]]&lt;=35,"31-35","36+")))</f>
        <v>20-25</v>
      </c>
      <c r="S456" t="str">
        <f t="shared" si="29"/>
        <v>February</v>
      </c>
      <c r="T456" s="2" t="str">
        <f t="shared" si="30"/>
        <v>Q1</v>
      </c>
      <c r="U456" s="2">
        <f t="shared" si="31"/>
        <v>2025</v>
      </c>
    </row>
    <row r="457" spans="1:21" x14ac:dyDescent="0.3">
      <c r="A457" t="s">
        <v>112</v>
      </c>
      <c r="B457" t="s">
        <v>4474</v>
      </c>
      <c r="C457" t="s">
        <v>5142</v>
      </c>
      <c r="D457" t="s">
        <v>4372</v>
      </c>
      <c r="E457">
        <v>31</v>
      </c>
      <c r="F457" t="s">
        <v>5415</v>
      </c>
      <c r="G457">
        <v>9314646597</v>
      </c>
      <c r="H457" t="s">
        <v>4491</v>
      </c>
      <c r="I457" t="s">
        <v>4491</v>
      </c>
      <c r="J457" t="s">
        <v>4415</v>
      </c>
      <c r="K457">
        <v>7.5</v>
      </c>
      <c r="L457">
        <v>18.3</v>
      </c>
      <c r="M457">
        <v>24</v>
      </c>
      <c r="N457" t="s">
        <v>4390</v>
      </c>
      <c r="O457" t="s">
        <v>4456</v>
      </c>
      <c r="P457" s="1">
        <v>45883</v>
      </c>
      <c r="Q457" t="str">
        <f t="shared" si="28"/>
        <v>10+ Years</v>
      </c>
      <c r="R457" t="str">
        <f>IF(Table7[[#This Row],[Age]]&lt;=25,"20-25",IF(Table7[[#This Row],[Age]]&lt;=30,"26-30",IF(Table7[[#This Row],[Age]]&lt;=35,"31-35","36+")))</f>
        <v>31-35</v>
      </c>
      <c r="S457" t="str">
        <f t="shared" si="29"/>
        <v>August</v>
      </c>
      <c r="T457" s="2" t="str">
        <f t="shared" si="30"/>
        <v>Q3</v>
      </c>
      <c r="U457" s="2">
        <f t="shared" si="31"/>
        <v>2025</v>
      </c>
    </row>
    <row r="458" spans="1:21" x14ac:dyDescent="0.3">
      <c r="A458" t="s">
        <v>3043</v>
      </c>
      <c r="B458" t="s">
        <v>4679</v>
      </c>
      <c r="C458" t="s">
        <v>5416</v>
      </c>
      <c r="D458" t="s">
        <v>4363</v>
      </c>
      <c r="E458">
        <v>30</v>
      </c>
      <c r="F458" t="s">
        <v>5417</v>
      </c>
      <c r="G458">
        <v>9877901820</v>
      </c>
      <c r="H458" t="s">
        <v>4404</v>
      </c>
      <c r="I458" t="s">
        <v>4405</v>
      </c>
      <c r="J458" t="s">
        <v>4367</v>
      </c>
      <c r="K458">
        <v>1.1000000000000001</v>
      </c>
      <c r="L458">
        <v>9.9</v>
      </c>
      <c r="M458">
        <v>12.6</v>
      </c>
      <c r="N458" t="s">
        <v>4390</v>
      </c>
      <c r="O458" t="s">
        <v>4456</v>
      </c>
      <c r="P458" s="1">
        <v>45780</v>
      </c>
      <c r="Q458" t="str">
        <f t="shared" si="28"/>
        <v>10+ Years</v>
      </c>
      <c r="R458" t="str">
        <f>IF(Table7[[#This Row],[Age]]&lt;=25,"20-25",IF(Table7[[#This Row],[Age]]&lt;=30,"26-30",IF(Table7[[#This Row],[Age]]&lt;=35,"31-35","36+")))</f>
        <v>26-30</v>
      </c>
      <c r="S458" t="str">
        <f t="shared" si="29"/>
        <v>May</v>
      </c>
      <c r="T458" s="2" t="str">
        <f t="shared" si="30"/>
        <v>Q2</v>
      </c>
      <c r="U458" s="2">
        <f t="shared" si="31"/>
        <v>2025</v>
      </c>
    </row>
    <row r="459" spans="1:21" x14ac:dyDescent="0.3">
      <c r="A459" t="s">
        <v>2169</v>
      </c>
      <c r="B459" t="s">
        <v>4573</v>
      </c>
      <c r="C459" t="s">
        <v>4519</v>
      </c>
      <c r="D459" t="s">
        <v>4363</v>
      </c>
      <c r="E459">
        <v>31</v>
      </c>
      <c r="F459" t="s">
        <v>5418</v>
      </c>
      <c r="G459">
        <v>9843063869</v>
      </c>
      <c r="H459" t="s">
        <v>4387</v>
      </c>
      <c r="I459" t="s">
        <v>4388</v>
      </c>
      <c r="J459" t="s">
        <v>4415</v>
      </c>
      <c r="K459">
        <v>8</v>
      </c>
      <c r="L459">
        <v>12.5</v>
      </c>
      <c r="M459">
        <v>14.6</v>
      </c>
      <c r="N459" t="s">
        <v>4377</v>
      </c>
      <c r="O459" t="s">
        <v>4383</v>
      </c>
      <c r="P459" s="1">
        <v>45690</v>
      </c>
      <c r="Q459" t="str">
        <f t="shared" si="28"/>
        <v>10+ Years</v>
      </c>
      <c r="R459" t="str">
        <f>IF(Table7[[#This Row],[Age]]&lt;=25,"20-25",IF(Table7[[#This Row],[Age]]&lt;=30,"26-30",IF(Table7[[#This Row],[Age]]&lt;=35,"31-35","36+")))</f>
        <v>31-35</v>
      </c>
      <c r="S459" t="str">
        <f t="shared" si="29"/>
        <v>February</v>
      </c>
      <c r="T459" s="2" t="str">
        <f t="shared" si="30"/>
        <v>Q1</v>
      </c>
      <c r="U459" s="2">
        <f t="shared" si="31"/>
        <v>2025</v>
      </c>
    </row>
    <row r="460" spans="1:21" x14ac:dyDescent="0.3">
      <c r="A460" t="s">
        <v>1087</v>
      </c>
      <c r="B460" t="s">
        <v>4566</v>
      </c>
      <c r="C460" t="s">
        <v>5419</v>
      </c>
      <c r="D460" t="s">
        <v>4363</v>
      </c>
      <c r="E460">
        <v>32</v>
      </c>
      <c r="F460" t="s">
        <v>5420</v>
      </c>
      <c r="G460">
        <v>9105261175</v>
      </c>
      <c r="H460" t="s">
        <v>4381</v>
      </c>
      <c r="I460" t="s">
        <v>4382</v>
      </c>
      <c r="J460" t="s">
        <v>4376</v>
      </c>
      <c r="K460">
        <v>6.8</v>
      </c>
      <c r="M460">
        <v>20.9</v>
      </c>
      <c r="N460" t="s">
        <v>4368</v>
      </c>
      <c r="O460" t="s">
        <v>4400</v>
      </c>
      <c r="P460" s="1">
        <v>45989</v>
      </c>
      <c r="Q460" t="str">
        <f t="shared" si="28"/>
        <v>10+ Years</v>
      </c>
      <c r="R460" t="str">
        <f>IF(Table7[[#This Row],[Age]]&lt;=25,"20-25",IF(Table7[[#This Row],[Age]]&lt;=30,"26-30",IF(Table7[[#This Row],[Age]]&lt;=35,"31-35","36+")))</f>
        <v>31-35</v>
      </c>
      <c r="S460" t="str">
        <f t="shared" si="29"/>
        <v>November</v>
      </c>
      <c r="T460" s="2" t="str">
        <f t="shared" si="30"/>
        <v>Q4</v>
      </c>
      <c r="U460" s="2">
        <f t="shared" si="31"/>
        <v>2025</v>
      </c>
    </row>
    <row r="461" spans="1:21" x14ac:dyDescent="0.3">
      <c r="A461" t="s">
        <v>2217</v>
      </c>
      <c r="B461" t="s">
        <v>5034</v>
      </c>
      <c r="C461" t="s">
        <v>5421</v>
      </c>
      <c r="D461" t="s">
        <v>4372</v>
      </c>
      <c r="E461">
        <v>41</v>
      </c>
      <c r="F461" t="s">
        <v>5422</v>
      </c>
      <c r="G461">
        <v>9314890972</v>
      </c>
      <c r="H461" t="s">
        <v>4473</v>
      </c>
      <c r="I461" t="s">
        <v>4473</v>
      </c>
      <c r="J461" t="s">
        <v>4367</v>
      </c>
      <c r="K461">
        <v>8.4</v>
      </c>
      <c r="L461">
        <v>13.6</v>
      </c>
      <c r="M461">
        <v>17.3</v>
      </c>
      <c r="N461" t="s">
        <v>4390</v>
      </c>
      <c r="O461" t="s">
        <v>4485</v>
      </c>
      <c r="P461" s="1">
        <v>45770</v>
      </c>
      <c r="Q461" t="str">
        <f t="shared" si="28"/>
        <v>10+ Years</v>
      </c>
      <c r="R461" t="str">
        <f>IF(Table7[[#This Row],[Age]]&lt;=25,"20-25",IF(Table7[[#This Row],[Age]]&lt;=30,"26-30",IF(Table7[[#This Row],[Age]]&lt;=35,"31-35","36+")))</f>
        <v>36+</v>
      </c>
      <c r="S461" t="str">
        <f t="shared" si="29"/>
        <v>April</v>
      </c>
      <c r="T461" s="2" t="str">
        <f t="shared" si="30"/>
        <v>Q2</v>
      </c>
      <c r="U461" s="2">
        <f t="shared" si="31"/>
        <v>2025</v>
      </c>
    </row>
    <row r="462" spans="1:21" x14ac:dyDescent="0.3">
      <c r="A462" t="s">
        <v>3824</v>
      </c>
      <c r="B462" t="s">
        <v>4407</v>
      </c>
      <c r="C462" t="s">
        <v>5327</v>
      </c>
      <c r="D462" t="s">
        <v>4363</v>
      </c>
      <c r="E462">
        <v>23</v>
      </c>
      <c r="F462" t="s">
        <v>5423</v>
      </c>
      <c r="G462">
        <v>9697200036</v>
      </c>
      <c r="H462" t="s">
        <v>4395</v>
      </c>
      <c r="I462" t="s">
        <v>4396</v>
      </c>
      <c r="J462" t="s">
        <v>4376</v>
      </c>
      <c r="K462">
        <v>3.3</v>
      </c>
      <c r="L462">
        <v>7.2</v>
      </c>
      <c r="M462">
        <v>9</v>
      </c>
      <c r="N462" t="s">
        <v>4406</v>
      </c>
      <c r="O462" t="s">
        <v>4391</v>
      </c>
      <c r="P462" s="1">
        <v>45903</v>
      </c>
      <c r="Q462" t="str">
        <f t="shared" si="28"/>
        <v>10+ Years</v>
      </c>
      <c r="R462" t="str">
        <f>IF(Table7[[#This Row],[Age]]&lt;=25,"20-25",IF(Table7[[#This Row],[Age]]&lt;=30,"26-30",IF(Table7[[#This Row],[Age]]&lt;=35,"31-35","36+")))</f>
        <v>20-25</v>
      </c>
      <c r="S462" t="str">
        <f t="shared" si="29"/>
        <v>September</v>
      </c>
      <c r="T462" s="2" t="str">
        <f t="shared" si="30"/>
        <v>Q3</v>
      </c>
      <c r="U462" s="2">
        <f t="shared" si="31"/>
        <v>2025</v>
      </c>
    </row>
    <row r="463" spans="1:21" x14ac:dyDescent="0.3">
      <c r="A463" t="s">
        <v>1046</v>
      </c>
      <c r="B463" t="s">
        <v>5206</v>
      </c>
      <c r="C463" t="s">
        <v>5424</v>
      </c>
      <c r="D463" t="s">
        <v>4363</v>
      </c>
      <c r="E463">
        <v>34</v>
      </c>
      <c r="F463" t="s">
        <v>5425</v>
      </c>
      <c r="G463">
        <v>9915520086</v>
      </c>
      <c r="H463" t="s">
        <v>4387</v>
      </c>
      <c r="I463" t="s">
        <v>4388</v>
      </c>
      <c r="J463" t="s">
        <v>4389</v>
      </c>
      <c r="K463">
        <v>4.5999999999999996</v>
      </c>
      <c r="L463">
        <v>8.8000000000000007</v>
      </c>
      <c r="M463">
        <v>10.4</v>
      </c>
      <c r="N463" t="s">
        <v>4377</v>
      </c>
      <c r="O463" t="s">
        <v>4369</v>
      </c>
      <c r="P463" s="1">
        <v>45920</v>
      </c>
      <c r="Q463" t="str">
        <f t="shared" si="28"/>
        <v>10+ Years</v>
      </c>
      <c r="R463" t="str">
        <f>IF(Table7[[#This Row],[Age]]&lt;=25,"20-25",IF(Table7[[#This Row],[Age]]&lt;=30,"26-30",IF(Table7[[#This Row],[Age]]&lt;=35,"31-35","36+")))</f>
        <v>31-35</v>
      </c>
      <c r="S463" t="str">
        <f t="shared" si="29"/>
        <v>September</v>
      </c>
      <c r="T463" s="2" t="str">
        <f t="shared" si="30"/>
        <v>Q3</v>
      </c>
      <c r="U463" s="2">
        <f t="shared" si="31"/>
        <v>2025</v>
      </c>
    </row>
    <row r="464" spans="1:21" x14ac:dyDescent="0.3">
      <c r="A464" t="s">
        <v>1681</v>
      </c>
      <c r="B464" t="s">
        <v>4401</v>
      </c>
      <c r="C464" t="s">
        <v>4541</v>
      </c>
      <c r="D464" t="s">
        <v>4372</v>
      </c>
      <c r="E464">
        <v>30</v>
      </c>
      <c r="F464" t="s">
        <v>5426</v>
      </c>
      <c r="G464">
        <v>9944984079</v>
      </c>
      <c r="H464" t="s">
        <v>4387</v>
      </c>
      <c r="I464" t="s">
        <v>4388</v>
      </c>
      <c r="J464" t="s">
        <v>4482</v>
      </c>
      <c r="K464">
        <v>4.5999999999999996</v>
      </c>
      <c r="L464">
        <v>10.3</v>
      </c>
      <c r="M464">
        <v>14.5</v>
      </c>
      <c r="N464" t="s">
        <v>4406</v>
      </c>
      <c r="O464" t="s">
        <v>4369</v>
      </c>
      <c r="P464" s="1">
        <v>45989</v>
      </c>
      <c r="Q464" t="str">
        <f t="shared" si="28"/>
        <v>10+ Years</v>
      </c>
      <c r="R464" t="str">
        <f>IF(Table7[[#This Row],[Age]]&lt;=25,"20-25",IF(Table7[[#This Row],[Age]]&lt;=30,"26-30",IF(Table7[[#This Row],[Age]]&lt;=35,"31-35","36+")))</f>
        <v>26-30</v>
      </c>
      <c r="S464" t="str">
        <f t="shared" si="29"/>
        <v>November</v>
      </c>
      <c r="T464" s="2" t="str">
        <f t="shared" si="30"/>
        <v>Q4</v>
      </c>
      <c r="U464" s="2">
        <f t="shared" si="31"/>
        <v>2025</v>
      </c>
    </row>
    <row r="465" spans="1:21" x14ac:dyDescent="0.3">
      <c r="A465" t="s">
        <v>114</v>
      </c>
      <c r="B465" t="s">
        <v>5427</v>
      </c>
      <c r="C465" t="s">
        <v>4908</v>
      </c>
      <c r="D465" t="s">
        <v>4363</v>
      </c>
      <c r="E465">
        <v>32</v>
      </c>
      <c r="F465" t="s">
        <v>5428</v>
      </c>
      <c r="G465">
        <v>9703038961</v>
      </c>
      <c r="H465" t="s">
        <v>4521</v>
      </c>
      <c r="I465" t="s">
        <v>4522</v>
      </c>
      <c r="J465" t="s">
        <v>4376</v>
      </c>
      <c r="K465">
        <v>0.1</v>
      </c>
      <c r="L465">
        <v>5.3</v>
      </c>
      <c r="M465">
        <v>7.3</v>
      </c>
      <c r="N465" t="s">
        <v>4390</v>
      </c>
      <c r="O465" t="s">
        <v>4456</v>
      </c>
      <c r="P465" s="1">
        <v>45996</v>
      </c>
      <c r="Q465" t="str">
        <f t="shared" si="28"/>
        <v>10+ Years</v>
      </c>
      <c r="R465" t="str">
        <f>IF(Table7[[#This Row],[Age]]&lt;=25,"20-25",IF(Table7[[#This Row],[Age]]&lt;=30,"26-30",IF(Table7[[#This Row],[Age]]&lt;=35,"31-35","36+")))</f>
        <v>31-35</v>
      </c>
      <c r="S465" t="str">
        <f t="shared" si="29"/>
        <v>December</v>
      </c>
      <c r="T465" s="2" t="str">
        <f t="shared" si="30"/>
        <v>Q4</v>
      </c>
      <c r="U465" s="2">
        <f t="shared" si="31"/>
        <v>2025</v>
      </c>
    </row>
    <row r="466" spans="1:21" x14ac:dyDescent="0.3">
      <c r="A466" t="s">
        <v>3510</v>
      </c>
      <c r="B466" t="s">
        <v>4573</v>
      </c>
      <c r="C466" t="s">
        <v>5429</v>
      </c>
      <c r="D466" t="s">
        <v>4363</v>
      </c>
      <c r="E466">
        <v>21</v>
      </c>
      <c r="F466" t="s">
        <v>5430</v>
      </c>
      <c r="G466">
        <v>9590787560</v>
      </c>
      <c r="H466" t="s">
        <v>4381</v>
      </c>
      <c r="I466" t="s">
        <v>4382</v>
      </c>
      <c r="J466" t="s">
        <v>4389</v>
      </c>
      <c r="K466">
        <v>1.3</v>
      </c>
      <c r="L466">
        <v>7.6</v>
      </c>
      <c r="M466">
        <v>9.9</v>
      </c>
      <c r="N466" t="s">
        <v>4368</v>
      </c>
      <c r="O466" t="s">
        <v>4369</v>
      </c>
      <c r="P466" s="1">
        <v>45917</v>
      </c>
      <c r="Q466" t="str">
        <f t="shared" si="28"/>
        <v>10+ Years</v>
      </c>
      <c r="R466" t="str">
        <f>IF(Table7[[#This Row],[Age]]&lt;=25,"20-25",IF(Table7[[#This Row],[Age]]&lt;=30,"26-30",IF(Table7[[#This Row],[Age]]&lt;=35,"31-35","36+")))</f>
        <v>20-25</v>
      </c>
      <c r="S466" t="str">
        <f t="shared" si="29"/>
        <v>September</v>
      </c>
      <c r="T466" s="2" t="str">
        <f t="shared" si="30"/>
        <v>Q3</v>
      </c>
      <c r="U466" s="2">
        <f t="shared" si="31"/>
        <v>2025</v>
      </c>
    </row>
    <row r="467" spans="1:21" x14ac:dyDescent="0.3">
      <c r="A467" t="s">
        <v>149</v>
      </c>
      <c r="B467" t="s">
        <v>5431</v>
      </c>
      <c r="C467" t="s">
        <v>5359</v>
      </c>
      <c r="D467" t="s">
        <v>4363</v>
      </c>
      <c r="E467">
        <v>33</v>
      </c>
      <c r="F467" t="s">
        <v>5432</v>
      </c>
      <c r="G467">
        <v>9324152401</v>
      </c>
      <c r="H467" t="s">
        <v>4445</v>
      </c>
      <c r="I467" t="s">
        <v>4396</v>
      </c>
      <c r="J467" t="s">
        <v>4389</v>
      </c>
      <c r="K467">
        <v>5</v>
      </c>
      <c r="L467">
        <v>5.7</v>
      </c>
      <c r="M467">
        <v>7.8</v>
      </c>
      <c r="N467" t="s">
        <v>4390</v>
      </c>
      <c r="O467" t="s">
        <v>4419</v>
      </c>
      <c r="P467" s="1">
        <v>45971</v>
      </c>
      <c r="Q467" t="str">
        <f t="shared" si="28"/>
        <v>10+ Years</v>
      </c>
      <c r="R467" t="str">
        <f>IF(Table7[[#This Row],[Age]]&lt;=25,"20-25",IF(Table7[[#This Row],[Age]]&lt;=30,"26-30",IF(Table7[[#This Row],[Age]]&lt;=35,"31-35","36+")))</f>
        <v>31-35</v>
      </c>
      <c r="S467" t="str">
        <f t="shared" si="29"/>
        <v>November</v>
      </c>
      <c r="T467" s="2" t="str">
        <f t="shared" si="30"/>
        <v>Q4</v>
      </c>
      <c r="U467" s="2">
        <f t="shared" si="31"/>
        <v>2025</v>
      </c>
    </row>
    <row r="468" spans="1:21" x14ac:dyDescent="0.3">
      <c r="A468" t="s">
        <v>2411</v>
      </c>
      <c r="B468" t="s">
        <v>4583</v>
      </c>
      <c r="C468" t="s">
        <v>5433</v>
      </c>
      <c r="D468" t="s">
        <v>4363</v>
      </c>
      <c r="E468">
        <v>26</v>
      </c>
      <c r="F468" t="s">
        <v>5434</v>
      </c>
      <c r="G468">
        <v>9657991052</v>
      </c>
      <c r="H468" t="s">
        <v>4476</v>
      </c>
      <c r="I468" t="s">
        <v>4477</v>
      </c>
      <c r="J468" t="s">
        <v>4389</v>
      </c>
      <c r="K468">
        <v>5.9</v>
      </c>
      <c r="L468">
        <v>10.5</v>
      </c>
      <c r="M468">
        <v>12.1</v>
      </c>
      <c r="N468" t="s">
        <v>4368</v>
      </c>
      <c r="O468" t="s">
        <v>4485</v>
      </c>
      <c r="P468" s="1">
        <v>45709</v>
      </c>
      <c r="Q468" t="str">
        <f t="shared" si="28"/>
        <v>10+ Years</v>
      </c>
      <c r="R468" t="str">
        <f>IF(Table7[[#This Row],[Age]]&lt;=25,"20-25",IF(Table7[[#This Row],[Age]]&lt;=30,"26-30",IF(Table7[[#This Row],[Age]]&lt;=35,"31-35","36+")))</f>
        <v>26-30</v>
      </c>
      <c r="S468" t="str">
        <f t="shared" si="29"/>
        <v>February</v>
      </c>
      <c r="T468" s="2" t="str">
        <f t="shared" si="30"/>
        <v>Q1</v>
      </c>
      <c r="U468" s="2">
        <f t="shared" si="31"/>
        <v>2025</v>
      </c>
    </row>
    <row r="469" spans="1:21" x14ac:dyDescent="0.3">
      <c r="A469" t="s">
        <v>175</v>
      </c>
      <c r="B469" t="s">
        <v>5376</v>
      </c>
      <c r="C469" t="s">
        <v>5435</v>
      </c>
      <c r="D469" t="s">
        <v>4372</v>
      </c>
      <c r="E469">
        <v>22</v>
      </c>
      <c r="F469" t="s">
        <v>5436</v>
      </c>
      <c r="G469">
        <v>9425046409</v>
      </c>
      <c r="H469" t="s">
        <v>4454</v>
      </c>
      <c r="I469" t="s">
        <v>4455</v>
      </c>
      <c r="J469" t="s">
        <v>4389</v>
      </c>
      <c r="K469">
        <v>7.4</v>
      </c>
      <c r="L469">
        <v>19.3</v>
      </c>
      <c r="M469">
        <v>22.6</v>
      </c>
      <c r="N469" t="s">
        <v>4390</v>
      </c>
      <c r="O469" t="s">
        <v>4419</v>
      </c>
      <c r="P469" s="1">
        <v>45756</v>
      </c>
      <c r="Q469" t="str">
        <f t="shared" si="28"/>
        <v>10+ Years</v>
      </c>
      <c r="R469" t="str">
        <f>IF(Table7[[#This Row],[Age]]&lt;=25,"20-25",IF(Table7[[#This Row],[Age]]&lt;=30,"26-30",IF(Table7[[#This Row],[Age]]&lt;=35,"31-35","36+")))</f>
        <v>20-25</v>
      </c>
      <c r="S469" t="str">
        <f t="shared" si="29"/>
        <v>April</v>
      </c>
      <c r="T469" s="2" t="str">
        <f t="shared" si="30"/>
        <v>Q2</v>
      </c>
      <c r="U469" s="2">
        <f t="shared" si="31"/>
        <v>2025</v>
      </c>
    </row>
    <row r="470" spans="1:21" x14ac:dyDescent="0.3">
      <c r="A470" t="s">
        <v>1251</v>
      </c>
      <c r="B470" t="s">
        <v>5437</v>
      </c>
      <c r="C470" t="s">
        <v>5438</v>
      </c>
      <c r="D470" t="s">
        <v>4372</v>
      </c>
      <c r="E470">
        <v>31</v>
      </c>
      <c r="F470" t="s">
        <v>5439</v>
      </c>
      <c r="G470">
        <v>9146761734</v>
      </c>
      <c r="H470" t="s">
        <v>4445</v>
      </c>
      <c r="I470" t="s">
        <v>4396</v>
      </c>
      <c r="J470" t="s">
        <v>4389</v>
      </c>
      <c r="K470">
        <v>1.5</v>
      </c>
      <c r="L470">
        <v>5.8</v>
      </c>
      <c r="M470">
        <v>8</v>
      </c>
      <c r="N470" t="s">
        <v>4368</v>
      </c>
      <c r="O470" t="s">
        <v>4391</v>
      </c>
      <c r="P470" s="1">
        <v>45866</v>
      </c>
      <c r="Q470" t="str">
        <f t="shared" si="28"/>
        <v>10+ Years</v>
      </c>
      <c r="R470" t="str">
        <f>IF(Table7[[#This Row],[Age]]&lt;=25,"20-25",IF(Table7[[#This Row],[Age]]&lt;=30,"26-30",IF(Table7[[#This Row],[Age]]&lt;=35,"31-35","36+")))</f>
        <v>31-35</v>
      </c>
      <c r="S470" t="str">
        <f t="shared" si="29"/>
        <v>July</v>
      </c>
      <c r="T470" s="2" t="str">
        <f t="shared" si="30"/>
        <v>Q3</v>
      </c>
      <c r="U470" s="2">
        <f t="shared" si="31"/>
        <v>2025</v>
      </c>
    </row>
    <row r="471" spans="1:21" x14ac:dyDescent="0.3">
      <c r="A471" t="s">
        <v>269</v>
      </c>
      <c r="B471" t="s">
        <v>4407</v>
      </c>
      <c r="C471" t="s">
        <v>5440</v>
      </c>
      <c r="D471" t="s">
        <v>4363</v>
      </c>
      <c r="E471">
        <v>25</v>
      </c>
      <c r="F471" t="s">
        <v>5441</v>
      </c>
      <c r="G471">
        <v>9796404601</v>
      </c>
      <c r="H471" t="s">
        <v>4365</v>
      </c>
      <c r="I471" t="s">
        <v>4366</v>
      </c>
      <c r="J471" t="s">
        <v>4450</v>
      </c>
      <c r="K471">
        <v>5.3</v>
      </c>
      <c r="L471">
        <v>12.7</v>
      </c>
      <c r="M471">
        <v>17.3</v>
      </c>
      <c r="N471" t="s">
        <v>4377</v>
      </c>
      <c r="O471" t="s">
        <v>4485</v>
      </c>
      <c r="P471" s="1">
        <v>45688</v>
      </c>
      <c r="Q471" t="str">
        <f t="shared" si="28"/>
        <v>10+ Years</v>
      </c>
      <c r="R471" t="str">
        <f>IF(Table7[[#This Row],[Age]]&lt;=25,"20-25",IF(Table7[[#This Row],[Age]]&lt;=30,"26-30",IF(Table7[[#This Row],[Age]]&lt;=35,"31-35","36+")))</f>
        <v>20-25</v>
      </c>
      <c r="S471" t="str">
        <f t="shared" si="29"/>
        <v>January</v>
      </c>
      <c r="T471" s="2" t="str">
        <f t="shared" si="30"/>
        <v>Q1</v>
      </c>
      <c r="U471" s="2">
        <f t="shared" si="31"/>
        <v>2025</v>
      </c>
    </row>
    <row r="472" spans="1:21" x14ac:dyDescent="0.3">
      <c r="A472" t="s">
        <v>3391</v>
      </c>
      <c r="B472" t="s">
        <v>5079</v>
      </c>
      <c r="C472" t="s">
        <v>4693</v>
      </c>
      <c r="D472" t="s">
        <v>4363</v>
      </c>
      <c r="E472">
        <v>34</v>
      </c>
      <c r="F472" t="s">
        <v>5442</v>
      </c>
      <c r="G472">
        <v>9819539094</v>
      </c>
      <c r="H472" t="s">
        <v>4395</v>
      </c>
      <c r="I472" t="s">
        <v>4396</v>
      </c>
      <c r="J472" t="s">
        <v>4367</v>
      </c>
      <c r="K472">
        <v>9</v>
      </c>
      <c r="L472">
        <v>13.4</v>
      </c>
      <c r="M472">
        <v>19</v>
      </c>
      <c r="N472" t="s">
        <v>4377</v>
      </c>
      <c r="O472" t="s">
        <v>4369</v>
      </c>
      <c r="P472" s="1">
        <v>45974</v>
      </c>
      <c r="Q472" t="str">
        <f t="shared" si="28"/>
        <v>10+ Years</v>
      </c>
      <c r="R472" t="str">
        <f>IF(Table7[[#This Row],[Age]]&lt;=25,"20-25",IF(Table7[[#This Row],[Age]]&lt;=30,"26-30",IF(Table7[[#This Row],[Age]]&lt;=35,"31-35","36+")))</f>
        <v>31-35</v>
      </c>
      <c r="S472" t="str">
        <f t="shared" si="29"/>
        <v>November</v>
      </c>
      <c r="T472" s="2" t="str">
        <f t="shared" si="30"/>
        <v>Q4</v>
      </c>
      <c r="U472" s="2">
        <f t="shared" si="31"/>
        <v>2025</v>
      </c>
    </row>
    <row r="473" spans="1:21" x14ac:dyDescent="0.3">
      <c r="A473" t="s">
        <v>1395</v>
      </c>
      <c r="B473" t="s">
        <v>4967</v>
      </c>
      <c r="C473" t="s">
        <v>5443</v>
      </c>
      <c r="D473" t="s">
        <v>4363</v>
      </c>
      <c r="E473">
        <v>29</v>
      </c>
      <c r="F473" t="s">
        <v>5444</v>
      </c>
      <c r="G473">
        <v>9374300821</v>
      </c>
      <c r="H473" t="s">
        <v>4404</v>
      </c>
      <c r="I473" t="s">
        <v>4405</v>
      </c>
      <c r="J473" t="s">
        <v>4367</v>
      </c>
      <c r="K473">
        <v>1.8</v>
      </c>
      <c r="L473">
        <v>9.1</v>
      </c>
      <c r="M473">
        <v>12.6</v>
      </c>
      <c r="N473" t="s">
        <v>4377</v>
      </c>
      <c r="O473" t="s">
        <v>4369</v>
      </c>
      <c r="P473" s="1">
        <v>45853</v>
      </c>
      <c r="Q473" t="str">
        <f t="shared" si="28"/>
        <v>10+ Years</v>
      </c>
      <c r="R473" t="str">
        <f>IF(Table7[[#This Row],[Age]]&lt;=25,"20-25",IF(Table7[[#This Row],[Age]]&lt;=30,"26-30",IF(Table7[[#This Row],[Age]]&lt;=35,"31-35","36+")))</f>
        <v>26-30</v>
      </c>
      <c r="S473" t="str">
        <f t="shared" si="29"/>
        <v>July</v>
      </c>
      <c r="T473" s="2" t="str">
        <f t="shared" si="30"/>
        <v>Q3</v>
      </c>
      <c r="U473" s="2">
        <f t="shared" si="31"/>
        <v>2025</v>
      </c>
    </row>
    <row r="474" spans="1:21" x14ac:dyDescent="0.3">
      <c r="A474" t="s">
        <v>2605</v>
      </c>
      <c r="B474" t="s">
        <v>5445</v>
      </c>
      <c r="C474" t="s">
        <v>4362</v>
      </c>
      <c r="D474" t="s">
        <v>4372</v>
      </c>
      <c r="E474">
        <v>23</v>
      </c>
      <c r="F474" t="s">
        <v>5446</v>
      </c>
      <c r="G474">
        <v>9274950025</v>
      </c>
      <c r="H474" t="s">
        <v>4395</v>
      </c>
      <c r="I474" t="s">
        <v>4396</v>
      </c>
      <c r="J474" t="s">
        <v>4376</v>
      </c>
      <c r="K474">
        <v>1.5</v>
      </c>
      <c r="L474">
        <v>4.5999999999999996</v>
      </c>
      <c r="M474">
        <v>5.9</v>
      </c>
      <c r="N474" t="s">
        <v>4390</v>
      </c>
      <c r="O474" t="s">
        <v>4400</v>
      </c>
      <c r="P474" s="1">
        <v>45824</v>
      </c>
      <c r="Q474" t="str">
        <f t="shared" si="28"/>
        <v>10+ Years</v>
      </c>
      <c r="R474" t="str">
        <f>IF(Table7[[#This Row],[Age]]&lt;=25,"20-25",IF(Table7[[#This Row],[Age]]&lt;=30,"26-30",IF(Table7[[#This Row],[Age]]&lt;=35,"31-35","36+")))</f>
        <v>20-25</v>
      </c>
      <c r="S474" t="str">
        <f t="shared" si="29"/>
        <v>June</v>
      </c>
      <c r="T474" s="2" t="str">
        <f t="shared" si="30"/>
        <v>Q2</v>
      </c>
      <c r="U474" s="2">
        <f t="shared" si="31"/>
        <v>2025</v>
      </c>
    </row>
    <row r="475" spans="1:21" x14ac:dyDescent="0.3">
      <c r="A475" t="s">
        <v>2614</v>
      </c>
      <c r="B475" t="s">
        <v>5447</v>
      </c>
      <c r="C475" t="s">
        <v>5448</v>
      </c>
      <c r="D475" t="s">
        <v>4372</v>
      </c>
      <c r="E475">
        <v>35</v>
      </c>
      <c r="F475" t="s">
        <v>5449</v>
      </c>
      <c r="G475">
        <v>9114130724</v>
      </c>
      <c r="H475" t="s">
        <v>4381</v>
      </c>
      <c r="I475" t="s">
        <v>4382</v>
      </c>
      <c r="J475" t="s">
        <v>4376</v>
      </c>
      <c r="K475">
        <v>0</v>
      </c>
      <c r="L475">
        <v>4.7</v>
      </c>
      <c r="M475">
        <v>5.8</v>
      </c>
      <c r="N475" t="s">
        <v>4390</v>
      </c>
      <c r="O475" t="s">
        <v>4391</v>
      </c>
      <c r="P475" s="1">
        <v>45826</v>
      </c>
      <c r="Q475" t="str">
        <f t="shared" si="28"/>
        <v>10+ Years</v>
      </c>
      <c r="R475" t="str">
        <f>IF(Table7[[#This Row],[Age]]&lt;=25,"20-25",IF(Table7[[#This Row],[Age]]&lt;=30,"26-30",IF(Table7[[#This Row],[Age]]&lt;=35,"31-35","36+")))</f>
        <v>31-35</v>
      </c>
      <c r="S475" t="str">
        <f t="shared" si="29"/>
        <v>June</v>
      </c>
      <c r="T475" s="2" t="str">
        <f t="shared" si="30"/>
        <v>Q2</v>
      </c>
      <c r="U475" s="2">
        <f t="shared" si="31"/>
        <v>2025</v>
      </c>
    </row>
    <row r="476" spans="1:21" x14ac:dyDescent="0.3">
      <c r="A476" t="s">
        <v>2687</v>
      </c>
      <c r="B476" t="s">
        <v>5450</v>
      </c>
      <c r="C476" t="s">
        <v>5290</v>
      </c>
      <c r="D476" t="s">
        <v>4372</v>
      </c>
      <c r="E476">
        <v>28</v>
      </c>
      <c r="F476" t="s">
        <v>5451</v>
      </c>
      <c r="G476">
        <v>9932109521</v>
      </c>
      <c r="H476" t="s">
        <v>4365</v>
      </c>
      <c r="I476" t="s">
        <v>4366</v>
      </c>
      <c r="J476" t="s">
        <v>4450</v>
      </c>
      <c r="K476">
        <v>9.8000000000000007</v>
      </c>
      <c r="L476">
        <v>19.3</v>
      </c>
      <c r="M476">
        <v>26.7</v>
      </c>
      <c r="N476" t="s">
        <v>4390</v>
      </c>
      <c r="O476" t="s">
        <v>4369</v>
      </c>
      <c r="P476" s="1">
        <v>45818</v>
      </c>
      <c r="Q476" t="str">
        <f t="shared" si="28"/>
        <v>10+ Years</v>
      </c>
      <c r="R476" t="str">
        <f>IF(Table7[[#This Row],[Age]]&lt;=25,"20-25",IF(Table7[[#This Row],[Age]]&lt;=30,"26-30",IF(Table7[[#This Row],[Age]]&lt;=35,"31-35","36+")))</f>
        <v>26-30</v>
      </c>
      <c r="S476" t="str">
        <f t="shared" si="29"/>
        <v>June</v>
      </c>
      <c r="T476" s="2" t="str">
        <f t="shared" si="30"/>
        <v>Q2</v>
      </c>
      <c r="U476" s="2">
        <f t="shared" si="31"/>
        <v>2025</v>
      </c>
    </row>
    <row r="477" spans="1:21" x14ac:dyDescent="0.3">
      <c r="A477" t="s">
        <v>3572</v>
      </c>
      <c r="B477" t="s">
        <v>4503</v>
      </c>
      <c r="C477" t="s">
        <v>5452</v>
      </c>
      <c r="D477" t="s">
        <v>4372</v>
      </c>
      <c r="E477">
        <v>42</v>
      </c>
      <c r="F477" t="s">
        <v>5453</v>
      </c>
      <c r="G477">
        <v>9494198132</v>
      </c>
      <c r="H477" t="s">
        <v>4445</v>
      </c>
      <c r="I477" t="s">
        <v>4396</v>
      </c>
      <c r="J477" t="s">
        <v>4376</v>
      </c>
      <c r="K477">
        <v>2.7</v>
      </c>
      <c r="L477">
        <v>7.8</v>
      </c>
      <c r="M477">
        <v>11.2</v>
      </c>
      <c r="N477" t="s">
        <v>4368</v>
      </c>
      <c r="O477" t="s">
        <v>4383</v>
      </c>
      <c r="P477" s="1">
        <v>45990</v>
      </c>
      <c r="Q477" t="str">
        <f t="shared" si="28"/>
        <v>10+ Years</v>
      </c>
      <c r="R477" t="str">
        <f>IF(Table7[[#This Row],[Age]]&lt;=25,"20-25",IF(Table7[[#This Row],[Age]]&lt;=30,"26-30",IF(Table7[[#This Row],[Age]]&lt;=35,"31-35","36+")))</f>
        <v>36+</v>
      </c>
      <c r="S477" t="str">
        <f t="shared" si="29"/>
        <v>November</v>
      </c>
      <c r="T477" s="2" t="str">
        <f t="shared" si="30"/>
        <v>Q4</v>
      </c>
      <c r="U477" s="2">
        <f t="shared" si="31"/>
        <v>2025</v>
      </c>
    </row>
    <row r="478" spans="1:21" x14ac:dyDescent="0.3">
      <c r="A478" t="s">
        <v>307</v>
      </c>
      <c r="B478" t="s">
        <v>5412</v>
      </c>
      <c r="C478" t="s">
        <v>4996</v>
      </c>
      <c r="D478" t="s">
        <v>4363</v>
      </c>
      <c r="E478">
        <v>32</v>
      </c>
      <c r="F478" t="s">
        <v>5454</v>
      </c>
      <c r="G478">
        <v>9537553650</v>
      </c>
      <c r="H478" t="s">
        <v>4387</v>
      </c>
      <c r="I478" t="s">
        <v>4388</v>
      </c>
      <c r="J478" t="s">
        <v>4450</v>
      </c>
      <c r="K478">
        <v>7.3</v>
      </c>
      <c r="L478">
        <v>16.899999999999999</v>
      </c>
      <c r="M478">
        <v>22.8</v>
      </c>
      <c r="N478" t="s">
        <v>4494</v>
      </c>
      <c r="O478" t="s">
        <v>4369</v>
      </c>
      <c r="P478" s="1">
        <v>45766</v>
      </c>
      <c r="Q478" t="str">
        <f t="shared" si="28"/>
        <v>10+ Years</v>
      </c>
      <c r="R478" t="str">
        <f>IF(Table7[[#This Row],[Age]]&lt;=25,"20-25",IF(Table7[[#This Row],[Age]]&lt;=30,"26-30",IF(Table7[[#This Row],[Age]]&lt;=35,"31-35","36+")))</f>
        <v>31-35</v>
      </c>
      <c r="S478" t="str">
        <f t="shared" si="29"/>
        <v>April</v>
      </c>
      <c r="T478" s="2" t="str">
        <f t="shared" si="30"/>
        <v>Q2</v>
      </c>
      <c r="U478" s="2">
        <f t="shared" si="31"/>
        <v>2025</v>
      </c>
    </row>
    <row r="479" spans="1:21" x14ac:dyDescent="0.3">
      <c r="A479" t="s">
        <v>3519</v>
      </c>
      <c r="B479" t="s">
        <v>4731</v>
      </c>
      <c r="C479" t="s">
        <v>4434</v>
      </c>
      <c r="D479" t="s">
        <v>4372</v>
      </c>
      <c r="E479">
        <v>27</v>
      </c>
      <c r="F479" t="s">
        <v>5455</v>
      </c>
      <c r="G479">
        <v>9114637190</v>
      </c>
      <c r="H479" t="s">
        <v>4404</v>
      </c>
      <c r="I479" t="s">
        <v>4405</v>
      </c>
      <c r="J479" t="s">
        <v>4432</v>
      </c>
      <c r="K479">
        <v>3.5</v>
      </c>
      <c r="L479">
        <v>11.2</v>
      </c>
      <c r="M479">
        <v>15.2</v>
      </c>
      <c r="N479" t="s">
        <v>4494</v>
      </c>
      <c r="O479" t="s">
        <v>4369</v>
      </c>
      <c r="P479" s="1">
        <v>45882</v>
      </c>
      <c r="Q479" t="str">
        <f t="shared" si="28"/>
        <v>10+ Years</v>
      </c>
      <c r="R479" t="str">
        <f>IF(Table7[[#This Row],[Age]]&lt;=25,"20-25",IF(Table7[[#This Row],[Age]]&lt;=30,"26-30",IF(Table7[[#This Row],[Age]]&lt;=35,"31-35","36+")))</f>
        <v>26-30</v>
      </c>
      <c r="S479" t="str">
        <f t="shared" si="29"/>
        <v>August</v>
      </c>
      <c r="T479" s="2" t="str">
        <f t="shared" si="30"/>
        <v>Q3</v>
      </c>
      <c r="U479" s="2">
        <f t="shared" si="31"/>
        <v>2025</v>
      </c>
    </row>
    <row r="480" spans="1:21" x14ac:dyDescent="0.3">
      <c r="A480" t="s">
        <v>2637</v>
      </c>
      <c r="B480" t="s">
        <v>5456</v>
      </c>
      <c r="C480" t="s">
        <v>4890</v>
      </c>
      <c r="D480" t="s">
        <v>4363</v>
      </c>
      <c r="E480">
        <v>21</v>
      </c>
      <c r="F480" t="s">
        <v>5457</v>
      </c>
      <c r="G480">
        <v>9841566633</v>
      </c>
      <c r="H480" t="s">
        <v>4404</v>
      </c>
      <c r="I480" t="s">
        <v>4405</v>
      </c>
      <c r="J480" t="s">
        <v>4432</v>
      </c>
      <c r="K480">
        <v>1.5</v>
      </c>
      <c r="L480">
        <v>3</v>
      </c>
      <c r="M480">
        <v>3.7</v>
      </c>
      <c r="N480" t="s">
        <v>4368</v>
      </c>
      <c r="O480" t="s">
        <v>4419</v>
      </c>
      <c r="P480" s="1">
        <v>45704</v>
      </c>
      <c r="Q480" t="str">
        <f t="shared" si="28"/>
        <v>10+ Years</v>
      </c>
      <c r="R480" t="str">
        <f>IF(Table7[[#This Row],[Age]]&lt;=25,"20-25",IF(Table7[[#This Row],[Age]]&lt;=30,"26-30",IF(Table7[[#This Row],[Age]]&lt;=35,"31-35","36+")))</f>
        <v>20-25</v>
      </c>
      <c r="S480" t="str">
        <f t="shared" si="29"/>
        <v>February</v>
      </c>
      <c r="T480" s="2" t="str">
        <f t="shared" si="30"/>
        <v>Q1</v>
      </c>
      <c r="U480" s="2">
        <f t="shared" si="31"/>
        <v>2025</v>
      </c>
    </row>
    <row r="481" spans="1:21" x14ac:dyDescent="0.3">
      <c r="A481" t="s">
        <v>2804</v>
      </c>
      <c r="B481" t="s">
        <v>4439</v>
      </c>
      <c r="C481" t="s">
        <v>5262</v>
      </c>
      <c r="D481" t="s">
        <v>4363</v>
      </c>
      <c r="E481">
        <v>32</v>
      </c>
      <c r="F481" t="s">
        <v>5458</v>
      </c>
      <c r="G481">
        <v>9788416074</v>
      </c>
      <c r="H481" t="s">
        <v>4454</v>
      </c>
      <c r="I481" t="s">
        <v>4455</v>
      </c>
      <c r="J481" t="s">
        <v>4376</v>
      </c>
      <c r="K481">
        <v>5.0999999999999996</v>
      </c>
      <c r="L481">
        <v>14.5</v>
      </c>
      <c r="M481">
        <v>19.399999999999999</v>
      </c>
      <c r="N481" t="s">
        <v>4390</v>
      </c>
      <c r="O481" t="s">
        <v>4369</v>
      </c>
      <c r="P481" s="1">
        <v>45693</v>
      </c>
      <c r="Q481" t="str">
        <f t="shared" si="28"/>
        <v>10+ Years</v>
      </c>
      <c r="R481" t="str">
        <f>IF(Table7[[#This Row],[Age]]&lt;=25,"20-25",IF(Table7[[#This Row],[Age]]&lt;=30,"26-30",IF(Table7[[#This Row],[Age]]&lt;=35,"31-35","36+")))</f>
        <v>31-35</v>
      </c>
      <c r="S481" t="str">
        <f t="shared" si="29"/>
        <v>February</v>
      </c>
      <c r="T481" s="2" t="str">
        <f t="shared" si="30"/>
        <v>Q1</v>
      </c>
      <c r="U481" s="2">
        <f t="shared" si="31"/>
        <v>2025</v>
      </c>
    </row>
    <row r="482" spans="1:21" x14ac:dyDescent="0.3">
      <c r="A482" t="s">
        <v>3690</v>
      </c>
      <c r="B482" t="s">
        <v>4573</v>
      </c>
      <c r="C482" t="s">
        <v>4657</v>
      </c>
      <c r="D482" t="s">
        <v>4363</v>
      </c>
      <c r="E482">
        <v>34</v>
      </c>
      <c r="F482" t="s">
        <v>5459</v>
      </c>
      <c r="G482">
        <v>9519973284</v>
      </c>
      <c r="H482" t="s">
        <v>4454</v>
      </c>
      <c r="I482" t="s">
        <v>4455</v>
      </c>
      <c r="J482" t="s">
        <v>4367</v>
      </c>
      <c r="K482">
        <v>0.7</v>
      </c>
      <c r="L482">
        <v>2.5</v>
      </c>
      <c r="M482">
        <v>3.4</v>
      </c>
      <c r="N482" t="s">
        <v>4390</v>
      </c>
      <c r="O482" t="s">
        <v>4369</v>
      </c>
      <c r="P482" s="1">
        <v>45696</v>
      </c>
      <c r="Q482" t="str">
        <f t="shared" si="28"/>
        <v>10+ Years</v>
      </c>
      <c r="R482" t="str">
        <f>IF(Table7[[#This Row],[Age]]&lt;=25,"20-25",IF(Table7[[#This Row],[Age]]&lt;=30,"26-30",IF(Table7[[#This Row],[Age]]&lt;=35,"31-35","36+")))</f>
        <v>31-35</v>
      </c>
      <c r="S482" t="str">
        <f t="shared" si="29"/>
        <v>February</v>
      </c>
      <c r="T482" s="2" t="str">
        <f t="shared" si="30"/>
        <v>Q1</v>
      </c>
      <c r="U482" s="2">
        <f t="shared" si="31"/>
        <v>2025</v>
      </c>
    </row>
    <row r="483" spans="1:21" x14ac:dyDescent="0.3">
      <c r="A483" t="s">
        <v>1686</v>
      </c>
      <c r="B483" t="s">
        <v>4648</v>
      </c>
      <c r="C483" t="s">
        <v>4747</v>
      </c>
      <c r="D483" t="s">
        <v>4372</v>
      </c>
      <c r="E483">
        <v>31</v>
      </c>
      <c r="F483" t="s">
        <v>5460</v>
      </c>
      <c r="G483">
        <v>9875719807</v>
      </c>
      <c r="H483" t="s">
        <v>4491</v>
      </c>
      <c r="I483" t="s">
        <v>4491</v>
      </c>
      <c r="J483" t="s">
        <v>4376</v>
      </c>
      <c r="K483">
        <v>3</v>
      </c>
      <c r="L483">
        <v>6.1</v>
      </c>
      <c r="M483">
        <v>7.9</v>
      </c>
      <c r="O483" t="s">
        <v>4485</v>
      </c>
      <c r="P483" s="1">
        <v>45888</v>
      </c>
      <c r="Q483" t="str">
        <f t="shared" si="28"/>
        <v>10+ Years</v>
      </c>
      <c r="R483" t="str">
        <f>IF(Table7[[#This Row],[Age]]&lt;=25,"20-25",IF(Table7[[#This Row],[Age]]&lt;=30,"26-30",IF(Table7[[#This Row],[Age]]&lt;=35,"31-35","36+")))</f>
        <v>31-35</v>
      </c>
      <c r="S483" t="str">
        <f t="shared" si="29"/>
        <v>August</v>
      </c>
      <c r="T483" s="2" t="str">
        <f t="shared" si="30"/>
        <v>Q3</v>
      </c>
      <c r="U483" s="2">
        <f t="shared" si="31"/>
        <v>2025</v>
      </c>
    </row>
    <row r="484" spans="1:21" x14ac:dyDescent="0.3">
      <c r="A484" t="s">
        <v>2647</v>
      </c>
      <c r="B484" t="s">
        <v>4526</v>
      </c>
      <c r="C484" t="s">
        <v>5461</v>
      </c>
      <c r="D484" t="s">
        <v>4372</v>
      </c>
      <c r="E484">
        <v>29</v>
      </c>
      <c r="F484" t="s">
        <v>5462</v>
      </c>
      <c r="G484">
        <v>9373738271</v>
      </c>
      <c r="H484" t="s">
        <v>4454</v>
      </c>
      <c r="I484" t="s">
        <v>4455</v>
      </c>
      <c r="J484" t="s">
        <v>4482</v>
      </c>
      <c r="K484">
        <v>6.6</v>
      </c>
      <c r="L484">
        <v>5.2</v>
      </c>
      <c r="M484">
        <v>7</v>
      </c>
      <c r="N484" t="s">
        <v>4368</v>
      </c>
      <c r="O484" t="s">
        <v>4419</v>
      </c>
      <c r="P484" s="1">
        <v>45706</v>
      </c>
      <c r="Q484" t="str">
        <f t="shared" si="28"/>
        <v>10+ Years</v>
      </c>
      <c r="R484" t="str">
        <f>IF(Table7[[#This Row],[Age]]&lt;=25,"20-25",IF(Table7[[#This Row],[Age]]&lt;=30,"26-30",IF(Table7[[#This Row],[Age]]&lt;=35,"31-35","36+")))</f>
        <v>26-30</v>
      </c>
      <c r="S484" t="str">
        <f t="shared" si="29"/>
        <v>February</v>
      </c>
      <c r="T484" s="2" t="str">
        <f t="shared" si="30"/>
        <v>Q1</v>
      </c>
      <c r="U484" s="2">
        <f t="shared" si="31"/>
        <v>2025</v>
      </c>
    </row>
    <row r="485" spans="1:21" x14ac:dyDescent="0.3">
      <c r="A485" t="s">
        <v>1080</v>
      </c>
      <c r="B485" t="s">
        <v>5110</v>
      </c>
      <c r="C485" t="s">
        <v>5366</v>
      </c>
      <c r="D485" t="s">
        <v>4363</v>
      </c>
      <c r="E485">
        <v>39</v>
      </c>
      <c r="F485" t="s">
        <v>5463</v>
      </c>
      <c r="G485">
        <v>9467591330</v>
      </c>
      <c r="H485" t="s">
        <v>4476</v>
      </c>
      <c r="I485" t="s">
        <v>4477</v>
      </c>
      <c r="J485" t="s">
        <v>4446</v>
      </c>
      <c r="K485">
        <v>0.1</v>
      </c>
      <c r="L485">
        <v>5.2</v>
      </c>
      <c r="M485">
        <v>5.9</v>
      </c>
      <c r="N485" t="s">
        <v>4377</v>
      </c>
      <c r="O485" t="s">
        <v>4369</v>
      </c>
      <c r="P485" s="1">
        <v>45764</v>
      </c>
      <c r="Q485" t="str">
        <f t="shared" si="28"/>
        <v>10+ Years</v>
      </c>
      <c r="R485" t="str">
        <f>IF(Table7[[#This Row],[Age]]&lt;=25,"20-25",IF(Table7[[#This Row],[Age]]&lt;=30,"26-30",IF(Table7[[#This Row],[Age]]&lt;=35,"31-35","36+")))</f>
        <v>36+</v>
      </c>
      <c r="S485" t="str">
        <f t="shared" si="29"/>
        <v>April</v>
      </c>
      <c r="T485" s="2" t="str">
        <f t="shared" si="30"/>
        <v>Q2</v>
      </c>
      <c r="U485" s="2">
        <f t="shared" si="31"/>
        <v>2025</v>
      </c>
    </row>
    <row r="486" spans="1:21" x14ac:dyDescent="0.3">
      <c r="A486" t="s">
        <v>2858</v>
      </c>
      <c r="B486" t="s">
        <v>4495</v>
      </c>
      <c r="C486" t="s">
        <v>4569</v>
      </c>
      <c r="D486" t="s">
        <v>4363</v>
      </c>
      <c r="E486">
        <v>33</v>
      </c>
      <c r="F486" t="s">
        <v>5464</v>
      </c>
      <c r="G486">
        <v>9460288201</v>
      </c>
      <c r="H486" t="s">
        <v>4454</v>
      </c>
      <c r="I486" t="s">
        <v>4455</v>
      </c>
      <c r="J486" t="s">
        <v>4376</v>
      </c>
      <c r="K486">
        <v>12.2</v>
      </c>
      <c r="L486">
        <v>21.5</v>
      </c>
      <c r="M486">
        <v>30.1</v>
      </c>
      <c r="N486" t="s">
        <v>4406</v>
      </c>
      <c r="O486" t="s">
        <v>4369</v>
      </c>
      <c r="P486" s="1">
        <v>45995</v>
      </c>
      <c r="Q486" t="str">
        <f t="shared" si="28"/>
        <v>10+ Years</v>
      </c>
      <c r="R486" t="str">
        <f>IF(Table7[[#This Row],[Age]]&lt;=25,"20-25",IF(Table7[[#This Row],[Age]]&lt;=30,"26-30",IF(Table7[[#This Row],[Age]]&lt;=35,"31-35","36+")))</f>
        <v>31-35</v>
      </c>
      <c r="S486" t="str">
        <f t="shared" si="29"/>
        <v>December</v>
      </c>
      <c r="T486" s="2" t="str">
        <f t="shared" si="30"/>
        <v>Q4</v>
      </c>
      <c r="U486" s="2">
        <f t="shared" si="31"/>
        <v>2025</v>
      </c>
    </row>
    <row r="487" spans="1:21" x14ac:dyDescent="0.3">
      <c r="A487" t="s">
        <v>1834</v>
      </c>
      <c r="B487" t="s">
        <v>5016</v>
      </c>
      <c r="C487" t="s">
        <v>5465</v>
      </c>
      <c r="D487" t="s">
        <v>4363</v>
      </c>
      <c r="E487">
        <v>27</v>
      </c>
      <c r="F487" t="s">
        <v>5466</v>
      </c>
      <c r="G487">
        <v>9809979879</v>
      </c>
      <c r="H487" t="s">
        <v>4454</v>
      </c>
      <c r="I487" t="s">
        <v>4455</v>
      </c>
      <c r="J487" t="s">
        <v>4367</v>
      </c>
      <c r="K487">
        <v>0.1</v>
      </c>
      <c r="L487">
        <v>2.5</v>
      </c>
      <c r="M487">
        <v>2.9</v>
      </c>
      <c r="O487" t="s">
        <v>4419</v>
      </c>
      <c r="P487" s="1">
        <v>45854</v>
      </c>
      <c r="Q487" t="str">
        <f t="shared" si="28"/>
        <v>10+ Years</v>
      </c>
      <c r="R487" t="str">
        <f>IF(Table7[[#This Row],[Age]]&lt;=25,"20-25",IF(Table7[[#This Row],[Age]]&lt;=30,"26-30",IF(Table7[[#This Row],[Age]]&lt;=35,"31-35","36+")))</f>
        <v>26-30</v>
      </c>
      <c r="S487" t="str">
        <f t="shared" si="29"/>
        <v>July</v>
      </c>
      <c r="T487" s="2" t="str">
        <f t="shared" si="30"/>
        <v>Q3</v>
      </c>
      <c r="U487" s="2">
        <f t="shared" si="31"/>
        <v>2025</v>
      </c>
    </row>
    <row r="488" spans="1:21" x14ac:dyDescent="0.3">
      <c r="A488" t="s">
        <v>3492</v>
      </c>
      <c r="B488" t="s">
        <v>5467</v>
      </c>
      <c r="C488" t="s">
        <v>5468</v>
      </c>
      <c r="D488" t="s">
        <v>4372</v>
      </c>
      <c r="E488">
        <v>31</v>
      </c>
      <c r="F488" t="s">
        <v>5469</v>
      </c>
      <c r="G488">
        <v>9711622585</v>
      </c>
      <c r="H488" t="s">
        <v>4521</v>
      </c>
      <c r="I488" t="s">
        <v>4522</v>
      </c>
      <c r="J488" t="s">
        <v>4432</v>
      </c>
      <c r="K488">
        <v>11.7</v>
      </c>
      <c r="L488">
        <v>16.100000000000001</v>
      </c>
      <c r="M488">
        <v>18.399999999999999</v>
      </c>
      <c r="N488" t="s">
        <v>4406</v>
      </c>
      <c r="O488" t="s">
        <v>4485</v>
      </c>
      <c r="P488" s="1">
        <v>45724</v>
      </c>
      <c r="Q488" t="str">
        <f t="shared" si="28"/>
        <v>10+ Years</v>
      </c>
      <c r="R488" t="str">
        <f>IF(Table7[[#This Row],[Age]]&lt;=25,"20-25",IF(Table7[[#This Row],[Age]]&lt;=30,"26-30",IF(Table7[[#This Row],[Age]]&lt;=35,"31-35","36+")))</f>
        <v>31-35</v>
      </c>
      <c r="S488" t="str">
        <f t="shared" si="29"/>
        <v>March</v>
      </c>
      <c r="T488" s="2" t="str">
        <f t="shared" si="30"/>
        <v>Q1</v>
      </c>
      <c r="U488" s="2">
        <f t="shared" si="31"/>
        <v>2025</v>
      </c>
    </row>
    <row r="489" spans="1:21" x14ac:dyDescent="0.3">
      <c r="A489" t="s">
        <v>1759</v>
      </c>
      <c r="B489" t="s">
        <v>4626</v>
      </c>
      <c r="C489" t="s">
        <v>4953</v>
      </c>
      <c r="D489" t="s">
        <v>4363</v>
      </c>
      <c r="E489">
        <v>36</v>
      </c>
      <c r="F489" t="s">
        <v>5470</v>
      </c>
      <c r="G489">
        <v>9490448282</v>
      </c>
      <c r="H489" t="s">
        <v>4374</v>
      </c>
      <c r="I489" t="s">
        <v>4375</v>
      </c>
      <c r="J489" t="s">
        <v>4389</v>
      </c>
      <c r="K489">
        <v>0.6</v>
      </c>
      <c r="L489">
        <v>6.6</v>
      </c>
      <c r="M489">
        <v>7.7</v>
      </c>
      <c r="N489" t="s">
        <v>4377</v>
      </c>
      <c r="O489" t="s">
        <v>4369</v>
      </c>
      <c r="P489" s="1">
        <v>45845</v>
      </c>
      <c r="Q489" t="str">
        <f t="shared" si="28"/>
        <v>10+ Years</v>
      </c>
      <c r="R489" t="str">
        <f>IF(Table7[[#This Row],[Age]]&lt;=25,"20-25",IF(Table7[[#This Row],[Age]]&lt;=30,"26-30",IF(Table7[[#This Row],[Age]]&lt;=35,"31-35","36+")))</f>
        <v>36+</v>
      </c>
      <c r="S489" t="str">
        <f t="shared" si="29"/>
        <v>July</v>
      </c>
      <c r="T489" s="2" t="str">
        <f t="shared" si="30"/>
        <v>Q3</v>
      </c>
      <c r="U489" s="2">
        <f t="shared" si="31"/>
        <v>2025</v>
      </c>
    </row>
    <row r="490" spans="1:21" x14ac:dyDescent="0.3">
      <c r="A490" t="s">
        <v>2806</v>
      </c>
      <c r="B490" t="s">
        <v>5471</v>
      </c>
      <c r="C490" t="s">
        <v>5387</v>
      </c>
      <c r="D490" t="s">
        <v>4372</v>
      </c>
      <c r="E490">
        <v>32</v>
      </c>
      <c r="F490" t="s">
        <v>5472</v>
      </c>
      <c r="G490">
        <v>9219692559</v>
      </c>
      <c r="H490" t="s">
        <v>4506</v>
      </c>
      <c r="I490" t="s">
        <v>4507</v>
      </c>
      <c r="J490" t="s">
        <v>4432</v>
      </c>
      <c r="K490">
        <v>9.6999999999999993</v>
      </c>
      <c r="L490">
        <v>19</v>
      </c>
      <c r="M490">
        <v>26.3</v>
      </c>
      <c r="N490" t="s">
        <v>4368</v>
      </c>
      <c r="O490" t="s">
        <v>4391</v>
      </c>
      <c r="P490" s="1">
        <v>45673</v>
      </c>
      <c r="Q490" t="str">
        <f t="shared" si="28"/>
        <v>10+ Years</v>
      </c>
      <c r="R490" t="str">
        <f>IF(Table7[[#This Row],[Age]]&lt;=25,"20-25",IF(Table7[[#This Row],[Age]]&lt;=30,"26-30",IF(Table7[[#This Row],[Age]]&lt;=35,"31-35","36+")))</f>
        <v>31-35</v>
      </c>
      <c r="S490" t="str">
        <f t="shared" si="29"/>
        <v>January</v>
      </c>
      <c r="T490" s="2" t="str">
        <f t="shared" si="30"/>
        <v>Q1</v>
      </c>
      <c r="U490" s="2">
        <f t="shared" si="31"/>
        <v>2025</v>
      </c>
    </row>
    <row r="491" spans="1:21" x14ac:dyDescent="0.3">
      <c r="A491" t="s">
        <v>950</v>
      </c>
      <c r="B491" t="s">
        <v>4568</v>
      </c>
      <c r="C491" t="s">
        <v>5014</v>
      </c>
      <c r="D491" t="s">
        <v>4372</v>
      </c>
      <c r="E491">
        <v>41</v>
      </c>
      <c r="F491" t="s">
        <v>5473</v>
      </c>
      <c r="G491">
        <v>9335170641</v>
      </c>
      <c r="H491" t="s">
        <v>4473</v>
      </c>
      <c r="I491" t="s">
        <v>4473</v>
      </c>
      <c r="J491" t="s">
        <v>4482</v>
      </c>
      <c r="K491">
        <v>2.1</v>
      </c>
      <c r="L491">
        <v>10.199999999999999</v>
      </c>
      <c r="M491">
        <v>12.7</v>
      </c>
      <c r="O491" t="s">
        <v>4391</v>
      </c>
      <c r="P491" s="1">
        <v>45661</v>
      </c>
      <c r="Q491" t="str">
        <f t="shared" si="28"/>
        <v>10+ Years</v>
      </c>
      <c r="R491" t="str">
        <f>IF(Table7[[#This Row],[Age]]&lt;=25,"20-25",IF(Table7[[#This Row],[Age]]&lt;=30,"26-30",IF(Table7[[#This Row],[Age]]&lt;=35,"31-35","36+")))</f>
        <v>36+</v>
      </c>
      <c r="S491" t="str">
        <f t="shared" si="29"/>
        <v>January</v>
      </c>
      <c r="T491" s="2" t="str">
        <f t="shared" si="30"/>
        <v>Q1</v>
      </c>
      <c r="U491" s="2">
        <f t="shared" si="31"/>
        <v>2025</v>
      </c>
    </row>
    <row r="492" spans="1:21" x14ac:dyDescent="0.3">
      <c r="A492" t="s">
        <v>2028</v>
      </c>
      <c r="B492" t="s">
        <v>5474</v>
      </c>
      <c r="C492" t="s">
        <v>4908</v>
      </c>
      <c r="D492" t="s">
        <v>4372</v>
      </c>
      <c r="E492">
        <v>23</v>
      </c>
      <c r="F492" t="s">
        <v>5475</v>
      </c>
      <c r="G492">
        <v>9505243835</v>
      </c>
      <c r="H492" t="s">
        <v>4506</v>
      </c>
      <c r="I492" t="s">
        <v>4507</v>
      </c>
      <c r="J492" t="s">
        <v>4482</v>
      </c>
      <c r="K492">
        <v>9.9</v>
      </c>
      <c r="L492">
        <v>18.399999999999999</v>
      </c>
      <c r="M492">
        <v>22.3</v>
      </c>
      <c r="O492" t="s">
        <v>4391</v>
      </c>
      <c r="P492" s="1">
        <v>45714</v>
      </c>
      <c r="Q492" t="str">
        <f t="shared" si="28"/>
        <v>10+ Years</v>
      </c>
      <c r="R492" t="str">
        <f>IF(Table7[[#This Row],[Age]]&lt;=25,"20-25",IF(Table7[[#This Row],[Age]]&lt;=30,"26-30",IF(Table7[[#This Row],[Age]]&lt;=35,"31-35","36+")))</f>
        <v>20-25</v>
      </c>
      <c r="S492" t="str">
        <f t="shared" si="29"/>
        <v>February</v>
      </c>
      <c r="T492" s="2" t="str">
        <f t="shared" si="30"/>
        <v>Q1</v>
      </c>
      <c r="U492" s="2">
        <f t="shared" si="31"/>
        <v>2025</v>
      </c>
    </row>
    <row r="493" spans="1:21" x14ac:dyDescent="0.3">
      <c r="A493" t="s">
        <v>3453</v>
      </c>
      <c r="B493" t="s">
        <v>5476</v>
      </c>
      <c r="C493" t="s">
        <v>4620</v>
      </c>
      <c r="D493" t="s">
        <v>4372</v>
      </c>
      <c r="E493">
        <v>21</v>
      </c>
      <c r="F493" t="s">
        <v>5477</v>
      </c>
      <c r="G493">
        <v>9628449411</v>
      </c>
      <c r="H493" t="s">
        <v>4445</v>
      </c>
      <c r="I493" t="s">
        <v>4396</v>
      </c>
      <c r="J493" t="s">
        <v>4482</v>
      </c>
      <c r="K493">
        <v>3</v>
      </c>
      <c r="L493">
        <v>8.9</v>
      </c>
      <c r="M493">
        <v>11.4</v>
      </c>
      <c r="N493" t="s">
        <v>4377</v>
      </c>
      <c r="O493" t="s">
        <v>4485</v>
      </c>
      <c r="P493" s="1">
        <v>45876</v>
      </c>
      <c r="Q493" t="str">
        <f t="shared" si="28"/>
        <v>10+ Years</v>
      </c>
      <c r="R493" t="str">
        <f>IF(Table7[[#This Row],[Age]]&lt;=25,"20-25",IF(Table7[[#This Row],[Age]]&lt;=30,"26-30",IF(Table7[[#This Row],[Age]]&lt;=35,"31-35","36+")))</f>
        <v>20-25</v>
      </c>
      <c r="S493" t="str">
        <f t="shared" si="29"/>
        <v>August</v>
      </c>
      <c r="T493" s="2" t="str">
        <f t="shared" si="30"/>
        <v>Q3</v>
      </c>
      <c r="U493" s="2">
        <f t="shared" si="31"/>
        <v>2025</v>
      </c>
    </row>
    <row r="494" spans="1:21" x14ac:dyDescent="0.3">
      <c r="A494" t="s">
        <v>849</v>
      </c>
      <c r="B494" t="s">
        <v>5400</v>
      </c>
      <c r="C494" t="s">
        <v>4924</v>
      </c>
      <c r="D494" t="s">
        <v>4372</v>
      </c>
      <c r="E494">
        <v>30</v>
      </c>
      <c r="F494" t="s">
        <v>5478</v>
      </c>
      <c r="G494">
        <v>9304858830</v>
      </c>
      <c r="H494" t="s">
        <v>4445</v>
      </c>
      <c r="I494" t="s">
        <v>4396</v>
      </c>
      <c r="J494" t="s">
        <v>4432</v>
      </c>
      <c r="K494">
        <v>4.5</v>
      </c>
      <c r="L494">
        <v>11.9</v>
      </c>
      <c r="M494">
        <v>15.1</v>
      </c>
      <c r="N494" t="s">
        <v>4368</v>
      </c>
      <c r="O494" t="s">
        <v>4391</v>
      </c>
      <c r="P494" s="1">
        <v>45687</v>
      </c>
      <c r="Q494" t="str">
        <f t="shared" si="28"/>
        <v>10+ Years</v>
      </c>
      <c r="R494" t="str">
        <f>IF(Table7[[#This Row],[Age]]&lt;=25,"20-25",IF(Table7[[#This Row],[Age]]&lt;=30,"26-30",IF(Table7[[#This Row],[Age]]&lt;=35,"31-35","36+")))</f>
        <v>26-30</v>
      </c>
      <c r="S494" t="str">
        <f t="shared" si="29"/>
        <v>January</v>
      </c>
      <c r="T494" s="2" t="str">
        <f t="shared" si="30"/>
        <v>Q1</v>
      </c>
      <c r="U494" s="2">
        <f t="shared" si="31"/>
        <v>2025</v>
      </c>
    </row>
    <row r="495" spans="1:21" x14ac:dyDescent="0.3">
      <c r="A495" t="s">
        <v>897</v>
      </c>
      <c r="B495" t="s">
        <v>5361</v>
      </c>
      <c r="C495" t="s">
        <v>4532</v>
      </c>
      <c r="D495" t="s">
        <v>4372</v>
      </c>
      <c r="E495">
        <v>21</v>
      </c>
      <c r="F495" t="s">
        <v>5479</v>
      </c>
      <c r="G495">
        <v>9619655417</v>
      </c>
      <c r="H495" t="s">
        <v>4404</v>
      </c>
      <c r="I495" t="s">
        <v>4405</v>
      </c>
      <c r="J495" t="s">
        <v>4367</v>
      </c>
      <c r="K495">
        <v>3.9</v>
      </c>
      <c r="L495">
        <v>6.7</v>
      </c>
      <c r="M495">
        <v>8.9</v>
      </c>
      <c r="N495" t="s">
        <v>4494</v>
      </c>
      <c r="O495" t="s">
        <v>4485</v>
      </c>
      <c r="P495" s="1">
        <v>45850</v>
      </c>
      <c r="Q495" t="str">
        <f t="shared" si="28"/>
        <v>10+ Years</v>
      </c>
      <c r="R495" t="str">
        <f>IF(Table7[[#This Row],[Age]]&lt;=25,"20-25",IF(Table7[[#This Row],[Age]]&lt;=30,"26-30",IF(Table7[[#This Row],[Age]]&lt;=35,"31-35","36+")))</f>
        <v>20-25</v>
      </c>
      <c r="S495" t="str">
        <f t="shared" si="29"/>
        <v>July</v>
      </c>
      <c r="T495" s="2" t="str">
        <f t="shared" si="30"/>
        <v>Q3</v>
      </c>
      <c r="U495" s="2">
        <f t="shared" si="31"/>
        <v>2025</v>
      </c>
    </row>
    <row r="496" spans="1:21" x14ac:dyDescent="0.3">
      <c r="A496" t="s">
        <v>721</v>
      </c>
      <c r="B496" t="s">
        <v>5480</v>
      </c>
      <c r="C496" t="s">
        <v>5481</v>
      </c>
      <c r="D496" t="s">
        <v>4372</v>
      </c>
      <c r="E496">
        <v>26</v>
      </c>
      <c r="F496" t="s">
        <v>5482</v>
      </c>
      <c r="G496">
        <v>9663542999</v>
      </c>
      <c r="H496" t="s">
        <v>4410</v>
      </c>
      <c r="I496" t="s">
        <v>4411</v>
      </c>
      <c r="J496" t="s">
        <v>4432</v>
      </c>
      <c r="K496">
        <v>1</v>
      </c>
      <c r="L496">
        <v>5.5</v>
      </c>
      <c r="M496">
        <v>6.5</v>
      </c>
      <c r="N496" t="s">
        <v>4377</v>
      </c>
      <c r="O496" t="s">
        <v>4369</v>
      </c>
      <c r="P496" s="1">
        <v>45700</v>
      </c>
      <c r="Q496" t="str">
        <f t="shared" si="28"/>
        <v>10+ Years</v>
      </c>
      <c r="R496" t="str">
        <f>IF(Table7[[#This Row],[Age]]&lt;=25,"20-25",IF(Table7[[#This Row],[Age]]&lt;=30,"26-30",IF(Table7[[#This Row],[Age]]&lt;=35,"31-35","36+")))</f>
        <v>26-30</v>
      </c>
      <c r="S496" t="str">
        <f t="shared" si="29"/>
        <v>February</v>
      </c>
      <c r="T496" s="2" t="str">
        <f t="shared" si="30"/>
        <v>Q1</v>
      </c>
      <c r="U496" s="2">
        <f t="shared" si="31"/>
        <v>2025</v>
      </c>
    </row>
    <row r="497" spans="1:21" x14ac:dyDescent="0.3">
      <c r="A497" t="s">
        <v>2104</v>
      </c>
      <c r="B497" t="s">
        <v>5476</v>
      </c>
      <c r="C497" t="s">
        <v>5222</v>
      </c>
      <c r="D497" t="s">
        <v>4372</v>
      </c>
      <c r="E497">
        <v>30</v>
      </c>
      <c r="F497" t="s">
        <v>5483</v>
      </c>
      <c r="G497">
        <v>9594924716</v>
      </c>
      <c r="H497" t="s">
        <v>4473</v>
      </c>
      <c r="I497" t="s">
        <v>4473</v>
      </c>
      <c r="J497" t="s">
        <v>4389</v>
      </c>
      <c r="K497">
        <v>0.5</v>
      </c>
      <c r="M497">
        <v>9.6</v>
      </c>
      <c r="N497" t="s">
        <v>4390</v>
      </c>
      <c r="O497" t="s">
        <v>4391</v>
      </c>
      <c r="P497" s="1">
        <v>45763</v>
      </c>
      <c r="Q497" t="str">
        <f t="shared" si="28"/>
        <v>10+ Years</v>
      </c>
      <c r="R497" t="str">
        <f>IF(Table7[[#This Row],[Age]]&lt;=25,"20-25",IF(Table7[[#This Row],[Age]]&lt;=30,"26-30",IF(Table7[[#This Row],[Age]]&lt;=35,"31-35","36+")))</f>
        <v>26-30</v>
      </c>
      <c r="S497" t="str">
        <f t="shared" si="29"/>
        <v>April</v>
      </c>
      <c r="T497" s="2" t="str">
        <f t="shared" si="30"/>
        <v>Q2</v>
      </c>
      <c r="U497" s="2">
        <f t="shared" si="31"/>
        <v>2025</v>
      </c>
    </row>
    <row r="498" spans="1:21" x14ac:dyDescent="0.3">
      <c r="A498" t="s">
        <v>1136</v>
      </c>
      <c r="B498" t="s">
        <v>4901</v>
      </c>
      <c r="C498" t="s">
        <v>4693</v>
      </c>
      <c r="D498" t="s">
        <v>4372</v>
      </c>
      <c r="E498">
        <v>23</v>
      </c>
      <c r="F498" t="s">
        <v>5484</v>
      </c>
      <c r="G498">
        <v>9173171029</v>
      </c>
      <c r="H498" t="s">
        <v>4445</v>
      </c>
      <c r="I498" t="s">
        <v>4396</v>
      </c>
      <c r="J498" t="s">
        <v>4389</v>
      </c>
      <c r="K498">
        <v>3.7</v>
      </c>
      <c r="L498">
        <v>14</v>
      </c>
      <c r="M498">
        <v>17.899999999999999</v>
      </c>
      <c r="N498" t="s">
        <v>4368</v>
      </c>
      <c r="O498" t="s">
        <v>4383</v>
      </c>
      <c r="P498" s="1">
        <v>45979</v>
      </c>
      <c r="Q498" t="str">
        <f t="shared" si="28"/>
        <v>10+ Years</v>
      </c>
      <c r="R498" t="str">
        <f>IF(Table7[[#This Row],[Age]]&lt;=25,"20-25",IF(Table7[[#This Row],[Age]]&lt;=30,"26-30",IF(Table7[[#This Row],[Age]]&lt;=35,"31-35","36+")))</f>
        <v>20-25</v>
      </c>
      <c r="S498" t="str">
        <f t="shared" si="29"/>
        <v>November</v>
      </c>
      <c r="T498" s="2" t="str">
        <f t="shared" si="30"/>
        <v>Q4</v>
      </c>
      <c r="U498" s="2">
        <f t="shared" si="31"/>
        <v>2025</v>
      </c>
    </row>
    <row r="499" spans="1:21" x14ac:dyDescent="0.3">
      <c r="A499" t="s">
        <v>789</v>
      </c>
      <c r="B499" t="s">
        <v>5166</v>
      </c>
      <c r="C499" t="s">
        <v>4486</v>
      </c>
      <c r="D499" t="s">
        <v>4363</v>
      </c>
      <c r="E499">
        <v>31</v>
      </c>
      <c r="F499" t="s">
        <v>5485</v>
      </c>
      <c r="G499">
        <v>9126277274</v>
      </c>
      <c r="H499" t="s">
        <v>4395</v>
      </c>
      <c r="I499" t="s">
        <v>4396</v>
      </c>
      <c r="K499">
        <v>6.1</v>
      </c>
      <c r="L499">
        <v>7</v>
      </c>
      <c r="M499">
        <v>9.6</v>
      </c>
      <c r="N499" t="s">
        <v>4390</v>
      </c>
      <c r="O499" t="s">
        <v>4369</v>
      </c>
      <c r="P499" s="1">
        <v>45913</v>
      </c>
      <c r="Q499" t="str">
        <f t="shared" si="28"/>
        <v>10+ Years</v>
      </c>
      <c r="R499" t="str">
        <f>IF(Table7[[#This Row],[Age]]&lt;=25,"20-25",IF(Table7[[#This Row],[Age]]&lt;=30,"26-30",IF(Table7[[#This Row],[Age]]&lt;=35,"31-35","36+")))</f>
        <v>31-35</v>
      </c>
      <c r="S499" t="str">
        <f t="shared" si="29"/>
        <v>September</v>
      </c>
      <c r="T499" s="2" t="str">
        <f t="shared" si="30"/>
        <v>Q3</v>
      </c>
      <c r="U499" s="2">
        <f t="shared" si="31"/>
        <v>2025</v>
      </c>
    </row>
    <row r="500" spans="1:21" x14ac:dyDescent="0.3">
      <c r="A500" t="s">
        <v>1166</v>
      </c>
      <c r="B500" t="s">
        <v>5486</v>
      </c>
      <c r="C500" t="s">
        <v>4461</v>
      </c>
      <c r="D500" t="s">
        <v>4363</v>
      </c>
      <c r="E500">
        <v>35</v>
      </c>
      <c r="F500" t="s">
        <v>5487</v>
      </c>
      <c r="G500">
        <v>9799152207</v>
      </c>
      <c r="H500" t="s">
        <v>4476</v>
      </c>
      <c r="I500" t="s">
        <v>4477</v>
      </c>
      <c r="J500" t="s">
        <v>4367</v>
      </c>
      <c r="K500">
        <v>5.9</v>
      </c>
      <c r="L500">
        <v>16.399999999999999</v>
      </c>
      <c r="M500">
        <v>22.7</v>
      </c>
      <c r="N500" t="s">
        <v>4494</v>
      </c>
      <c r="O500" t="s">
        <v>4400</v>
      </c>
      <c r="P500" s="1">
        <v>45846</v>
      </c>
      <c r="Q500" t="str">
        <f t="shared" si="28"/>
        <v>10+ Years</v>
      </c>
      <c r="R500" t="str">
        <f>IF(Table7[[#This Row],[Age]]&lt;=25,"20-25",IF(Table7[[#This Row],[Age]]&lt;=30,"26-30",IF(Table7[[#This Row],[Age]]&lt;=35,"31-35","36+")))</f>
        <v>31-35</v>
      </c>
      <c r="S500" t="str">
        <f t="shared" si="29"/>
        <v>July</v>
      </c>
      <c r="T500" s="2" t="str">
        <f t="shared" si="30"/>
        <v>Q3</v>
      </c>
      <c r="U500" s="2">
        <f t="shared" si="31"/>
        <v>2025</v>
      </c>
    </row>
    <row r="501" spans="1:21" x14ac:dyDescent="0.3">
      <c r="A501" t="s">
        <v>5488</v>
      </c>
      <c r="B501" t="s">
        <v>5175</v>
      </c>
      <c r="C501" t="s">
        <v>5330</v>
      </c>
      <c r="D501" t="s">
        <v>4363</v>
      </c>
      <c r="E501">
        <v>21</v>
      </c>
      <c r="F501" t="s">
        <v>5489</v>
      </c>
      <c r="G501">
        <v>9295128678</v>
      </c>
      <c r="H501" t="s">
        <v>4404</v>
      </c>
      <c r="I501" t="s">
        <v>4405</v>
      </c>
      <c r="J501" t="s">
        <v>4432</v>
      </c>
      <c r="K501">
        <v>2</v>
      </c>
      <c r="L501">
        <v>7.6</v>
      </c>
      <c r="M501">
        <v>10</v>
      </c>
      <c r="N501" t="s">
        <v>4377</v>
      </c>
      <c r="O501" t="s">
        <v>4369</v>
      </c>
      <c r="P501" s="1">
        <v>45769</v>
      </c>
      <c r="Q501" t="str">
        <f t="shared" si="28"/>
        <v>10+ Years</v>
      </c>
      <c r="R501" t="str">
        <f>IF(Table7[[#This Row],[Age]]&lt;=25,"20-25",IF(Table7[[#This Row],[Age]]&lt;=30,"26-30",IF(Table7[[#This Row],[Age]]&lt;=35,"31-35","36+")))</f>
        <v>20-25</v>
      </c>
      <c r="S501" t="str">
        <f t="shared" si="29"/>
        <v>April</v>
      </c>
      <c r="T501" s="2" t="str">
        <f t="shared" si="30"/>
        <v>Q2</v>
      </c>
      <c r="U501" s="2">
        <f t="shared" si="31"/>
        <v>2025</v>
      </c>
    </row>
    <row r="502" spans="1:21" x14ac:dyDescent="0.3">
      <c r="A502" t="s">
        <v>5490</v>
      </c>
      <c r="B502" t="s">
        <v>5491</v>
      </c>
      <c r="C502" t="s">
        <v>4814</v>
      </c>
      <c r="D502" t="s">
        <v>4363</v>
      </c>
      <c r="E502">
        <v>26</v>
      </c>
      <c r="F502" t="s">
        <v>5492</v>
      </c>
      <c r="G502">
        <v>9571389309</v>
      </c>
      <c r="H502" t="s">
        <v>4395</v>
      </c>
      <c r="I502" t="s">
        <v>4396</v>
      </c>
      <c r="J502" t="s">
        <v>4446</v>
      </c>
      <c r="K502">
        <v>0.3</v>
      </c>
      <c r="L502">
        <v>3.3</v>
      </c>
      <c r="M502">
        <v>4</v>
      </c>
      <c r="N502" t="s">
        <v>4368</v>
      </c>
      <c r="O502" t="s">
        <v>4369</v>
      </c>
      <c r="P502" s="1">
        <v>45691</v>
      </c>
      <c r="Q502" t="str">
        <f t="shared" si="28"/>
        <v>10+ Years</v>
      </c>
      <c r="R502" t="str">
        <f>IF(Table7[[#This Row],[Age]]&lt;=25,"20-25",IF(Table7[[#This Row],[Age]]&lt;=30,"26-30",IF(Table7[[#This Row],[Age]]&lt;=35,"31-35","36+")))</f>
        <v>26-30</v>
      </c>
      <c r="S502" t="str">
        <f t="shared" si="29"/>
        <v>February</v>
      </c>
      <c r="T502" s="2" t="str">
        <f t="shared" si="30"/>
        <v>Q1</v>
      </c>
      <c r="U502" s="2">
        <f t="shared" si="31"/>
        <v>2025</v>
      </c>
    </row>
    <row r="503" spans="1:21" x14ac:dyDescent="0.3">
      <c r="A503" t="s">
        <v>2775</v>
      </c>
      <c r="B503" t="s">
        <v>4565</v>
      </c>
      <c r="C503" t="s">
        <v>5493</v>
      </c>
      <c r="D503" t="s">
        <v>4372</v>
      </c>
      <c r="E503">
        <v>34</v>
      </c>
      <c r="F503" t="s">
        <v>5494</v>
      </c>
      <c r="G503">
        <v>9277363998</v>
      </c>
      <c r="H503" t="s">
        <v>4410</v>
      </c>
      <c r="I503" t="s">
        <v>4411</v>
      </c>
      <c r="J503" t="s">
        <v>4482</v>
      </c>
      <c r="K503">
        <v>4</v>
      </c>
      <c r="L503">
        <v>13.6</v>
      </c>
      <c r="M503">
        <v>17.399999999999999</v>
      </c>
      <c r="N503" t="s">
        <v>4406</v>
      </c>
      <c r="O503" t="s">
        <v>4391</v>
      </c>
      <c r="P503" s="1">
        <v>45909</v>
      </c>
      <c r="Q503" t="str">
        <f t="shared" si="28"/>
        <v>10+ Years</v>
      </c>
      <c r="R503" t="str">
        <f>IF(Table7[[#This Row],[Age]]&lt;=25,"20-25",IF(Table7[[#This Row],[Age]]&lt;=30,"26-30",IF(Table7[[#This Row],[Age]]&lt;=35,"31-35","36+")))</f>
        <v>31-35</v>
      </c>
      <c r="S503" t="str">
        <f t="shared" si="29"/>
        <v>September</v>
      </c>
      <c r="T503" s="2" t="str">
        <f t="shared" si="30"/>
        <v>Q3</v>
      </c>
      <c r="U503" s="2">
        <f t="shared" si="31"/>
        <v>2025</v>
      </c>
    </row>
    <row r="504" spans="1:21" x14ac:dyDescent="0.3">
      <c r="A504" t="s">
        <v>3249</v>
      </c>
      <c r="B504" t="s">
        <v>5495</v>
      </c>
      <c r="C504" t="s">
        <v>4651</v>
      </c>
      <c r="D504" t="s">
        <v>4363</v>
      </c>
      <c r="E504">
        <v>35</v>
      </c>
      <c r="F504" t="s">
        <v>5496</v>
      </c>
      <c r="G504">
        <v>9767030157</v>
      </c>
      <c r="H504" t="s">
        <v>4387</v>
      </c>
      <c r="I504" t="s">
        <v>4388</v>
      </c>
      <c r="K504">
        <v>5.2</v>
      </c>
      <c r="L504">
        <v>17.7</v>
      </c>
      <c r="M504">
        <v>24.7</v>
      </c>
      <c r="N504" t="s">
        <v>4368</v>
      </c>
      <c r="O504" t="s">
        <v>4419</v>
      </c>
      <c r="P504" s="1">
        <v>45891</v>
      </c>
      <c r="Q504" t="str">
        <f t="shared" si="28"/>
        <v>10+ Years</v>
      </c>
      <c r="R504" t="str">
        <f>IF(Table7[[#This Row],[Age]]&lt;=25,"20-25",IF(Table7[[#This Row],[Age]]&lt;=30,"26-30",IF(Table7[[#This Row],[Age]]&lt;=35,"31-35","36+")))</f>
        <v>31-35</v>
      </c>
      <c r="S504" t="str">
        <f t="shared" si="29"/>
        <v>August</v>
      </c>
      <c r="T504" s="2" t="str">
        <f t="shared" si="30"/>
        <v>Q3</v>
      </c>
      <c r="U504" s="2">
        <f t="shared" si="31"/>
        <v>2025</v>
      </c>
    </row>
    <row r="505" spans="1:21" x14ac:dyDescent="0.3">
      <c r="A505" t="s">
        <v>1055</v>
      </c>
      <c r="B505" t="s">
        <v>5497</v>
      </c>
      <c r="C505" t="s">
        <v>5057</v>
      </c>
      <c r="D505" t="s">
        <v>4372</v>
      </c>
      <c r="E505">
        <v>29</v>
      </c>
      <c r="F505" t="s">
        <v>5498</v>
      </c>
      <c r="G505">
        <v>9445512599</v>
      </c>
      <c r="H505" t="s">
        <v>4410</v>
      </c>
      <c r="I505" t="s">
        <v>4411</v>
      </c>
      <c r="J505" t="s">
        <v>4482</v>
      </c>
      <c r="K505">
        <v>7.4</v>
      </c>
      <c r="L505">
        <v>13.5</v>
      </c>
      <c r="M505">
        <v>16.600000000000001</v>
      </c>
      <c r="N505" t="s">
        <v>4390</v>
      </c>
      <c r="O505" t="s">
        <v>4369</v>
      </c>
      <c r="P505" s="1">
        <v>45849</v>
      </c>
      <c r="Q505" t="str">
        <f t="shared" si="28"/>
        <v>10+ Years</v>
      </c>
      <c r="R505" t="str">
        <f>IF(Table7[[#This Row],[Age]]&lt;=25,"20-25",IF(Table7[[#This Row],[Age]]&lt;=30,"26-30",IF(Table7[[#This Row],[Age]]&lt;=35,"31-35","36+")))</f>
        <v>26-30</v>
      </c>
      <c r="S505" t="str">
        <f t="shared" si="29"/>
        <v>July</v>
      </c>
      <c r="T505" s="2" t="str">
        <f t="shared" si="30"/>
        <v>Q3</v>
      </c>
      <c r="U505" s="2">
        <f t="shared" si="31"/>
        <v>2025</v>
      </c>
    </row>
    <row r="506" spans="1:21" x14ac:dyDescent="0.3">
      <c r="A506" t="s">
        <v>3479</v>
      </c>
      <c r="B506" t="s">
        <v>4901</v>
      </c>
      <c r="C506" t="s">
        <v>5416</v>
      </c>
      <c r="D506" t="s">
        <v>4363</v>
      </c>
      <c r="E506">
        <v>25</v>
      </c>
      <c r="F506" t="s">
        <v>5499</v>
      </c>
      <c r="G506">
        <v>9989087883</v>
      </c>
      <c r="H506" t="s">
        <v>4506</v>
      </c>
      <c r="I506" t="s">
        <v>4507</v>
      </c>
      <c r="J506" t="s">
        <v>4367</v>
      </c>
      <c r="K506">
        <v>3.2</v>
      </c>
      <c r="L506">
        <v>7.7</v>
      </c>
      <c r="M506">
        <v>10.199999999999999</v>
      </c>
      <c r="N506" t="s">
        <v>4368</v>
      </c>
      <c r="O506" t="s">
        <v>4391</v>
      </c>
      <c r="P506" s="1">
        <v>45945</v>
      </c>
      <c r="Q506" t="str">
        <f t="shared" si="28"/>
        <v>10+ Years</v>
      </c>
      <c r="R506" t="str">
        <f>IF(Table7[[#This Row],[Age]]&lt;=25,"20-25",IF(Table7[[#This Row],[Age]]&lt;=30,"26-30",IF(Table7[[#This Row],[Age]]&lt;=35,"31-35","36+")))</f>
        <v>20-25</v>
      </c>
      <c r="S506" t="str">
        <f t="shared" si="29"/>
        <v>October</v>
      </c>
      <c r="T506" s="2" t="str">
        <f t="shared" si="30"/>
        <v>Q4</v>
      </c>
      <c r="U506" s="2">
        <f t="shared" si="31"/>
        <v>2025</v>
      </c>
    </row>
    <row r="507" spans="1:21" x14ac:dyDescent="0.3">
      <c r="A507" t="s">
        <v>1475</v>
      </c>
      <c r="B507" t="s">
        <v>5500</v>
      </c>
      <c r="C507" t="s">
        <v>5135</v>
      </c>
      <c r="D507" t="s">
        <v>4363</v>
      </c>
      <c r="E507">
        <v>28</v>
      </c>
      <c r="F507" t="s">
        <v>5501</v>
      </c>
      <c r="G507">
        <v>9247842165</v>
      </c>
      <c r="H507" t="s">
        <v>4454</v>
      </c>
      <c r="I507" t="s">
        <v>4455</v>
      </c>
      <c r="J507" t="s">
        <v>4432</v>
      </c>
      <c r="K507">
        <v>9.5</v>
      </c>
      <c r="L507">
        <v>18.5</v>
      </c>
      <c r="M507">
        <v>21.5</v>
      </c>
      <c r="N507" t="s">
        <v>4494</v>
      </c>
      <c r="O507" t="s">
        <v>4369</v>
      </c>
      <c r="P507" s="1">
        <v>45728</v>
      </c>
      <c r="Q507" t="str">
        <f t="shared" si="28"/>
        <v>10+ Years</v>
      </c>
      <c r="R507" t="str">
        <f>IF(Table7[[#This Row],[Age]]&lt;=25,"20-25",IF(Table7[[#This Row],[Age]]&lt;=30,"26-30",IF(Table7[[#This Row],[Age]]&lt;=35,"31-35","36+")))</f>
        <v>26-30</v>
      </c>
      <c r="S507" t="str">
        <f t="shared" si="29"/>
        <v>March</v>
      </c>
      <c r="T507" s="2" t="str">
        <f t="shared" si="30"/>
        <v>Q1</v>
      </c>
      <c r="U507" s="2">
        <f t="shared" si="31"/>
        <v>2025</v>
      </c>
    </row>
    <row r="508" spans="1:21" x14ac:dyDescent="0.3">
      <c r="A508" t="s">
        <v>1916</v>
      </c>
      <c r="B508" t="s">
        <v>5502</v>
      </c>
      <c r="C508" t="s">
        <v>5503</v>
      </c>
      <c r="D508" t="s">
        <v>4720</v>
      </c>
      <c r="E508">
        <v>21</v>
      </c>
      <c r="F508" t="s">
        <v>5504</v>
      </c>
      <c r="G508">
        <v>9724287385</v>
      </c>
      <c r="H508" t="s">
        <v>4476</v>
      </c>
      <c r="I508" t="s">
        <v>4477</v>
      </c>
      <c r="J508" t="s">
        <v>4450</v>
      </c>
      <c r="K508">
        <v>0.3</v>
      </c>
      <c r="M508">
        <v>8.3000000000000007</v>
      </c>
      <c r="N508" t="s">
        <v>4368</v>
      </c>
      <c r="O508" t="s">
        <v>4369</v>
      </c>
      <c r="P508" s="1">
        <v>45957</v>
      </c>
      <c r="Q508" t="str">
        <f t="shared" si="28"/>
        <v>10+ Years</v>
      </c>
      <c r="R508" t="str">
        <f>IF(Table7[[#This Row],[Age]]&lt;=25,"20-25",IF(Table7[[#This Row],[Age]]&lt;=30,"26-30",IF(Table7[[#This Row],[Age]]&lt;=35,"31-35","36+")))</f>
        <v>20-25</v>
      </c>
      <c r="S508" t="str">
        <f t="shared" si="29"/>
        <v>October</v>
      </c>
      <c r="T508" s="2" t="str">
        <f t="shared" si="30"/>
        <v>Q4</v>
      </c>
      <c r="U508" s="2">
        <f t="shared" si="31"/>
        <v>2025</v>
      </c>
    </row>
    <row r="509" spans="1:21" x14ac:dyDescent="0.3">
      <c r="A509" t="s">
        <v>2649</v>
      </c>
      <c r="B509" t="s">
        <v>4596</v>
      </c>
      <c r="C509" t="s">
        <v>4434</v>
      </c>
      <c r="D509" t="s">
        <v>4363</v>
      </c>
      <c r="E509">
        <v>25</v>
      </c>
      <c r="F509" t="s">
        <v>5505</v>
      </c>
      <c r="G509">
        <v>9371847290</v>
      </c>
      <c r="H509" t="s">
        <v>4387</v>
      </c>
      <c r="I509" t="s">
        <v>4388</v>
      </c>
      <c r="J509" t="s">
        <v>4376</v>
      </c>
      <c r="K509">
        <v>1.1000000000000001</v>
      </c>
      <c r="L509">
        <v>14.2</v>
      </c>
      <c r="M509">
        <v>16.899999999999999</v>
      </c>
      <c r="N509" t="s">
        <v>4368</v>
      </c>
      <c r="O509" t="s">
        <v>4400</v>
      </c>
      <c r="P509" s="1">
        <v>46022</v>
      </c>
      <c r="Q509" t="str">
        <f t="shared" si="28"/>
        <v>10+ Years</v>
      </c>
      <c r="R509" t="str">
        <f>IF(Table7[[#This Row],[Age]]&lt;=25,"20-25",IF(Table7[[#This Row],[Age]]&lt;=30,"26-30",IF(Table7[[#This Row],[Age]]&lt;=35,"31-35","36+")))</f>
        <v>20-25</v>
      </c>
      <c r="S509" t="str">
        <f t="shared" si="29"/>
        <v>December</v>
      </c>
      <c r="T509" s="2" t="str">
        <f t="shared" si="30"/>
        <v>Q4</v>
      </c>
      <c r="U509" s="2">
        <f t="shared" si="31"/>
        <v>2025</v>
      </c>
    </row>
    <row r="510" spans="1:21" x14ac:dyDescent="0.3">
      <c r="A510" t="s">
        <v>1411</v>
      </c>
      <c r="B510" t="s">
        <v>4668</v>
      </c>
      <c r="C510" t="s">
        <v>4637</v>
      </c>
      <c r="D510" t="s">
        <v>4372</v>
      </c>
      <c r="E510">
        <v>28</v>
      </c>
      <c r="F510" t="s">
        <v>5506</v>
      </c>
      <c r="G510">
        <v>9567699758</v>
      </c>
      <c r="H510" t="s">
        <v>4387</v>
      </c>
      <c r="I510" t="s">
        <v>4388</v>
      </c>
      <c r="J510" t="s">
        <v>4446</v>
      </c>
      <c r="K510">
        <v>2.2999999999999998</v>
      </c>
      <c r="L510">
        <v>9.9</v>
      </c>
      <c r="M510">
        <v>14.2</v>
      </c>
      <c r="N510" t="s">
        <v>4377</v>
      </c>
      <c r="O510" t="s">
        <v>4369</v>
      </c>
      <c r="P510" s="1">
        <v>45747</v>
      </c>
      <c r="Q510" t="str">
        <f t="shared" si="28"/>
        <v>10+ Years</v>
      </c>
      <c r="R510" t="str">
        <f>IF(Table7[[#This Row],[Age]]&lt;=25,"20-25",IF(Table7[[#This Row],[Age]]&lt;=30,"26-30",IF(Table7[[#This Row],[Age]]&lt;=35,"31-35","36+")))</f>
        <v>26-30</v>
      </c>
      <c r="S510" t="str">
        <f t="shared" si="29"/>
        <v>March</v>
      </c>
      <c r="T510" s="2" t="str">
        <f t="shared" si="30"/>
        <v>Q1</v>
      </c>
      <c r="U510" s="2">
        <f t="shared" si="31"/>
        <v>2025</v>
      </c>
    </row>
    <row r="511" spans="1:21" x14ac:dyDescent="0.3">
      <c r="A511" t="s">
        <v>57</v>
      </c>
      <c r="B511" t="s">
        <v>4921</v>
      </c>
      <c r="C511" t="s">
        <v>5330</v>
      </c>
      <c r="D511" t="s">
        <v>4363</v>
      </c>
      <c r="E511">
        <v>28</v>
      </c>
      <c r="F511" t="s">
        <v>5507</v>
      </c>
      <c r="G511">
        <v>9178750665</v>
      </c>
      <c r="H511" t="s">
        <v>4374</v>
      </c>
      <c r="I511" t="s">
        <v>4375</v>
      </c>
      <c r="J511" t="s">
        <v>4482</v>
      </c>
      <c r="K511">
        <v>5.7</v>
      </c>
      <c r="L511">
        <v>14.2</v>
      </c>
      <c r="M511">
        <v>17.3</v>
      </c>
      <c r="N511" t="s">
        <v>4390</v>
      </c>
      <c r="O511" t="s">
        <v>4456</v>
      </c>
      <c r="P511" s="1">
        <v>45956</v>
      </c>
      <c r="Q511" t="str">
        <f t="shared" si="28"/>
        <v>10+ Years</v>
      </c>
      <c r="R511" t="str">
        <f>IF(Table7[[#This Row],[Age]]&lt;=25,"20-25",IF(Table7[[#This Row],[Age]]&lt;=30,"26-30",IF(Table7[[#This Row],[Age]]&lt;=35,"31-35","36+")))</f>
        <v>26-30</v>
      </c>
      <c r="S511" t="str">
        <f t="shared" si="29"/>
        <v>October</v>
      </c>
      <c r="T511" s="2" t="str">
        <f t="shared" si="30"/>
        <v>Q4</v>
      </c>
      <c r="U511" s="2">
        <f t="shared" si="31"/>
        <v>2025</v>
      </c>
    </row>
    <row r="512" spans="1:21" x14ac:dyDescent="0.3">
      <c r="A512" t="s">
        <v>110</v>
      </c>
      <c r="B512" t="s">
        <v>4573</v>
      </c>
      <c r="C512" t="s">
        <v>4571</v>
      </c>
      <c r="D512" t="s">
        <v>4372</v>
      </c>
      <c r="E512">
        <v>25</v>
      </c>
      <c r="F512" t="s">
        <v>5508</v>
      </c>
      <c r="G512">
        <v>9636434560</v>
      </c>
      <c r="H512" t="s">
        <v>4395</v>
      </c>
      <c r="I512" t="s">
        <v>4396</v>
      </c>
      <c r="J512" t="s">
        <v>4376</v>
      </c>
      <c r="K512">
        <v>1.7</v>
      </c>
      <c r="L512">
        <v>7.5</v>
      </c>
      <c r="M512">
        <v>10.1</v>
      </c>
      <c r="N512" t="s">
        <v>4390</v>
      </c>
      <c r="O512" t="s">
        <v>4383</v>
      </c>
      <c r="P512" s="1">
        <v>45943</v>
      </c>
      <c r="Q512" t="str">
        <f t="shared" si="28"/>
        <v>10+ Years</v>
      </c>
      <c r="R512" t="str">
        <f>IF(Table7[[#This Row],[Age]]&lt;=25,"20-25",IF(Table7[[#This Row],[Age]]&lt;=30,"26-30",IF(Table7[[#This Row],[Age]]&lt;=35,"31-35","36+")))</f>
        <v>20-25</v>
      </c>
      <c r="S512" t="str">
        <f t="shared" si="29"/>
        <v>October</v>
      </c>
      <c r="T512" s="2" t="str">
        <f t="shared" si="30"/>
        <v>Q4</v>
      </c>
      <c r="U512" s="2">
        <f t="shared" si="31"/>
        <v>2025</v>
      </c>
    </row>
    <row r="513" spans="1:21" x14ac:dyDescent="0.3">
      <c r="A513" t="s">
        <v>146</v>
      </c>
      <c r="B513" t="s">
        <v>5509</v>
      </c>
      <c r="C513" t="s">
        <v>4434</v>
      </c>
      <c r="D513" t="s">
        <v>4372</v>
      </c>
      <c r="E513">
        <v>25</v>
      </c>
      <c r="F513" t="s">
        <v>5510</v>
      </c>
      <c r="G513">
        <v>9735855509</v>
      </c>
      <c r="H513" t="s">
        <v>4387</v>
      </c>
      <c r="I513" t="s">
        <v>4388</v>
      </c>
      <c r="J513" t="s">
        <v>4432</v>
      </c>
      <c r="K513">
        <v>0.6</v>
      </c>
      <c r="L513">
        <v>4.9000000000000004</v>
      </c>
      <c r="M513">
        <v>6.1</v>
      </c>
      <c r="N513" t="s">
        <v>4377</v>
      </c>
      <c r="O513" t="s">
        <v>4419</v>
      </c>
      <c r="P513" s="1">
        <v>45987</v>
      </c>
      <c r="Q513" t="str">
        <f t="shared" si="28"/>
        <v>10+ Years</v>
      </c>
      <c r="R513" t="str">
        <f>IF(Table7[[#This Row],[Age]]&lt;=25,"20-25",IF(Table7[[#This Row],[Age]]&lt;=30,"26-30",IF(Table7[[#This Row],[Age]]&lt;=35,"31-35","36+")))</f>
        <v>20-25</v>
      </c>
      <c r="S513" t="str">
        <f t="shared" si="29"/>
        <v>November</v>
      </c>
      <c r="T513" s="2" t="str">
        <f t="shared" si="30"/>
        <v>Q4</v>
      </c>
      <c r="U513" s="2">
        <f t="shared" si="31"/>
        <v>2025</v>
      </c>
    </row>
    <row r="514" spans="1:21" x14ac:dyDescent="0.3">
      <c r="A514" t="s">
        <v>2895</v>
      </c>
      <c r="B514" t="s">
        <v>4407</v>
      </c>
      <c r="C514" t="s">
        <v>4362</v>
      </c>
      <c r="D514" t="s">
        <v>4372</v>
      </c>
      <c r="E514">
        <v>37</v>
      </c>
      <c r="F514" t="s">
        <v>5511</v>
      </c>
      <c r="G514">
        <v>9662495187</v>
      </c>
      <c r="H514" t="s">
        <v>4454</v>
      </c>
      <c r="I514" t="s">
        <v>4455</v>
      </c>
      <c r="J514" t="s">
        <v>4389</v>
      </c>
      <c r="K514">
        <v>5.6</v>
      </c>
      <c r="L514">
        <v>12.3</v>
      </c>
      <c r="M514">
        <v>14.1</v>
      </c>
      <c r="N514" t="s">
        <v>4390</v>
      </c>
      <c r="O514" t="s">
        <v>4383</v>
      </c>
      <c r="P514" s="1">
        <v>45899</v>
      </c>
      <c r="Q514" t="str">
        <f t="shared" ref="Q514:Q577" si="32">IF(P514&lt;=2,"0-2 Years",IF(P514&lt;=5,"3-5 Years",IF(P514&lt;=10,"6-10 Years","10+ Years")))</f>
        <v>10+ Years</v>
      </c>
      <c r="R514" t="str">
        <f>IF(Table7[[#This Row],[Age]]&lt;=25,"20-25",IF(Table7[[#This Row],[Age]]&lt;=30,"26-30",IF(Table7[[#This Row],[Age]]&lt;=35,"31-35","36+")))</f>
        <v>36+</v>
      </c>
      <c r="S514" t="str">
        <f t="shared" ref="S514:S577" si="33">TEXT(P514,"mmmm")</f>
        <v>August</v>
      </c>
      <c r="T514" s="2" t="str">
        <f t="shared" ref="T514:T577" si="34">"Q"&amp;ROUNDUP(MONTH(P514)/3,0)</f>
        <v>Q3</v>
      </c>
      <c r="U514" s="2">
        <f t="shared" ref="U514:U577" si="35">YEAR(P514)</f>
        <v>2025</v>
      </c>
    </row>
    <row r="515" spans="1:21" x14ac:dyDescent="0.3">
      <c r="A515" t="s">
        <v>1464</v>
      </c>
      <c r="B515" t="s">
        <v>4668</v>
      </c>
      <c r="C515" t="s">
        <v>4988</v>
      </c>
      <c r="D515" t="s">
        <v>4372</v>
      </c>
      <c r="E515">
        <v>31</v>
      </c>
      <c r="F515" t="s">
        <v>5512</v>
      </c>
      <c r="G515">
        <v>9958561490</v>
      </c>
      <c r="H515" t="s">
        <v>4387</v>
      </c>
      <c r="I515" t="s">
        <v>4388</v>
      </c>
      <c r="J515" t="s">
        <v>4367</v>
      </c>
      <c r="K515">
        <v>1.2</v>
      </c>
      <c r="L515">
        <v>9</v>
      </c>
      <c r="M515">
        <v>11.5</v>
      </c>
      <c r="N515" t="s">
        <v>4390</v>
      </c>
      <c r="O515" t="s">
        <v>4456</v>
      </c>
      <c r="P515" s="1">
        <v>45989</v>
      </c>
      <c r="Q515" t="str">
        <f t="shared" si="32"/>
        <v>10+ Years</v>
      </c>
      <c r="R515" t="str">
        <f>IF(Table7[[#This Row],[Age]]&lt;=25,"20-25",IF(Table7[[#This Row],[Age]]&lt;=30,"26-30",IF(Table7[[#This Row],[Age]]&lt;=35,"31-35","36+")))</f>
        <v>31-35</v>
      </c>
      <c r="S515" t="str">
        <f t="shared" si="33"/>
        <v>November</v>
      </c>
      <c r="T515" s="2" t="str">
        <f t="shared" si="34"/>
        <v>Q4</v>
      </c>
      <c r="U515" s="2">
        <f t="shared" si="35"/>
        <v>2025</v>
      </c>
    </row>
    <row r="516" spans="1:21" x14ac:dyDescent="0.3">
      <c r="A516" t="s">
        <v>1722</v>
      </c>
      <c r="B516" t="s">
        <v>4668</v>
      </c>
      <c r="C516" t="s">
        <v>4797</v>
      </c>
      <c r="D516" t="s">
        <v>4363</v>
      </c>
      <c r="E516">
        <v>42</v>
      </c>
      <c r="F516" t="s">
        <v>5513</v>
      </c>
      <c r="G516">
        <v>9448176626</v>
      </c>
      <c r="H516" t="s">
        <v>4473</v>
      </c>
      <c r="I516" t="s">
        <v>4473</v>
      </c>
      <c r="K516">
        <v>2.8</v>
      </c>
      <c r="L516">
        <v>3.6</v>
      </c>
      <c r="M516">
        <v>5.2</v>
      </c>
      <c r="N516" t="s">
        <v>4406</v>
      </c>
      <c r="O516" t="s">
        <v>4419</v>
      </c>
      <c r="P516" s="1">
        <v>45935</v>
      </c>
      <c r="Q516" t="str">
        <f t="shared" si="32"/>
        <v>10+ Years</v>
      </c>
      <c r="R516" t="str">
        <f>IF(Table7[[#This Row],[Age]]&lt;=25,"20-25",IF(Table7[[#This Row],[Age]]&lt;=30,"26-30",IF(Table7[[#This Row],[Age]]&lt;=35,"31-35","36+")))</f>
        <v>36+</v>
      </c>
      <c r="S516" t="str">
        <f t="shared" si="33"/>
        <v>October</v>
      </c>
      <c r="T516" s="2" t="str">
        <f t="shared" si="34"/>
        <v>Q4</v>
      </c>
      <c r="U516" s="2">
        <f t="shared" si="35"/>
        <v>2025</v>
      </c>
    </row>
    <row r="517" spans="1:21" x14ac:dyDescent="0.3">
      <c r="A517" t="s">
        <v>507</v>
      </c>
      <c r="B517" t="s">
        <v>4495</v>
      </c>
      <c r="C517" t="s">
        <v>4729</v>
      </c>
      <c r="D517" t="s">
        <v>4372</v>
      </c>
      <c r="E517">
        <v>21</v>
      </c>
      <c r="F517" t="s">
        <v>5514</v>
      </c>
      <c r="G517">
        <v>9902356142</v>
      </c>
      <c r="H517" t="s">
        <v>4365</v>
      </c>
      <c r="I517" t="s">
        <v>4366</v>
      </c>
      <c r="J517" t="s">
        <v>4482</v>
      </c>
      <c r="K517">
        <v>1.3</v>
      </c>
      <c r="L517">
        <v>8</v>
      </c>
      <c r="M517">
        <v>10.8</v>
      </c>
      <c r="N517" t="s">
        <v>4390</v>
      </c>
      <c r="O517" t="s">
        <v>4391</v>
      </c>
      <c r="P517" s="1">
        <v>45844</v>
      </c>
      <c r="Q517" t="str">
        <f t="shared" si="32"/>
        <v>10+ Years</v>
      </c>
      <c r="R517" t="str">
        <f>IF(Table7[[#This Row],[Age]]&lt;=25,"20-25",IF(Table7[[#This Row],[Age]]&lt;=30,"26-30",IF(Table7[[#This Row],[Age]]&lt;=35,"31-35","36+")))</f>
        <v>20-25</v>
      </c>
      <c r="S517" t="str">
        <f t="shared" si="33"/>
        <v>July</v>
      </c>
      <c r="T517" s="2" t="str">
        <f t="shared" si="34"/>
        <v>Q3</v>
      </c>
      <c r="U517" s="2">
        <f t="shared" si="35"/>
        <v>2025</v>
      </c>
    </row>
    <row r="518" spans="1:21" x14ac:dyDescent="0.3">
      <c r="A518" t="s">
        <v>3730</v>
      </c>
      <c r="B518" t="s">
        <v>4666</v>
      </c>
      <c r="C518" t="s">
        <v>4890</v>
      </c>
      <c r="D518" t="s">
        <v>4372</v>
      </c>
      <c r="E518">
        <v>33</v>
      </c>
      <c r="F518" t="s">
        <v>5515</v>
      </c>
      <c r="G518">
        <v>9786977836</v>
      </c>
      <c r="H518" t="s">
        <v>4365</v>
      </c>
      <c r="I518" t="s">
        <v>4366</v>
      </c>
      <c r="J518" t="s">
        <v>4446</v>
      </c>
      <c r="K518">
        <v>5.4</v>
      </c>
      <c r="L518">
        <v>6.2</v>
      </c>
      <c r="M518">
        <v>7.2</v>
      </c>
      <c r="N518" t="s">
        <v>4390</v>
      </c>
      <c r="O518" t="s">
        <v>4485</v>
      </c>
      <c r="P518" s="1">
        <v>45973</v>
      </c>
      <c r="Q518" t="str">
        <f t="shared" si="32"/>
        <v>10+ Years</v>
      </c>
      <c r="R518" t="str">
        <f>IF(Table7[[#This Row],[Age]]&lt;=25,"20-25",IF(Table7[[#This Row],[Age]]&lt;=30,"26-30",IF(Table7[[#This Row],[Age]]&lt;=35,"31-35","36+")))</f>
        <v>31-35</v>
      </c>
      <c r="S518" t="str">
        <f t="shared" si="33"/>
        <v>November</v>
      </c>
      <c r="T518" s="2" t="str">
        <f t="shared" si="34"/>
        <v>Q4</v>
      </c>
      <c r="U518" s="2">
        <f t="shared" si="35"/>
        <v>2025</v>
      </c>
    </row>
    <row r="519" spans="1:21" x14ac:dyDescent="0.3">
      <c r="A519" t="s">
        <v>3883</v>
      </c>
      <c r="B519" t="s">
        <v>4967</v>
      </c>
      <c r="C519" t="s">
        <v>5516</v>
      </c>
      <c r="D519" t="s">
        <v>4372</v>
      </c>
      <c r="E519">
        <v>23</v>
      </c>
      <c r="F519" t="s">
        <v>5517</v>
      </c>
      <c r="G519">
        <v>9604199365</v>
      </c>
      <c r="H519" t="s">
        <v>4521</v>
      </c>
      <c r="I519" t="s">
        <v>4522</v>
      </c>
      <c r="J519" t="s">
        <v>4415</v>
      </c>
      <c r="K519">
        <v>0.6</v>
      </c>
      <c r="L519">
        <v>15.8</v>
      </c>
      <c r="M519">
        <v>19.399999999999999</v>
      </c>
      <c r="N519" t="s">
        <v>4390</v>
      </c>
      <c r="O519" t="s">
        <v>4391</v>
      </c>
      <c r="P519" s="1">
        <v>45881</v>
      </c>
      <c r="Q519" t="str">
        <f t="shared" si="32"/>
        <v>10+ Years</v>
      </c>
      <c r="R519" t="str">
        <f>IF(Table7[[#This Row],[Age]]&lt;=25,"20-25",IF(Table7[[#This Row],[Age]]&lt;=30,"26-30",IF(Table7[[#This Row],[Age]]&lt;=35,"31-35","36+")))</f>
        <v>20-25</v>
      </c>
      <c r="S519" t="str">
        <f t="shared" si="33"/>
        <v>August</v>
      </c>
      <c r="T519" s="2" t="str">
        <f t="shared" si="34"/>
        <v>Q3</v>
      </c>
      <c r="U519" s="2">
        <f t="shared" si="35"/>
        <v>2025</v>
      </c>
    </row>
    <row r="520" spans="1:21" x14ac:dyDescent="0.3">
      <c r="A520" t="s">
        <v>1218</v>
      </c>
      <c r="B520" t="s">
        <v>5518</v>
      </c>
      <c r="C520" t="s">
        <v>5032</v>
      </c>
      <c r="D520" t="s">
        <v>4372</v>
      </c>
      <c r="E520">
        <v>23</v>
      </c>
      <c r="F520" t="s">
        <v>5519</v>
      </c>
      <c r="G520">
        <v>9844229908</v>
      </c>
      <c r="H520" t="s">
        <v>4410</v>
      </c>
      <c r="I520" t="s">
        <v>4411</v>
      </c>
      <c r="J520" t="s">
        <v>4389</v>
      </c>
      <c r="K520">
        <v>0.9</v>
      </c>
      <c r="L520">
        <v>5.2</v>
      </c>
      <c r="M520">
        <v>7.2</v>
      </c>
      <c r="N520" t="s">
        <v>4390</v>
      </c>
      <c r="O520" t="s">
        <v>4369</v>
      </c>
      <c r="P520" s="1">
        <v>45980</v>
      </c>
      <c r="Q520" t="str">
        <f t="shared" si="32"/>
        <v>10+ Years</v>
      </c>
      <c r="R520" t="str">
        <f>IF(Table7[[#This Row],[Age]]&lt;=25,"20-25",IF(Table7[[#This Row],[Age]]&lt;=30,"26-30",IF(Table7[[#This Row],[Age]]&lt;=35,"31-35","36+")))</f>
        <v>20-25</v>
      </c>
      <c r="S520" t="str">
        <f t="shared" si="33"/>
        <v>November</v>
      </c>
      <c r="T520" s="2" t="str">
        <f t="shared" si="34"/>
        <v>Q4</v>
      </c>
      <c r="U520" s="2">
        <f t="shared" si="35"/>
        <v>2025</v>
      </c>
    </row>
    <row r="521" spans="1:21" x14ac:dyDescent="0.3">
      <c r="A521" t="s">
        <v>339</v>
      </c>
      <c r="B521" t="s">
        <v>4465</v>
      </c>
      <c r="C521" t="s">
        <v>4757</v>
      </c>
      <c r="D521" t="s">
        <v>4363</v>
      </c>
      <c r="E521">
        <v>21</v>
      </c>
      <c r="F521" t="s">
        <v>5520</v>
      </c>
      <c r="G521">
        <v>9789435297</v>
      </c>
      <c r="H521" t="s">
        <v>4365</v>
      </c>
      <c r="I521" t="s">
        <v>4366</v>
      </c>
      <c r="J521" t="s">
        <v>4376</v>
      </c>
      <c r="K521">
        <v>6.7</v>
      </c>
      <c r="L521">
        <v>15.5</v>
      </c>
      <c r="M521">
        <v>21</v>
      </c>
      <c r="N521" t="s">
        <v>4494</v>
      </c>
      <c r="O521" t="s">
        <v>4369</v>
      </c>
      <c r="P521" s="1">
        <v>45812</v>
      </c>
      <c r="Q521" t="str">
        <f t="shared" si="32"/>
        <v>10+ Years</v>
      </c>
      <c r="R521" t="str">
        <f>IF(Table7[[#This Row],[Age]]&lt;=25,"20-25",IF(Table7[[#This Row],[Age]]&lt;=30,"26-30",IF(Table7[[#This Row],[Age]]&lt;=35,"31-35","36+")))</f>
        <v>20-25</v>
      </c>
      <c r="S521" t="str">
        <f t="shared" si="33"/>
        <v>June</v>
      </c>
      <c r="T521" s="2" t="str">
        <f t="shared" si="34"/>
        <v>Q2</v>
      </c>
      <c r="U521" s="2">
        <f t="shared" si="35"/>
        <v>2025</v>
      </c>
    </row>
    <row r="522" spans="1:21" x14ac:dyDescent="0.3">
      <c r="A522" t="s">
        <v>2338</v>
      </c>
      <c r="B522" t="s">
        <v>4447</v>
      </c>
      <c r="C522" t="s">
        <v>4532</v>
      </c>
      <c r="D522" t="s">
        <v>4363</v>
      </c>
      <c r="E522">
        <v>32</v>
      </c>
      <c r="F522" t="s">
        <v>5521</v>
      </c>
      <c r="G522">
        <v>9982158748</v>
      </c>
      <c r="H522" t="s">
        <v>4445</v>
      </c>
      <c r="I522" t="s">
        <v>4396</v>
      </c>
      <c r="J522" t="s">
        <v>4376</v>
      </c>
      <c r="K522">
        <v>2.6</v>
      </c>
      <c r="L522">
        <v>8.5</v>
      </c>
      <c r="M522">
        <v>11.9</v>
      </c>
      <c r="N522" t="s">
        <v>4377</v>
      </c>
      <c r="O522" t="s">
        <v>4383</v>
      </c>
      <c r="P522" s="1">
        <v>45759</v>
      </c>
      <c r="Q522" t="str">
        <f t="shared" si="32"/>
        <v>10+ Years</v>
      </c>
      <c r="R522" t="str">
        <f>IF(Table7[[#This Row],[Age]]&lt;=25,"20-25",IF(Table7[[#This Row],[Age]]&lt;=30,"26-30",IF(Table7[[#This Row],[Age]]&lt;=35,"31-35","36+")))</f>
        <v>31-35</v>
      </c>
      <c r="S522" t="str">
        <f t="shared" si="33"/>
        <v>April</v>
      </c>
      <c r="T522" s="2" t="str">
        <f t="shared" si="34"/>
        <v>Q2</v>
      </c>
      <c r="U522" s="2">
        <f t="shared" si="35"/>
        <v>2025</v>
      </c>
    </row>
    <row r="523" spans="1:21" x14ac:dyDescent="0.3">
      <c r="A523" t="s">
        <v>3030</v>
      </c>
      <c r="B523" t="s">
        <v>4563</v>
      </c>
      <c r="C523" t="s">
        <v>4890</v>
      </c>
      <c r="D523" t="s">
        <v>4363</v>
      </c>
      <c r="E523">
        <v>22</v>
      </c>
      <c r="F523" t="s">
        <v>5522</v>
      </c>
      <c r="G523">
        <v>9674292135</v>
      </c>
      <c r="H523" t="s">
        <v>4381</v>
      </c>
      <c r="I523" t="s">
        <v>4382</v>
      </c>
      <c r="J523" t="s">
        <v>4389</v>
      </c>
      <c r="K523">
        <v>5.2</v>
      </c>
      <c r="L523">
        <v>12.5</v>
      </c>
      <c r="M523">
        <v>15.1</v>
      </c>
      <c r="N523" t="s">
        <v>4406</v>
      </c>
      <c r="O523" t="s">
        <v>4369</v>
      </c>
      <c r="P523" s="1">
        <v>45746</v>
      </c>
      <c r="Q523" t="str">
        <f t="shared" si="32"/>
        <v>10+ Years</v>
      </c>
      <c r="R523" t="str">
        <f>IF(Table7[[#This Row],[Age]]&lt;=25,"20-25",IF(Table7[[#This Row],[Age]]&lt;=30,"26-30",IF(Table7[[#This Row],[Age]]&lt;=35,"31-35","36+")))</f>
        <v>20-25</v>
      </c>
      <c r="S523" t="str">
        <f t="shared" si="33"/>
        <v>March</v>
      </c>
      <c r="T523" s="2" t="str">
        <f t="shared" si="34"/>
        <v>Q1</v>
      </c>
      <c r="U523" s="2">
        <f t="shared" si="35"/>
        <v>2025</v>
      </c>
    </row>
    <row r="524" spans="1:21" x14ac:dyDescent="0.3">
      <c r="A524" t="s">
        <v>531</v>
      </c>
      <c r="B524" t="s">
        <v>4461</v>
      </c>
      <c r="C524" t="s">
        <v>4434</v>
      </c>
      <c r="D524" t="s">
        <v>4372</v>
      </c>
      <c r="E524">
        <v>28</v>
      </c>
      <c r="F524" t="s">
        <v>5523</v>
      </c>
      <c r="G524">
        <v>9104225747</v>
      </c>
      <c r="H524" t="s">
        <v>4395</v>
      </c>
      <c r="I524" t="s">
        <v>4396</v>
      </c>
      <c r="J524" t="s">
        <v>4432</v>
      </c>
      <c r="K524">
        <v>10.7</v>
      </c>
      <c r="L524">
        <v>21</v>
      </c>
      <c r="M524">
        <v>25.4</v>
      </c>
      <c r="N524" t="s">
        <v>4390</v>
      </c>
      <c r="O524" t="s">
        <v>4419</v>
      </c>
      <c r="P524" s="1">
        <v>45667</v>
      </c>
      <c r="Q524" t="str">
        <f t="shared" si="32"/>
        <v>10+ Years</v>
      </c>
      <c r="R524" t="str">
        <f>IF(Table7[[#This Row],[Age]]&lt;=25,"20-25",IF(Table7[[#This Row],[Age]]&lt;=30,"26-30",IF(Table7[[#This Row],[Age]]&lt;=35,"31-35","36+")))</f>
        <v>26-30</v>
      </c>
      <c r="S524" t="str">
        <f t="shared" si="33"/>
        <v>January</v>
      </c>
      <c r="T524" s="2" t="str">
        <f t="shared" si="34"/>
        <v>Q1</v>
      </c>
      <c r="U524" s="2">
        <f t="shared" si="35"/>
        <v>2025</v>
      </c>
    </row>
    <row r="525" spans="1:21" x14ac:dyDescent="0.3">
      <c r="A525" t="s">
        <v>1829</v>
      </c>
      <c r="B525" t="s">
        <v>4787</v>
      </c>
      <c r="C525" t="s">
        <v>4583</v>
      </c>
      <c r="D525" t="s">
        <v>4372</v>
      </c>
      <c r="E525">
        <v>21</v>
      </c>
      <c r="F525" t="s">
        <v>5524</v>
      </c>
      <c r="G525">
        <v>9195016189</v>
      </c>
      <c r="H525" t="s">
        <v>4365</v>
      </c>
      <c r="I525" t="s">
        <v>4366</v>
      </c>
      <c r="J525" t="s">
        <v>4367</v>
      </c>
      <c r="K525">
        <v>0.2</v>
      </c>
      <c r="L525">
        <v>4.5999999999999996</v>
      </c>
      <c r="M525">
        <v>5.7</v>
      </c>
      <c r="N525" t="s">
        <v>4390</v>
      </c>
      <c r="O525" t="s">
        <v>4391</v>
      </c>
      <c r="P525" s="1">
        <v>45871</v>
      </c>
      <c r="Q525" t="str">
        <f t="shared" si="32"/>
        <v>10+ Years</v>
      </c>
      <c r="R525" t="str">
        <f>IF(Table7[[#This Row],[Age]]&lt;=25,"20-25",IF(Table7[[#This Row],[Age]]&lt;=30,"26-30",IF(Table7[[#This Row],[Age]]&lt;=35,"31-35","36+")))</f>
        <v>20-25</v>
      </c>
      <c r="S525" t="str">
        <f t="shared" si="33"/>
        <v>August</v>
      </c>
      <c r="T525" s="2" t="str">
        <f t="shared" si="34"/>
        <v>Q3</v>
      </c>
      <c r="U525" s="2">
        <f t="shared" si="35"/>
        <v>2025</v>
      </c>
    </row>
    <row r="526" spans="1:21" x14ac:dyDescent="0.3">
      <c r="A526" t="s">
        <v>5525</v>
      </c>
      <c r="B526" t="s">
        <v>4537</v>
      </c>
      <c r="C526" t="s">
        <v>4515</v>
      </c>
      <c r="D526" t="s">
        <v>4363</v>
      </c>
      <c r="E526">
        <v>34</v>
      </c>
      <c r="F526" t="s">
        <v>5526</v>
      </c>
      <c r="G526">
        <v>9457572014</v>
      </c>
      <c r="H526" t="s">
        <v>4410</v>
      </c>
      <c r="I526" t="s">
        <v>4411</v>
      </c>
      <c r="J526" t="s">
        <v>4450</v>
      </c>
      <c r="K526">
        <v>0.8</v>
      </c>
      <c r="L526">
        <v>13.5</v>
      </c>
      <c r="M526">
        <v>16.3</v>
      </c>
      <c r="N526" t="s">
        <v>4368</v>
      </c>
      <c r="O526" t="s">
        <v>4369</v>
      </c>
      <c r="P526" s="1">
        <v>45684</v>
      </c>
      <c r="Q526" t="str">
        <f t="shared" si="32"/>
        <v>10+ Years</v>
      </c>
      <c r="R526" t="str">
        <f>IF(Table7[[#This Row],[Age]]&lt;=25,"20-25",IF(Table7[[#This Row],[Age]]&lt;=30,"26-30",IF(Table7[[#This Row],[Age]]&lt;=35,"31-35","36+")))</f>
        <v>31-35</v>
      </c>
      <c r="S526" t="str">
        <f t="shared" si="33"/>
        <v>January</v>
      </c>
      <c r="T526" s="2" t="str">
        <f t="shared" si="34"/>
        <v>Q1</v>
      </c>
      <c r="U526" s="2">
        <f t="shared" si="35"/>
        <v>2025</v>
      </c>
    </row>
    <row r="527" spans="1:21" x14ac:dyDescent="0.3">
      <c r="A527" t="s">
        <v>3791</v>
      </c>
      <c r="B527" t="s">
        <v>4565</v>
      </c>
      <c r="C527" t="s">
        <v>5527</v>
      </c>
      <c r="D527" t="s">
        <v>4363</v>
      </c>
      <c r="E527">
        <v>34</v>
      </c>
      <c r="F527" t="s">
        <v>5528</v>
      </c>
      <c r="G527">
        <v>9241481617</v>
      </c>
      <c r="H527" t="s">
        <v>4473</v>
      </c>
      <c r="I527" t="s">
        <v>4473</v>
      </c>
      <c r="J527" t="s">
        <v>4446</v>
      </c>
      <c r="K527">
        <v>1.8</v>
      </c>
      <c r="L527">
        <v>11.7</v>
      </c>
      <c r="M527">
        <v>14.4</v>
      </c>
      <c r="N527" t="s">
        <v>4390</v>
      </c>
      <c r="O527" t="s">
        <v>4369</v>
      </c>
      <c r="P527" s="1">
        <v>45967</v>
      </c>
      <c r="Q527" t="str">
        <f t="shared" si="32"/>
        <v>10+ Years</v>
      </c>
      <c r="R527" t="str">
        <f>IF(Table7[[#This Row],[Age]]&lt;=25,"20-25",IF(Table7[[#This Row],[Age]]&lt;=30,"26-30",IF(Table7[[#This Row],[Age]]&lt;=35,"31-35","36+")))</f>
        <v>31-35</v>
      </c>
      <c r="S527" t="str">
        <f t="shared" si="33"/>
        <v>November</v>
      </c>
      <c r="T527" s="2" t="str">
        <f t="shared" si="34"/>
        <v>Q4</v>
      </c>
      <c r="U527" s="2">
        <f t="shared" si="35"/>
        <v>2025</v>
      </c>
    </row>
    <row r="528" spans="1:21" x14ac:dyDescent="0.3">
      <c r="A528" t="s">
        <v>1521</v>
      </c>
      <c r="B528" t="s">
        <v>5529</v>
      </c>
      <c r="C528" t="s">
        <v>4980</v>
      </c>
      <c r="D528" t="s">
        <v>4363</v>
      </c>
      <c r="E528">
        <v>30</v>
      </c>
      <c r="F528" t="s">
        <v>5530</v>
      </c>
      <c r="G528">
        <v>9964532742</v>
      </c>
      <c r="H528" t="s">
        <v>4410</v>
      </c>
      <c r="I528" t="s">
        <v>4411</v>
      </c>
      <c r="J528" t="s">
        <v>4389</v>
      </c>
      <c r="K528">
        <v>1.3</v>
      </c>
      <c r="L528">
        <v>13.4</v>
      </c>
      <c r="M528">
        <v>18.7</v>
      </c>
      <c r="N528" t="s">
        <v>4390</v>
      </c>
      <c r="O528" t="s">
        <v>4391</v>
      </c>
      <c r="P528" s="1">
        <v>45666</v>
      </c>
      <c r="Q528" t="str">
        <f t="shared" si="32"/>
        <v>10+ Years</v>
      </c>
      <c r="R528" t="str">
        <f>IF(Table7[[#This Row],[Age]]&lt;=25,"20-25",IF(Table7[[#This Row],[Age]]&lt;=30,"26-30",IF(Table7[[#This Row],[Age]]&lt;=35,"31-35","36+")))</f>
        <v>26-30</v>
      </c>
      <c r="S528" t="str">
        <f t="shared" si="33"/>
        <v>January</v>
      </c>
      <c r="T528" s="2" t="str">
        <f t="shared" si="34"/>
        <v>Q1</v>
      </c>
      <c r="U528" s="2">
        <f t="shared" si="35"/>
        <v>2025</v>
      </c>
    </row>
    <row r="529" spans="1:21" x14ac:dyDescent="0.3">
      <c r="A529" t="s">
        <v>1807</v>
      </c>
      <c r="B529" t="s">
        <v>5531</v>
      </c>
      <c r="C529" t="s">
        <v>5330</v>
      </c>
      <c r="D529" t="s">
        <v>4372</v>
      </c>
      <c r="E529">
        <v>39</v>
      </c>
      <c r="F529" t="s">
        <v>5532</v>
      </c>
      <c r="G529">
        <v>9961134735</v>
      </c>
      <c r="H529" t="s">
        <v>4491</v>
      </c>
      <c r="I529" t="s">
        <v>4491</v>
      </c>
      <c r="K529">
        <v>1.3</v>
      </c>
      <c r="L529">
        <v>2.5</v>
      </c>
      <c r="M529">
        <v>3.3</v>
      </c>
      <c r="N529" t="s">
        <v>4368</v>
      </c>
      <c r="O529" t="s">
        <v>4456</v>
      </c>
      <c r="P529" s="1">
        <v>45897</v>
      </c>
      <c r="Q529" t="str">
        <f t="shared" si="32"/>
        <v>10+ Years</v>
      </c>
      <c r="R529" t="str">
        <f>IF(Table7[[#This Row],[Age]]&lt;=25,"20-25",IF(Table7[[#This Row],[Age]]&lt;=30,"26-30",IF(Table7[[#This Row],[Age]]&lt;=35,"31-35","36+")))</f>
        <v>36+</v>
      </c>
      <c r="S529" t="str">
        <f t="shared" si="33"/>
        <v>August</v>
      </c>
      <c r="T529" s="2" t="str">
        <f t="shared" si="34"/>
        <v>Q3</v>
      </c>
      <c r="U529" s="2">
        <f t="shared" si="35"/>
        <v>2025</v>
      </c>
    </row>
    <row r="530" spans="1:21" x14ac:dyDescent="0.3">
      <c r="A530" t="s">
        <v>2762</v>
      </c>
      <c r="B530" t="s">
        <v>4602</v>
      </c>
      <c r="C530" t="s">
        <v>4908</v>
      </c>
      <c r="D530" t="s">
        <v>4363</v>
      </c>
      <c r="E530">
        <v>28</v>
      </c>
      <c r="F530" t="s">
        <v>5533</v>
      </c>
      <c r="G530">
        <v>9768348696</v>
      </c>
      <c r="H530" t="s">
        <v>4445</v>
      </c>
      <c r="I530" t="s">
        <v>4396</v>
      </c>
      <c r="J530" t="s">
        <v>4446</v>
      </c>
      <c r="K530">
        <v>1.9</v>
      </c>
      <c r="L530">
        <v>5.3</v>
      </c>
      <c r="M530">
        <v>6.8</v>
      </c>
      <c r="N530" t="s">
        <v>4390</v>
      </c>
      <c r="O530" t="s">
        <v>4369</v>
      </c>
      <c r="P530" s="1">
        <v>45956</v>
      </c>
      <c r="Q530" t="str">
        <f t="shared" si="32"/>
        <v>10+ Years</v>
      </c>
      <c r="R530" t="str">
        <f>IF(Table7[[#This Row],[Age]]&lt;=25,"20-25",IF(Table7[[#This Row],[Age]]&lt;=30,"26-30",IF(Table7[[#This Row],[Age]]&lt;=35,"31-35","36+")))</f>
        <v>26-30</v>
      </c>
      <c r="S530" t="str">
        <f t="shared" si="33"/>
        <v>October</v>
      </c>
      <c r="T530" s="2" t="str">
        <f t="shared" si="34"/>
        <v>Q4</v>
      </c>
      <c r="U530" s="2">
        <f t="shared" si="35"/>
        <v>2025</v>
      </c>
    </row>
    <row r="531" spans="1:21" x14ac:dyDescent="0.3">
      <c r="A531" t="s">
        <v>155</v>
      </c>
      <c r="B531" t="s">
        <v>5534</v>
      </c>
      <c r="C531" t="s">
        <v>5493</v>
      </c>
      <c r="D531" t="s">
        <v>4372</v>
      </c>
      <c r="E531">
        <v>22</v>
      </c>
      <c r="F531" t="s">
        <v>5535</v>
      </c>
      <c r="G531">
        <v>9591037768</v>
      </c>
      <c r="H531" t="s">
        <v>4365</v>
      </c>
      <c r="I531" t="s">
        <v>4366</v>
      </c>
      <c r="J531" t="s">
        <v>4389</v>
      </c>
      <c r="K531">
        <v>5</v>
      </c>
      <c r="L531">
        <v>12.2</v>
      </c>
      <c r="M531">
        <v>15.7</v>
      </c>
      <c r="N531" t="s">
        <v>4390</v>
      </c>
      <c r="O531" t="s">
        <v>4391</v>
      </c>
      <c r="P531" s="1">
        <v>45687</v>
      </c>
      <c r="Q531" t="str">
        <f t="shared" si="32"/>
        <v>10+ Years</v>
      </c>
      <c r="R531" t="str">
        <f>IF(Table7[[#This Row],[Age]]&lt;=25,"20-25",IF(Table7[[#This Row],[Age]]&lt;=30,"26-30",IF(Table7[[#This Row],[Age]]&lt;=35,"31-35","36+")))</f>
        <v>20-25</v>
      </c>
      <c r="S531" t="str">
        <f t="shared" si="33"/>
        <v>January</v>
      </c>
      <c r="T531" s="2" t="str">
        <f t="shared" si="34"/>
        <v>Q1</v>
      </c>
      <c r="U531" s="2">
        <f t="shared" si="35"/>
        <v>2025</v>
      </c>
    </row>
    <row r="532" spans="1:21" x14ac:dyDescent="0.3">
      <c r="A532" t="s">
        <v>4011</v>
      </c>
      <c r="B532" t="s">
        <v>4926</v>
      </c>
      <c r="C532" t="s">
        <v>5536</v>
      </c>
      <c r="D532" t="s">
        <v>4372</v>
      </c>
      <c r="E532">
        <v>36</v>
      </c>
      <c r="F532" t="s">
        <v>5537</v>
      </c>
      <c r="G532">
        <v>9125240244</v>
      </c>
      <c r="H532" t="s">
        <v>4365</v>
      </c>
      <c r="I532" t="s">
        <v>4366</v>
      </c>
      <c r="J532" t="s">
        <v>4415</v>
      </c>
      <c r="K532">
        <v>5.0999999999999996</v>
      </c>
      <c r="L532">
        <v>10.8</v>
      </c>
      <c r="M532">
        <v>12.8</v>
      </c>
      <c r="N532" t="s">
        <v>4390</v>
      </c>
      <c r="O532" t="s">
        <v>4391</v>
      </c>
      <c r="P532" s="1">
        <v>45756</v>
      </c>
      <c r="Q532" t="str">
        <f t="shared" si="32"/>
        <v>10+ Years</v>
      </c>
      <c r="R532" t="str">
        <f>IF(Table7[[#This Row],[Age]]&lt;=25,"20-25",IF(Table7[[#This Row],[Age]]&lt;=30,"26-30",IF(Table7[[#This Row],[Age]]&lt;=35,"31-35","36+")))</f>
        <v>36+</v>
      </c>
      <c r="S532" t="str">
        <f t="shared" si="33"/>
        <v>April</v>
      </c>
      <c r="T532" s="2" t="str">
        <f t="shared" si="34"/>
        <v>Q2</v>
      </c>
      <c r="U532" s="2">
        <f t="shared" si="35"/>
        <v>2025</v>
      </c>
    </row>
    <row r="533" spans="1:21" x14ac:dyDescent="0.3">
      <c r="A533" t="s">
        <v>5538</v>
      </c>
      <c r="B533" t="s">
        <v>4967</v>
      </c>
      <c r="C533" t="s">
        <v>5539</v>
      </c>
      <c r="D533" t="s">
        <v>4363</v>
      </c>
      <c r="E533">
        <v>31</v>
      </c>
      <c r="F533" t="s">
        <v>5540</v>
      </c>
      <c r="G533">
        <v>9434080971</v>
      </c>
      <c r="H533" t="s">
        <v>4395</v>
      </c>
      <c r="I533" t="s">
        <v>4396</v>
      </c>
      <c r="J533" t="s">
        <v>4450</v>
      </c>
      <c r="K533">
        <v>1.3</v>
      </c>
      <c r="L533">
        <v>2.5</v>
      </c>
      <c r="M533">
        <v>2.9</v>
      </c>
      <c r="N533" t="s">
        <v>4406</v>
      </c>
      <c r="O533" t="s">
        <v>4391</v>
      </c>
      <c r="P533" s="1">
        <v>45831</v>
      </c>
      <c r="Q533" t="str">
        <f t="shared" si="32"/>
        <v>10+ Years</v>
      </c>
      <c r="R533" t="str">
        <f>IF(Table7[[#This Row],[Age]]&lt;=25,"20-25",IF(Table7[[#This Row],[Age]]&lt;=30,"26-30",IF(Table7[[#This Row],[Age]]&lt;=35,"31-35","36+")))</f>
        <v>31-35</v>
      </c>
      <c r="S533" t="str">
        <f t="shared" si="33"/>
        <v>June</v>
      </c>
      <c r="T533" s="2" t="str">
        <f t="shared" si="34"/>
        <v>Q2</v>
      </c>
      <c r="U533" s="2">
        <f t="shared" si="35"/>
        <v>2025</v>
      </c>
    </row>
    <row r="534" spans="1:21" x14ac:dyDescent="0.3">
      <c r="A534" t="s">
        <v>1961</v>
      </c>
      <c r="B534" t="s">
        <v>4436</v>
      </c>
      <c r="C534" t="s">
        <v>5541</v>
      </c>
      <c r="D534" t="s">
        <v>4363</v>
      </c>
      <c r="E534">
        <v>35</v>
      </c>
      <c r="F534" t="s">
        <v>5542</v>
      </c>
      <c r="G534">
        <v>9831433593</v>
      </c>
      <c r="H534" t="s">
        <v>4404</v>
      </c>
      <c r="I534" t="s">
        <v>4405</v>
      </c>
      <c r="J534" t="s">
        <v>4389</v>
      </c>
      <c r="K534">
        <v>2.9</v>
      </c>
      <c r="L534">
        <v>9.3000000000000007</v>
      </c>
      <c r="M534">
        <v>11.4</v>
      </c>
      <c r="N534" t="s">
        <v>4368</v>
      </c>
      <c r="O534" t="s">
        <v>4456</v>
      </c>
      <c r="P534" s="1">
        <v>45686</v>
      </c>
      <c r="Q534" t="str">
        <f t="shared" si="32"/>
        <v>10+ Years</v>
      </c>
      <c r="R534" t="str">
        <f>IF(Table7[[#This Row],[Age]]&lt;=25,"20-25",IF(Table7[[#This Row],[Age]]&lt;=30,"26-30",IF(Table7[[#This Row],[Age]]&lt;=35,"31-35","36+")))</f>
        <v>31-35</v>
      </c>
      <c r="S534" t="str">
        <f t="shared" si="33"/>
        <v>January</v>
      </c>
      <c r="T534" s="2" t="str">
        <f t="shared" si="34"/>
        <v>Q1</v>
      </c>
      <c r="U534" s="2">
        <f t="shared" si="35"/>
        <v>2025</v>
      </c>
    </row>
    <row r="535" spans="1:21" x14ac:dyDescent="0.3">
      <c r="A535" t="s">
        <v>1450</v>
      </c>
      <c r="B535" t="s">
        <v>5543</v>
      </c>
      <c r="C535" t="s">
        <v>5544</v>
      </c>
      <c r="D535" t="s">
        <v>4363</v>
      </c>
      <c r="E535">
        <v>29</v>
      </c>
      <c r="F535" t="s">
        <v>5545</v>
      </c>
      <c r="G535">
        <v>9195710159</v>
      </c>
      <c r="H535" t="s">
        <v>4454</v>
      </c>
      <c r="I535" t="s">
        <v>4455</v>
      </c>
      <c r="J535" t="s">
        <v>4367</v>
      </c>
      <c r="K535">
        <v>2.2000000000000002</v>
      </c>
      <c r="L535">
        <v>9.1999999999999993</v>
      </c>
      <c r="M535">
        <v>11.9</v>
      </c>
      <c r="N535" t="s">
        <v>4368</v>
      </c>
      <c r="O535" t="s">
        <v>4485</v>
      </c>
      <c r="P535" s="1">
        <v>45783</v>
      </c>
      <c r="Q535" t="str">
        <f t="shared" si="32"/>
        <v>10+ Years</v>
      </c>
      <c r="R535" t="str">
        <f>IF(Table7[[#This Row],[Age]]&lt;=25,"20-25",IF(Table7[[#This Row],[Age]]&lt;=30,"26-30",IF(Table7[[#This Row],[Age]]&lt;=35,"31-35","36+")))</f>
        <v>26-30</v>
      </c>
      <c r="S535" t="str">
        <f t="shared" si="33"/>
        <v>May</v>
      </c>
      <c r="T535" s="2" t="str">
        <f t="shared" si="34"/>
        <v>Q2</v>
      </c>
      <c r="U535" s="2">
        <f t="shared" si="35"/>
        <v>2025</v>
      </c>
    </row>
    <row r="536" spans="1:21" x14ac:dyDescent="0.3">
      <c r="A536" t="s">
        <v>1292</v>
      </c>
      <c r="B536" t="s">
        <v>4465</v>
      </c>
      <c r="C536" t="s">
        <v>4558</v>
      </c>
      <c r="D536" t="s">
        <v>4372</v>
      </c>
      <c r="E536">
        <v>33</v>
      </c>
      <c r="F536" t="s">
        <v>5546</v>
      </c>
      <c r="G536">
        <v>9444220102</v>
      </c>
      <c r="H536" t="s">
        <v>4445</v>
      </c>
      <c r="I536" t="s">
        <v>4396</v>
      </c>
      <c r="J536" t="s">
        <v>4389</v>
      </c>
      <c r="K536">
        <v>1.4</v>
      </c>
      <c r="L536">
        <v>8.9</v>
      </c>
      <c r="M536">
        <v>12.1</v>
      </c>
      <c r="N536" t="s">
        <v>4377</v>
      </c>
      <c r="O536" t="s">
        <v>4456</v>
      </c>
      <c r="P536" s="1">
        <v>45901</v>
      </c>
      <c r="Q536" t="str">
        <f t="shared" si="32"/>
        <v>10+ Years</v>
      </c>
      <c r="R536" t="str">
        <f>IF(Table7[[#This Row],[Age]]&lt;=25,"20-25",IF(Table7[[#This Row],[Age]]&lt;=30,"26-30",IF(Table7[[#This Row],[Age]]&lt;=35,"31-35","36+")))</f>
        <v>31-35</v>
      </c>
      <c r="S536" t="str">
        <f t="shared" si="33"/>
        <v>September</v>
      </c>
      <c r="T536" s="2" t="str">
        <f t="shared" si="34"/>
        <v>Q3</v>
      </c>
      <c r="U536" s="2">
        <f t="shared" si="35"/>
        <v>2025</v>
      </c>
    </row>
    <row r="537" spans="1:21" x14ac:dyDescent="0.3">
      <c r="A537" t="s">
        <v>3067</v>
      </c>
      <c r="B537" t="s">
        <v>4451</v>
      </c>
      <c r="C537" t="s">
        <v>5038</v>
      </c>
      <c r="D537" t="s">
        <v>4372</v>
      </c>
      <c r="E537">
        <v>31</v>
      </c>
      <c r="F537" t="s">
        <v>5547</v>
      </c>
      <c r="G537">
        <v>9214048307</v>
      </c>
      <c r="H537" t="s">
        <v>4395</v>
      </c>
      <c r="I537" t="s">
        <v>4396</v>
      </c>
      <c r="J537" t="s">
        <v>4367</v>
      </c>
      <c r="K537">
        <v>4.8</v>
      </c>
      <c r="L537">
        <v>9</v>
      </c>
      <c r="M537">
        <v>11.2</v>
      </c>
      <c r="N537" t="s">
        <v>4390</v>
      </c>
      <c r="O537" t="s">
        <v>4369</v>
      </c>
      <c r="P537" s="1">
        <v>46000</v>
      </c>
      <c r="Q537" t="str">
        <f t="shared" si="32"/>
        <v>10+ Years</v>
      </c>
      <c r="R537" t="str">
        <f>IF(Table7[[#This Row],[Age]]&lt;=25,"20-25",IF(Table7[[#This Row],[Age]]&lt;=30,"26-30",IF(Table7[[#This Row],[Age]]&lt;=35,"31-35","36+")))</f>
        <v>31-35</v>
      </c>
      <c r="S537" t="str">
        <f t="shared" si="33"/>
        <v>December</v>
      </c>
      <c r="T537" s="2" t="str">
        <f t="shared" si="34"/>
        <v>Q4</v>
      </c>
      <c r="U537" s="2">
        <f t="shared" si="35"/>
        <v>2025</v>
      </c>
    </row>
    <row r="538" spans="1:21" x14ac:dyDescent="0.3">
      <c r="A538" t="s">
        <v>271</v>
      </c>
      <c r="B538" t="s">
        <v>4479</v>
      </c>
      <c r="C538" t="s">
        <v>5135</v>
      </c>
      <c r="D538" t="s">
        <v>4372</v>
      </c>
      <c r="E538">
        <v>25</v>
      </c>
      <c r="F538" t="s">
        <v>5548</v>
      </c>
      <c r="G538">
        <v>9441708181</v>
      </c>
      <c r="H538" t="s">
        <v>4506</v>
      </c>
      <c r="I538" t="s">
        <v>4507</v>
      </c>
      <c r="J538" t="s">
        <v>4415</v>
      </c>
      <c r="K538">
        <v>2.8</v>
      </c>
      <c r="L538">
        <v>9.6999999999999993</v>
      </c>
      <c r="M538">
        <v>13.1</v>
      </c>
      <c r="N538" t="s">
        <v>4377</v>
      </c>
      <c r="O538" t="s">
        <v>4391</v>
      </c>
      <c r="P538" s="1">
        <v>45886</v>
      </c>
      <c r="Q538" t="str">
        <f t="shared" si="32"/>
        <v>10+ Years</v>
      </c>
      <c r="R538" t="str">
        <f>IF(Table7[[#This Row],[Age]]&lt;=25,"20-25",IF(Table7[[#This Row],[Age]]&lt;=30,"26-30",IF(Table7[[#This Row],[Age]]&lt;=35,"31-35","36+")))</f>
        <v>20-25</v>
      </c>
      <c r="S538" t="str">
        <f t="shared" si="33"/>
        <v>August</v>
      </c>
      <c r="T538" s="2" t="str">
        <f t="shared" si="34"/>
        <v>Q3</v>
      </c>
      <c r="U538" s="2">
        <f t="shared" si="35"/>
        <v>2025</v>
      </c>
    </row>
    <row r="539" spans="1:21" x14ac:dyDescent="0.3">
      <c r="A539" t="s">
        <v>3463</v>
      </c>
      <c r="B539" t="s">
        <v>4654</v>
      </c>
      <c r="C539" t="s">
        <v>4675</v>
      </c>
      <c r="D539" t="s">
        <v>4363</v>
      </c>
      <c r="E539">
        <v>26</v>
      </c>
      <c r="F539" t="s">
        <v>5549</v>
      </c>
      <c r="G539">
        <v>9437881146</v>
      </c>
      <c r="H539" t="s">
        <v>4521</v>
      </c>
      <c r="I539" t="s">
        <v>4522</v>
      </c>
      <c r="J539" t="s">
        <v>4367</v>
      </c>
      <c r="K539">
        <v>2</v>
      </c>
      <c r="L539">
        <v>11.3</v>
      </c>
      <c r="M539">
        <v>15.5</v>
      </c>
      <c r="N539" t="s">
        <v>4406</v>
      </c>
      <c r="O539" t="s">
        <v>4485</v>
      </c>
      <c r="P539" s="1">
        <v>45726</v>
      </c>
      <c r="Q539" t="str">
        <f t="shared" si="32"/>
        <v>10+ Years</v>
      </c>
      <c r="R539" t="str">
        <f>IF(Table7[[#This Row],[Age]]&lt;=25,"20-25",IF(Table7[[#This Row],[Age]]&lt;=30,"26-30",IF(Table7[[#This Row],[Age]]&lt;=35,"31-35","36+")))</f>
        <v>26-30</v>
      </c>
      <c r="S539" t="str">
        <f t="shared" si="33"/>
        <v>March</v>
      </c>
      <c r="T539" s="2" t="str">
        <f t="shared" si="34"/>
        <v>Q1</v>
      </c>
      <c r="U539" s="2">
        <f t="shared" si="35"/>
        <v>2025</v>
      </c>
    </row>
    <row r="540" spans="1:21" x14ac:dyDescent="0.3">
      <c r="A540" t="s">
        <v>1926</v>
      </c>
      <c r="B540" t="s">
        <v>4566</v>
      </c>
      <c r="C540" t="s">
        <v>4532</v>
      </c>
      <c r="D540" t="s">
        <v>4372</v>
      </c>
      <c r="E540">
        <v>35</v>
      </c>
      <c r="F540" t="s">
        <v>5550</v>
      </c>
      <c r="G540">
        <v>9238461195</v>
      </c>
      <c r="H540" t="s">
        <v>4445</v>
      </c>
      <c r="I540" t="s">
        <v>4396</v>
      </c>
      <c r="J540" t="s">
        <v>4415</v>
      </c>
      <c r="K540">
        <v>1.3</v>
      </c>
      <c r="L540">
        <v>7.4</v>
      </c>
      <c r="M540">
        <v>9.8000000000000007</v>
      </c>
      <c r="N540" t="s">
        <v>4368</v>
      </c>
      <c r="O540" t="s">
        <v>4369</v>
      </c>
      <c r="P540" s="1">
        <v>45996</v>
      </c>
      <c r="Q540" t="str">
        <f t="shared" si="32"/>
        <v>10+ Years</v>
      </c>
      <c r="R540" t="str">
        <f>IF(Table7[[#This Row],[Age]]&lt;=25,"20-25",IF(Table7[[#This Row],[Age]]&lt;=30,"26-30",IF(Table7[[#This Row],[Age]]&lt;=35,"31-35","36+")))</f>
        <v>31-35</v>
      </c>
      <c r="S540" t="str">
        <f t="shared" si="33"/>
        <v>December</v>
      </c>
      <c r="T540" s="2" t="str">
        <f t="shared" si="34"/>
        <v>Q4</v>
      </c>
      <c r="U540" s="2">
        <f t="shared" si="35"/>
        <v>2025</v>
      </c>
    </row>
    <row r="541" spans="1:21" x14ac:dyDescent="0.3">
      <c r="A541" t="s">
        <v>2954</v>
      </c>
      <c r="B541" t="s">
        <v>5551</v>
      </c>
      <c r="C541" t="s">
        <v>5142</v>
      </c>
      <c r="D541" t="s">
        <v>4363</v>
      </c>
      <c r="E541">
        <v>28</v>
      </c>
      <c r="F541" t="s">
        <v>5552</v>
      </c>
      <c r="G541">
        <v>9658137174</v>
      </c>
      <c r="H541" t="s">
        <v>4445</v>
      </c>
      <c r="I541" t="s">
        <v>4396</v>
      </c>
      <c r="J541" t="s">
        <v>4367</v>
      </c>
      <c r="K541">
        <v>2.7</v>
      </c>
      <c r="L541">
        <v>13.9</v>
      </c>
      <c r="M541">
        <v>18.8</v>
      </c>
      <c r="N541" t="s">
        <v>4390</v>
      </c>
      <c r="O541" t="s">
        <v>4400</v>
      </c>
      <c r="P541" s="1">
        <v>45674</v>
      </c>
      <c r="Q541" t="str">
        <f t="shared" si="32"/>
        <v>10+ Years</v>
      </c>
      <c r="R541" t="str">
        <f>IF(Table7[[#This Row],[Age]]&lt;=25,"20-25",IF(Table7[[#This Row],[Age]]&lt;=30,"26-30",IF(Table7[[#This Row],[Age]]&lt;=35,"31-35","36+")))</f>
        <v>26-30</v>
      </c>
      <c r="S541" t="str">
        <f t="shared" si="33"/>
        <v>January</v>
      </c>
      <c r="T541" s="2" t="str">
        <f t="shared" si="34"/>
        <v>Q1</v>
      </c>
      <c r="U541" s="2">
        <f t="shared" si="35"/>
        <v>2025</v>
      </c>
    </row>
    <row r="542" spans="1:21" x14ac:dyDescent="0.3">
      <c r="A542" t="s">
        <v>2295</v>
      </c>
      <c r="B542" t="s">
        <v>5553</v>
      </c>
      <c r="C542" t="s">
        <v>5554</v>
      </c>
      <c r="D542" t="s">
        <v>4372</v>
      </c>
      <c r="E542">
        <v>28</v>
      </c>
      <c r="F542" t="s">
        <v>5555</v>
      </c>
      <c r="G542">
        <v>9819756949</v>
      </c>
      <c r="H542" t="s">
        <v>4395</v>
      </c>
      <c r="I542" t="s">
        <v>4396</v>
      </c>
      <c r="J542" t="s">
        <v>4376</v>
      </c>
      <c r="K542">
        <v>9.4</v>
      </c>
      <c r="L542">
        <v>18.8</v>
      </c>
      <c r="M542">
        <v>25.4</v>
      </c>
      <c r="N542" t="s">
        <v>4368</v>
      </c>
      <c r="O542" t="s">
        <v>4400</v>
      </c>
      <c r="P542" s="1">
        <v>45967</v>
      </c>
      <c r="Q542" t="str">
        <f t="shared" si="32"/>
        <v>10+ Years</v>
      </c>
      <c r="R542" t="str">
        <f>IF(Table7[[#This Row],[Age]]&lt;=25,"20-25",IF(Table7[[#This Row],[Age]]&lt;=30,"26-30",IF(Table7[[#This Row],[Age]]&lt;=35,"31-35","36+")))</f>
        <v>26-30</v>
      </c>
      <c r="S542" t="str">
        <f t="shared" si="33"/>
        <v>November</v>
      </c>
      <c r="T542" s="2" t="str">
        <f t="shared" si="34"/>
        <v>Q4</v>
      </c>
      <c r="U542" s="2">
        <f t="shared" si="35"/>
        <v>2025</v>
      </c>
    </row>
    <row r="543" spans="1:21" x14ac:dyDescent="0.3">
      <c r="A543" t="s">
        <v>1263</v>
      </c>
      <c r="B543" t="s">
        <v>4893</v>
      </c>
      <c r="C543" t="s">
        <v>5236</v>
      </c>
      <c r="D543" t="s">
        <v>4363</v>
      </c>
      <c r="E543">
        <v>32</v>
      </c>
      <c r="F543" t="s">
        <v>5556</v>
      </c>
      <c r="G543">
        <v>9357327141</v>
      </c>
      <c r="H543" t="s">
        <v>4395</v>
      </c>
      <c r="I543" t="s">
        <v>4396</v>
      </c>
      <c r="J543" t="s">
        <v>4482</v>
      </c>
      <c r="K543">
        <v>1.7</v>
      </c>
      <c r="L543">
        <v>9.1999999999999993</v>
      </c>
      <c r="M543">
        <v>12.8</v>
      </c>
      <c r="N543" t="s">
        <v>4390</v>
      </c>
      <c r="O543" t="s">
        <v>4391</v>
      </c>
      <c r="P543" s="1">
        <v>45782</v>
      </c>
      <c r="Q543" t="str">
        <f t="shared" si="32"/>
        <v>10+ Years</v>
      </c>
      <c r="R543" t="str">
        <f>IF(Table7[[#This Row],[Age]]&lt;=25,"20-25",IF(Table7[[#This Row],[Age]]&lt;=30,"26-30",IF(Table7[[#This Row],[Age]]&lt;=35,"31-35","36+")))</f>
        <v>31-35</v>
      </c>
      <c r="S543" t="str">
        <f t="shared" si="33"/>
        <v>May</v>
      </c>
      <c r="T543" s="2" t="str">
        <f t="shared" si="34"/>
        <v>Q2</v>
      </c>
      <c r="U543" s="2">
        <f t="shared" si="35"/>
        <v>2025</v>
      </c>
    </row>
    <row r="544" spans="1:21" x14ac:dyDescent="0.3">
      <c r="A544" t="s">
        <v>3128</v>
      </c>
      <c r="B544" t="s">
        <v>4634</v>
      </c>
      <c r="C544" t="s">
        <v>5557</v>
      </c>
      <c r="D544" t="s">
        <v>4372</v>
      </c>
      <c r="E544">
        <v>32</v>
      </c>
      <c r="F544" t="s">
        <v>5558</v>
      </c>
      <c r="G544">
        <v>9225607548</v>
      </c>
      <c r="H544" t="s">
        <v>4445</v>
      </c>
      <c r="I544" t="s">
        <v>4396</v>
      </c>
      <c r="J544" t="s">
        <v>4432</v>
      </c>
      <c r="K544">
        <v>1.3</v>
      </c>
      <c r="L544">
        <v>6.8</v>
      </c>
      <c r="M544">
        <v>9.3000000000000007</v>
      </c>
      <c r="O544" t="s">
        <v>4485</v>
      </c>
      <c r="P544" s="1">
        <v>45900</v>
      </c>
      <c r="Q544" t="str">
        <f t="shared" si="32"/>
        <v>10+ Years</v>
      </c>
      <c r="R544" t="str">
        <f>IF(Table7[[#This Row],[Age]]&lt;=25,"20-25",IF(Table7[[#This Row],[Age]]&lt;=30,"26-30",IF(Table7[[#This Row],[Age]]&lt;=35,"31-35","36+")))</f>
        <v>31-35</v>
      </c>
      <c r="S544" t="str">
        <f t="shared" si="33"/>
        <v>August</v>
      </c>
      <c r="T544" s="2" t="str">
        <f t="shared" si="34"/>
        <v>Q3</v>
      </c>
      <c r="U544" s="2">
        <f t="shared" si="35"/>
        <v>2025</v>
      </c>
    </row>
    <row r="545" spans="1:21" x14ac:dyDescent="0.3">
      <c r="A545" t="s">
        <v>745</v>
      </c>
      <c r="B545" t="s">
        <v>5559</v>
      </c>
      <c r="C545" t="s">
        <v>4434</v>
      </c>
      <c r="D545" t="s">
        <v>4372</v>
      </c>
      <c r="E545">
        <v>24</v>
      </c>
      <c r="F545" t="s">
        <v>5560</v>
      </c>
      <c r="G545">
        <v>9748595378</v>
      </c>
      <c r="H545" t="s">
        <v>4473</v>
      </c>
      <c r="I545" t="s">
        <v>4473</v>
      </c>
      <c r="J545" t="s">
        <v>4432</v>
      </c>
      <c r="K545">
        <v>3.3</v>
      </c>
      <c r="L545">
        <v>11.3</v>
      </c>
      <c r="M545">
        <v>14.4</v>
      </c>
      <c r="N545" t="s">
        <v>4390</v>
      </c>
      <c r="O545" t="s">
        <v>4400</v>
      </c>
      <c r="P545" s="1">
        <v>45724</v>
      </c>
      <c r="Q545" t="str">
        <f t="shared" si="32"/>
        <v>10+ Years</v>
      </c>
      <c r="R545" t="str">
        <f>IF(Table7[[#This Row],[Age]]&lt;=25,"20-25",IF(Table7[[#This Row],[Age]]&lt;=30,"26-30",IF(Table7[[#This Row],[Age]]&lt;=35,"31-35","36+")))</f>
        <v>20-25</v>
      </c>
      <c r="S545" t="str">
        <f t="shared" si="33"/>
        <v>March</v>
      </c>
      <c r="T545" s="2" t="str">
        <f t="shared" si="34"/>
        <v>Q1</v>
      </c>
      <c r="U545" s="2">
        <f t="shared" si="35"/>
        <v>2025</v>
      </c>
    </row>
    <row r="546" spans="1:21" x14ac:dyDescent="0.3">
      <c r="A546" t="s">
        <v>5561</v>
      </c>
      <c r="B546" t="s">
        <v>4727</v>
      </c>
      <c r="C546" t="s">
        <v>4336</v>
      </c>
      <c r="D546" t="s">
        <v>4363</v>
      </c>
      <c r="E546">
        <v>25</v>
      </c>
      <c r="F546" t="s">
        <v>5562</v>
      </c>
      <c r="G546">
        <v>9214890533</v>
      </c>
      <c r="H546" t="s">
        <v>4506</v>
      </c>
      <c r="I546" t="s">
        <v>4507</v>
      </c>
      <c r="J546" t="s">
        <v>4446</v>
      </c>
      <c r="K546">
        <v>5</v>
      </c>
      <c r="L546">
        <v>14.3</v>
      </c>
      <c r="M546">
        <v>17.600000000000001</v>
      </c>
      <c r="N546" t="s">
        <v>4368</v>
      </c>
      <c r="O546" t="s">
        <v>4369</v>
      </c>
      <c r="P546" s="1">
        <v>45898</v>
      </c>
      <c r="Q546" t="str">
        <f t="shared" si="32"/>
        <v>10+ Years</v>
      </c>
      <c r="R546" t="str">
        <f>IF(Table7[[#This Row],[Age]]&lt;=25,"20-25",IF(Table7[[#This Row],[Age]]&lt;=30,"26-30",IF(Table7[[#This Row],[Age]]&lt;=35,"31-35","36+")))</f>
        <v>20-25</v>
      </c>
      <c r="S546" t="str">
        <f t="shared" si="33"/>
        <v>August</v>
      </c>
      <c r="T546" s="2" t="str">
        <f t="shared" si="34"/>
        <v>Q3</v>
      </c>
      <c r="U546" s="2">
        <f t="shared" si="35"/>
        <v>2025</v>
      </c>
    </row>
    <row r="547" spans="1:21" x14ac:dyDescent="0.3">
      <c r="A547" t="s">
        <v>2176</v>
      </c>
      <c r="B547" t="s">
        <v>4778</v>
      </c>
      <c r="C547" t="s">
        <v>4675</v>
      </c>
      <c r="D547" t="s">
        <v>4363</v>
      </c>
      <c r="E547">
        <v>30</v>
      </c>
      <c r="F547" t="s">
        <v>5563</v>
      </c>
      <c r="G547">
        <v>9259475586</v>
      </c>
      <c r="H547" t="s">
        <v>4506</v>
      </c>
      <c r="I547" t="s">
        <v>4507</v>
      </c>
      <c r="J547" t="s">
        <v>4376</v>
      </c>
      <c r="K547">
        <v>0.8</v>
      </c>
      <c r="L547">
        <v>5.2</v>
      </c>
      <c r="M547">
        <v>6.4</v>
      </c>
      <c r="N547" t="s">
        <v>4390</v>
      </c>
      <c r="O547" t="s">
        <v>4400</v>
      </c>
      <c r="P547" s="1">
        <v>46007</v>
      </c>
      <c r="Q547" t="str">
        <f t="shared" si="32"/>
        <v>10+ Years</v>
      </c>
      <c r="R547" t="str">
        <f>IF(Table7[[#This Row],[Age]]&lt;=25,"20-25",IF(Table7[[#This Row],[Age]]&lt;=30,"26-30",IF(Table7[[#This Row],[Age]]&lt;=35,"31-35","36+")))</f>
        <v>26-30</v>
      </c>
      <c r="S547" t="str">
        <f t="shared" si="33"/>
        <v>December</v>
      </c>
      <c r="T547" s="2" t="str">
        <f t="shared" si="34"/>
        <v>Q4</v>
      </c>
      <c r="U547" s="2">
        <f t="shared" si="35"/>
        <v>2025</v>
      </c>
    </row>
    <row r="548" spans="1:21" x14ac:dyDescent="0.3">
      <c r="A548" t="s">
        <v>3380</v>
      </c>
      <c r="B548" t="s">
        <v>4924</v>
      </c>
      <c r="C548" t="s">
        <v>5300</v>
      </c>
      <c r="D548" t="s">
        <v>4372</v>
      </c>
      <c r="E548">
        <v>26</v>
      </c>
      <c r="F548" t="s">
        <v>5564</v>
      </c>
      <c r="G548">
        <v>9160539567</v>
      </c>
      <c r="H548" t="s">
        <v>4506</v>
      </c>
      <c r="I548" t="s">
        <v>4507</v>
      </c>
      <c r="J548" t="s">
        <v>4367</v>
      </c>
      <c r="K548">
        <v>2.6</v>
      </c>
      <c r="L548">
        <v>5.7</v>
      </c>
      <c r="M548">
        <v>6.8</v>
      </c>
      <c r="N548" t="s">
        <v>4368</v>
      </c>
      <c r="O548" t="s">
        <v>4400</v>
      </c>
      <c r="P548" s="1">
        <v>45788</v>
      </c>
      <c r="Q548" t="str">
        <f t="shared" si="32"/>
        <v>10+ Years</v>
      </c>
      <c r="R548" t="str">
        <f>IF(Table7[[#This Row],[Age]]&lt;=25,"20-25",IF(Table7[[#This Row],[Age]]&lt;=30,"26-30",IF(Table7[[#This Row],[Age]]&lt;=35,"31-35","36+")))</f>
        <v>26-30</v>
      </c>
      <c r="S548" t="str">
        <f t="shared" si="33"/>
        <v>May</v>
      </c>
      <c r="T548" s="2" t="str">
        <f t="shared" si="34"/>
        <v>Q2</v>
      </c>
      <c r="U548" s="2">
        <f t="shared" si="35"/>
        <v>2025</v>
      </c>
    </row>
    <row r="549" spans="1:21" x14ac:dyDescent="0.3">
      <c r="A549" t="s">
        <v>2601</v>
      </c>
      <c r="B549" t="s">
        <v>4967</v>
      </c>
      <c r="C549" t="s">
        <v>5565</v>
      </c>
      <c r="D549" t="s">
        <v>4363</v>
      </c>
      <c r="E549">
        <v>24</v>
      </c>
      <c r="F549" t="s">
        <v>5566</v>
      </c>
      <c r="G549">
        <v>9451178973</v>
      </c>
      <c r="H549" t="s">
        <v>4365</v>
      </c>
      <c r="I549" t="s">
        <v>4366</v>
      </c>
      <c r="J549" t="s">
        <v>4446</v>
      </c>
      <c r="K549">
        <v>0.3</v>
      </c>
      <c r="L549">
        <v>3.6</v>
      </c>
      <c r="M549">
        <v>5</v>
      </c>
      <c r="N549" t="s">
        <v>4368</v>
      </c>
      <c r="O549" t="s">
        <v>4391</v>
      </c>
      <c r="P549" s="1">
        <v>45849</v>
      </c>
      <c r="Q549" t="str">
        <f t="shared" si="32"/>
        <v>10+ Years</v>
      </c>
      <c r="R549" t="str">
        <f>IF(Table7[[#This Row],[Age]]&lt;=25,"20-25",IF(Table7[[#This Row],[Age]]&lt;=30,"26-30",IF(Table7[[#This Row],[Age]]&lt;=35,"31-35","36+")))</f>
        <v>20-25</v>
      </c>
      <c r="S549" t="str">
        <f t="shared" si="33"/>
        <v>July</v>
      </c>
      <c r="T549" s="2" t="str">
        <f t="shared" si="34"/>
        <v>Q3</v>
      </c>
      <c r="U549" s="2">
        <f t="shared" si="35"/>
        <v>2025</v>
      </c>
    </row>
    <row r="550" spans="1:21" x14ac:dyDescent="0.3">
      <c r="A550" t="s">
        <v>758</v>
      </c>
      <c r="B550" t="s">
        <v>5567</v>
      </c>
      <c r="C550" t="s">
        <v>4642</v>
      </c>
      <c r="D550" t="s">
        <v>4363</v>
      </c>
      <c r="E550">
        <v>21</v>
      </c>
      <c r="F550" t="s">
        <v>5568</v>
      </c>
      <c r="G550">
        <v>9506135347</v>
      </c>
      <c r="H550" t="s">
        <v>4454</v>
      </c>
      <c r="I550" t="s">
        <v>4455</v>
      </c>
      <c r="J550" t="s">
        <v>4367</v>
      </c>
      <c r="K550">
        <v>2.9</v>
      </c>
      <c r="M550">
        <v>10.6</v>
      </c>
      <c r="O550" t="s">
        <v>4391</v>
      </c>
      <c r="P550" s="1">
        <v>45983</v>
      </c>
      <c r="Q550" t="str">
        <f t="shared" si="32"/>
        <v>10+ Years</v>
      </c>
      <c r="R550" t="str">
        <f>IF(Table7[[#This Row],[Age]]&lt;=25,"20-25",IF(Table7[[#This Row],[Age]]&lt;=30,"26-30",IF(Table7[[#This Row],[Age]]&lt;=35,"31-35","36+")))</f>
        <v>20-25</v>
      </c>
      <c r="S550" t="str">
        <f t="shared" si="33"/>
        <v>November</v>
      </c>
      <c r="T550" s="2" t="str">
        <f t="shared" si="34"/>
        <v>Q4</v>
      </c>
      <c r="U550" s="2">
        <f t="shared" si="35"/>
        <v>2025</v>
      </c>
    </row>
    <row r="551" spans="1:21" x14ac:dyDescent="0.3">
      <c r="A551" t="s">
        <v>1615</v>
      </c>
      <c r="B551" t="s">
        <v>4648</v>
      </c>
      <c r="C551" t="s">
        <v>5569</v>
      </c>
      <c r="D551" t="s">
        <v>4363</v>
      </c>
      <c r="E551">
        <v>26</v>
      </c>
      <c r="F551" t="s">
        <v>5570</v>
      </c>
      <c r="G551">
        <v>9911305145</v>
      </c>
      <c r="H551" t="s">
        <v>4387</v>
      </c>
      <c r="I551" t="s">
        <v>4388</v>
      </c>
      <c r="J551" t="s">
        <v>4432</v>
      </c>
      <c r="K551">
        <v>3</v>
      </c>
      <c r="L551">
        <v>6.8</v>
      </c>
      <c r="M551">
        <v>9.6999999999999993</v>
      </c>
      <c r="N551" t="s">
        <v>4377</v>
      </c>
      <c r="O551" t="s">
        <v>4419</v>
      </c>
      <c r="P551" s="1">
        <v>45745</v>
      </c>
      <c r="Q551" t="str">
        <f t="shared" si="32"/>
        <v>10+ Years</v>
      </c>
      <c r="R551" t="str">
        <f>IF(Table7[[#This Row],[Age]]&lt;=25,"20-25",IF(Table7[[#This Row],[Age]]&lt;=30,"26-30",IF(Table7[[#This Row],[Age]]&lt;=35,"31-35","36+")))</f>
        <v>26-30</v>
      </c>
      <c r="S551" t="str">
        <f t="shared" si="33"/>
        <v>March</v>
      </c>
      <c r="T551" s="2" t="str">
        <f t="shared" si="34"/>
        <v>Q1</v>
      </c>
      <c r="U551" s="2">
        <f t="shared" si="35"/>
        <v>2025</v>
      </c>
    </row>
    <row r="552" spans="1:21" x14ac:dyDescent="0.3">
      <c r="A552" t="s">
        <v>1694</v>
      </c>
      <c r="B552" t="s">
        <v>4648</v>
      </c>
      <c r="C552" t="s">
        <v>4902</v>
      </c>
      <c r="D552" t="s">
        <v>4363</v>
      </c>
      <c r="E552">
        <v>41</v>
      </c>
      <c r="F552" t="s">
        <v>5571</v>
      </c>
      <c r="G552">
        <v>9371889818</v>
      </c>
      <c r="H552" t="s">
        <v>4374</v>
      </c>
      <c r="I552" t="s">
        <v>4375</v>
      </c>
      <c r="J552" t="s">
        <v>4376</v>
      </c>
      <c r="K552">
        <v>3.7</v>
      </c>
      <c r="L552">
        <v>10</v>
      </c>
      <c r="M552">
        <v>12.5</v>
      </c>
      <c r="N552" t="s">
        <v>4377</v>
      </c>
      <c r="O552" t="s">
        <v>4369</v>
      </c>
      <c r="P552" s="1">
        <v>45934</v>
      </c>
      <c r="Q552" t="str">
        <f t="shared" si="32"/>
        <v>10+ Years</v>
      </c>
      <c r="R552" t="str">
        <f>IF(Table7[[#This Row],[Age]]&lt;=25,"20-25",IF(Table7[[#This Row],[Age]]&lt;=30,"26-30",IF(Table7[[#This Row],[Age]]&lt;=35,"31-35","36+")))</f>
        <v>36+</v>
      </c>
      <c r="S552" t="str">
        <f t="shared" si="33"/>
        <v>October</v>
      </c>
      <c r="T552" s="2" t="str">
        <f t="shared" si="34"/>
        <v>Q4</v>
      </c>
      <c r="U552" s="2">
        <f t="shared" si="35"/>
        <v>2025</v>
      </c>
    </row>
    <row r="553" spans="1:21" x14ac:dyDescent="0.3">
      <c r="A553" t="s">
        <v>1669</v>
      </c>
      <c r="B553" t="s">
        <v>5572</v>
      </c>
      <c r="C553" t="s">
        <v>5573</v>
      </c>
      <c r="D553" t="s">
        <v>4363</v>
      </c>
      <c r="E553">
        <v>21</v>
      </c>
      <c r="F553" t="s">
        <v>5574</v>
      </c>
      <c r="G553">
        <v>9981123328</v>
      </c>
      <c r="H553" t="s">
        <v>4410</v>
      </c>
      <c r="I553" t="s">
        <v>4411</v>
      </c>
      <c r="J553" t="s">
        <v>4482</v>
      </c>
      <c r="K553">
        <v>2.1</v>
      </c>
      <c r="L553">
        <v>9.6</v>
      </c>
      <c r="M553">
        <v>13.4</v>
      </c>
      <c r="N553" t="s">
        <v>4377</v>
      </c>
      <c r="O553" t="s">
        <v>4485</v>
      </c>
      <c r="P553" s="1">
        <v>45729</v>
      </c>
      <c r="Q553" t="str">
        <f t="shared" si="32"/>
        <v>10+ Years</v>
      </c>
      <c r="R553" t="str">
        <f>IF(Table7[[#This Row],[Age]]&lt;=25,"20-25",IF(Table7[[#This Row],[Age]]&lt;=30,"26-30",IF(Table7[[#This Row],[Age]]&lt;=35,"31-35","36+")))</f>
        <v>20-25</v>
      </c>
      <c r="S553" t="str">
        <f t="shared" si="33"/>
        <v>March</v>
      </c>
      <c r="T553" s="2" t="str">
        <f t="shared" si="34"/>
        <v>Q1</v>
      </c>
      <c r="U553" s="2">
        <f t="shared" si="35"/>
        <v>2025</v>
      </c>
    </row>
    <row r="554" spans="1:21" x14ac:dyDescent="0.3">
      <c r="A554" t="s">
        <v>2285</v>
      </c>
      <c r="B554" t="s">
        <v>4534</v>
      </c>
      <c r="C554" t="s">
        <v>4480</v>
      </c>
      <c r="D554" t="s">
        <v>4363</v>
      </c>
      <c r="E554">
        <v>25</v>
      </c>
      <c r="F554" t="s">
        <v>5575</v>
      </c>
      <c r="G554">
        <v>9826851593</v>
      </c>
      <c r="H554" t="s">
        <v>4374</v>
      </c>
      <c r="I554" t="s">
        <v>4375</v>
      </c>
      <c r="J554" t="s">
        <v>4376</v>
      </c>
      <c r="K554">
        <v>0</v>
      </c>
      <c r="L554">
        <v>9.8000000000000007</v>
      </c>
      <c r="M554">
        <v>11.1</v>
      </c>
      <c r="N554" t="s">
        <v>4377</v>
      </c>
      <c r="O554" t="s">
        <v>4383</v>
      </c>
      <c r="P554" s="1">
        <v>45891</v>
      </c>
      <c r="Q554" t="str">
        <f t="shared" si="32"/>
        <v>10+ Years</v>
      </c>
      <c r="R554" t="str">
        <f>IF(Table7[[#This Row],[Age]]&lt;=25,"20-25",IF(Table7[[#This Row],[Age]]&lt;=30,"26-30",IF(Table7[[#This Row],[Age]]&lt;=35,"31-35","36+")))</f>
        <v>20-25</v>
      </c>
      <c r="S554" t="str">
        <f t="shared" si="33"/>
        <v>August</v>
      </c>
      <c r="T554" s="2" t="str">
        <f t="shared" si="34"/>
        <v>Q3</v>
      </c>
      <c r="U554" s="2">
        <f t="shared" si="35"/>
        <v>2025</v>
      </c>
    </row>
    <row r="555" spans="1:21" x14ac:dyDescent="0.3">
      <c r="A555" t="s">
        <v>2009</v>
      </c>
      <c r="B555" t="s">
        <v>4820</v>
      </c>
      <c r="C555" t="s">
        <v>5250</v>
      </c>
      <c r="D555" t="s">
        <v>4363</v>
      </c>
      <c r="E555">
        <v>28</v>
      </c>
      <c r="F555" t="s">
        <v>5576</v>
      </c>
      <c r="G555">
        <v>9940641704</v>
      </c>
      <c r="H555" t="s">
        <v>4491</v>
      </c>
      <c r="I555" t="s">
        <v>4491</v>
      </c>
      <c r="J555" t="s">
        <v>4389</v>
      </c>
      <c r="K555">
        <v>5.4</v>
      </c>
      <c r="L555">
        <v>13.2</v>
      </c>
      <c r="M555">
        <v>18.600000000000001</v>
      </c>
      <c r="N555" t="s">
        <v>4368</v>
      </c>
      <c r="O555" t="s">
        <v>4391</v>
      </c>
      <c r="P555" s="1">
        <v>45785</v>
      </c>
      <c r="Q555" t="str">
        <f t="shared" si="32"/>
        <v>10+ Years</v>
      </c>
      <c r="R555" t="str">
        <f>IF(Table7[[#This Row],[Age]]&lt;=25,"20-25",IF(Table7[[#This Row],[Age]]&lt;=30,"26-30",IF(Table7[[#This Row],[Age]]&lt;=35,"31-35","36+")))</f>
        <v>26-30</v>
      </c>
      <c r="S555" t="str">
        <f t="shared" si="33"/>
        <v>May</v>
      </c>
      <c r="T555" s="2" t="str">
        <f t="shared" si="34"/>
        <v>Q2</v>
      </c>
      <c r="U555" s="2">
        <f t="shared" si="35"/>
        <v>2025</v>
      </c>
    </row>
    <row r="556" spans="1:21" x14ac:dyDescent="0.3">
      <c r="A556" t="s">
        <v>3219</v>
      </c>
      <c r="B556" t="s">
        <v>5577</v>
      </c>
      <c r="C556" t="s">
        <v>4529</v>
      </c>
      <c r="D556" t="s">
        <v>4372</v>
      </c>
      <c r="E556">
        <v>21</v>
      </c>
      <c r="F556" t="s">
        <v>5578</v>
      </c>
      <c r="G556">
        <v>9451259520</v>
      </c>
      <c r="H556" t="s">
        <v>4387</v>
      </c>
      <c r="I556" t="s">
        <v>4388</v>
      </c>
      <c r="J556" t="s">
        <v>4367</v>
      </c>
      <c r="K556">
        <v>8.4</v>
      </c>
      <c r="M556">
        <v>24.8</v>
      </c>
      <c r="N556" t="s">
        <v>4368</v>
      </c>
      <c r="O556" t="s">
        <v>4369</v>
      </c>
      <c r="P556" s="1">
        <v>45692</v>
      </c>
      <c r="Q556" t="str">
        <f t="shared" si="32"/>
        <v>10+ Years</v>
      </c>
      <c r="R556" t="str">
        <f>IF(Table7[[#This Row],[Age]]&lt;=25,"20-25",IF(Table7[[#This Row],[Age]]&lt;=30,"26-30",IF(Table7[[#This Row],[Age]]&lt;=35,"31-35","36+")))</f>
        <v>20-25</v>
      </c>
      <c r="S556" t="str">
        <f t="shared" si="33"/>
        <v>February</v>
      </c>
      <c r="T556" s="2" t="str">
        <f t="shared" si="34"/>
        <v>Q1</v>
      </c>
      <c r="U556" s="2">
        <f t="shared" si="35"/>
        <v>2025</v>
      </c>
    </row>
    <row r="557" spans="1:21" x14ac:dyDescent="0.3">
      <c r="A557" t="s">
        <v>3045</v>
      </c>
      <c r="B557" t="s">
        <v>5579</v>
      </c>
      <c r="C557" t="s">
        <v>4434</v>
      </c>
      <c r="D557" t="s">
        <v>4372</v>
      </c>
      <c r="E557">
        <v>21</v>
      </c>
      <c r="F557" t="s">
        <v>5580</v>
      </c>
      <c r="G557">
        <v>9313073647</v>
      </c>
      <c r="H557" t="s">
        <v>4506</v>
      </c>
      <c r="I557" t="s">
        <v>4507</v>
      </c>
      <c r="J557" t="s">
        <v>4415</v>
      </c>
      <c r="K557">
        <v>9.5</v>
      </c>
      <c r="L557">
        <v>17.3</v>
      </c>
      <c r="M557">
        <v>21.7</v>
      </c>
      <c r="N557" t="s">
        <v>4377</v>
      </c>
      <c r="O557" t="s">
        <v>4419</v>
      </c>
      <c r="P557" s="1">
        <v>45816</v>
      </c>
      <c r="Q557" t="str">
        <f t="shared" si="32"/>
        <v>10+ Years</v>
      </c>
      <c r="R557" t="str">
        <f>IF(Table7[[#This Row],[Age]]&lt;=25,"20-25",IF(Table7[[#This Row],[Age]]&lt;=30,"26-30",IF(Table7[[#This Row],[Age]]&lt;=35,"31-35","36+")))</f>
        <v>20-25</v>
      </c>
      <c r="S557" t="str">
        <f t="shared" si="33"/>
        <v>June</v>
      </c>
      <c r="T557" s="2" t="str">
        <f t="shared" si="34"/>
        <v>Q2</v>
      </c>
      <c r="U557" s="2">
        <f t="shared" si="35"/>
        <v>2025</v>
      </c>
    </row>
    <row r="558" spans="1:21" x14ac:dyDescent="0.3">
      <c r="A558" t="s">
        <v>2554</v>
      </c>
      <c r="B558" t="s">
        <v>4687</v>
      </c>
      <c r="C558" t="s">
        <v>4616</v>
      </c>
      <c r="D558" t="s">
        <v>4363</v>
      </c>
      <c r="E558">
        <v>30</v>
      </c>
      <c r="F558" t="s">
        <v>5581</v>
      </c>
      <c r="G558">
        <v>9605167383</v>
      </c>
      <c r="H558" t="s">
        <v>4476</v>
      </c>
      <c r="I558" t="s">
        <v>4477</v>
      </c>
      <c r="J558" t="s">
        <v>4450</v>
      </c>
      <c r="K558">
        <v>13.8</v>
      </c>
      <c r="L558">
        <v>25.4</v>
      </c>
      <c r="M558">
        <v>34.6</v>
      </c>
      <c r="N558" t="s">
        <v>4368</v>
      </c>
      <c r="O558" t="s">
        <v>4485</v>
      </c>
      <c r="P558" s="1">
        <v>45951</v>
      </c>
      <c r="Q558" t="str">
        <f t="shared" si="32"/>
        <v>10+ Years</v>
      </c>
      <c r="R558" t="str">
        <f>IF(Table7[[#This Row],[Age]]&lt;=25,"20-25",IF(Table7[[#This Row],[Age]]&lt;=30,"26-30",IF(Table7[[#This Row],[Age]]&lt;=35,"31-35","36+")))</f>
        <v>26-30</v>
      </c>
      <c r="S558" t="str">
        <f t="shared" si="33"/>
        <v>October</v>
      </c>
      <c r="T558" s="2" t="str">
        <f t="shared" si="34"/>
        <v>Q4</v>
      </c>
      <c r="U558" s="2">
        <f t="shared" si="35"/>
        <v>2025</v>
      </c>
    </row>
    <row r="559" spans="1:21" x14ac:dyDescent="0.3">
      <c r="A559" t="s">
        <v>972</v>
      </c>
      <c r="B559" t="s">
        <v>5582</v>
      </c>
      <c r="C559" t="s">
        <v>5438</v>
      </c>
      <c r="D559" t="s">
        <v>4363</v>
      </c>
      <c r="E559">
        <v>36</v>
      </c>
      <c r="F559" t="s">
        <v>5583</v>
      </c>
      <c r="G559">
        <v>9730809789</v>
      </c>
      <c r="H559" t="s">
        <v>4506</v>
      </c>
      <c r="I559" t="s">
        <v>4507</v>
      </c>
      <c r="J559" t="s">
        <v>4450</v>
      </c>
      <c r="K559">
        <v>0.2</v>
      </c>
      <c r="L559">
        <v>2.5</v>
      </c>
      <c r="M559">
        <v>2.9</v>
      </c>
      <c r="N559" t="s">
        <v>4390</v>
      </c>
      <c r="O559" t="s">
        <v>4369</v>
      </c>
      <c r="P559" s="1">
        <v>45998</v>
      </c>
      <c r="Q559" t="str">
        <f t="shared" si="32"/>
        <v>10+ Years</v>
      </c>
      <c r="R559" t="str">
        <f>IF(Table7[[#This Row],[Age]]&lt;=25,"20-25",IF(Table7[[#This Row],[Age]]&lt;=30,"26-30",IF(Table7[[#This Row],[Age]]&lt;=35,"31-35","36+")))</f>
        <v>36+</v>
      </c>
      <c r="S559" t="str">
        <f t="shared" si="33"/>
        <v>December</v>
      </c>
      <c r="T559" s="2" t="str">
        <f t="shared" si="34"/>
        <v>Q4</v>
      </c>
      <c r="U559" s="2">
        <f t="shared" si="35"/>
        <v>2025</v>
      </c>
    </row>
    <row r="560" spans="1:21" x14ac:dyDescent="0.3">
      <c r="A560" t="s">
        <v>3642</v>
      </c>
      <c r="B560" t="s">
        <v>5034</v>
      </c>
      <c r="C560" t="s">
        <v>5584</v>
      </c>
      <c r="D560" t="s">
        <v>4372</v>
      </c>
      <c r="E560">
        <v>28</v>
      </c>
      <c r="F560" t="s">
        <v>5585</v>
      </c>
      <c r="G560">
        <v>9489083459</v>
      </c>
      <c r="H560" t="s">
        <v>4374</v>
      </c>
      <c r="I560" t="s">
        <v>4375</v>
      </c>
      <c r="J560" t="s">
        <v>4482</v>
      </c>
      <c r="K560">
        <v>0.2</v>
      </c>
      <c r="L560">
        <v>7</v>
      </c>
      <c r="M560">
        <v>10.1</v>
      </c>
      <c r="N560" t="s">
        <v>4390</v>
      </c>
      <c r="O560" t="s">
        <v>4369</v>
      </c>
      <c r="P560" s="1">
        <v>45949</v>
      </c>
      <c r="Q560" t="str">
        <f t="shared" si="32"/>
        <v>10+ Years</v>
      </c>
      <c r="R560" t="str">
        <f>IF(Table7[[#This Row],[Age]]&lt;=25,"20-25",IF(Table7[[#This Row],[Age]]&lt;=30,"26-30",IF(Table7[[#This Row],[Age]]&lt;=35,"31-35","36+")))</f>
        <v>26-30</v>
      </c>
      <c r="S560" t="str">
        <f t="shared" si="33"/>
        <v>October</v>
      </c>
      <c r="T560" s="2" t="str">
        <f t="shared" si="34"/>
        <v>Q4</v>
      </c>
      <c r="U560" s="2">
        <f t="shared" si="35"/>
        <v>2025</v>
      </c>
    </row>
    <row r="561" spans="1:21" x14ac:dyDescent="0.3">
      <c r="A561" t="s">
        <v>1146</v>
      </c>
      <c r="B561" t="s">
        <v>5486</v>
      </c>
      <c r="C561" t="s">
        <v>5586</v>
      </c>
      <c r="D561" t="s">
        <v>4372</v>
      </c>
      <c r="E561">
        <v>29</v>
      </c>
      <c r="F561" t="s">
        <v>5587</v>
      </c>
      <c r="G561">
        <v>9711209963</v>
      </c>
      <c r="H561" t="s">
        <v>4381</v>
      </c>
      <c r="I561" t="s">
        <v>4382</v>
      </c>
      <c r="J561" t="s">
        <v>4367</v>
      </c>
      <c r="K561">
        <v>3</v>
      </c>
      <c r="L561">
        <v>10.9</v>
      </c>
      <c r="M561">
        <v>12.7</v>
      </c>
      <c r="N561" t="s">
        <v>4494</v>
      </c>
      <c r="O561" t="s">
        <v>4369</v>
      </c>
      <c r="P561" s="1">
        <v>45806</v>
      </c>
      <c r="Q561" t="str">
        <f t="shared" si="32"/>
        <v>10+ Years</v>
      </c>
      <c r="R561" t="str">
        <f>IF(Table7[[#This Row],[Age]]&lt;=25,"20-25",IF(Table7[[#This Row],[Age]]&lt;=30,"26-30",IF(Table7[[#This Row],[Age]]&lt;=35,"31-35","36+")))</f>
        <v>26-30</v>
      </c>
      <c r="S561" t="str">
        <f t="shared" si="33"/>
        <v>May</v>
      </c>
      <c r="T561" s="2" t="str">
        <f t="shared" si="34"/>
        <v>Q2</v>
      </c>
      <c r="U561" s="2">
        <f t="shared" si="35"/>
        <v>2025</v>
      </c>
    </row>
    <row r="562" spans="1:21" x14ac:dyDescent="0.3">
      <c r="A562" t="s">
        <v>2454</v>
      </c>
      <c r="B562" t="s">
        <v>5588</v>
      </c>
      <c r="C562" t="s">
        <v>4448</v>
      </c>
      <c r="D562" t="s">
        <v>4363</v>
      </c>
      <c r="E562">
        <v>28</v>
      </c>
      <c r="F562" t="s">
        <v>5589</v>
      </c>
      <c r="G562">
        <v>9482910822</v>
      </c>
      <c r="H562" t="s">
        <v>4445</v>
      </c>
      <c r="I562" t="s">
        <v>4396</v>
      </c>
      <c r="J562" t="s">
        <v>4432</v>
      </c>
      <c r="K562">
        <v>4</v>
      </c>
      <c r="L562">
        <v>11.6</v>
      </c>
      <c r="M562">
        <v>15.8</v>
      </c>
      <c r="N562" t="s">
        <v>4377</v>
      </c>
      <c r="O562" t="s">
        <v>4369</v>
      </c>
      <c r="P562" s="1">
        <v>45879</v>
      </c>
      <c r="Q562" t="str">
        <f t="shared" si="32"/>
        <v>10+ Years</v>
      </c>
      <c r="R562" t="str">
        <f>IF(Table7[[#This Row],[Age]]&lt;=25,"20-25",IF(Table7[[#This Row],[Age]]&lt;=30,"26-30",IF(Table7[[#This Row],[Age]]&lt;=35,"31-35","36+")))</f>
        <v>26-30</v>
      </c>
      <c r="S562" t="str">
        <f t="shared" si="33"/>
        <v>August</v>
      </c>
      <c r="T562" s="2" t="str">
        <f t="shared" si="34"/>
        <v>Q3</v>
      </c>
      <c r="U562" s="2">
        <f t="shared" si="35"/>
        <v>2025</v>
      </c>
    </row>
    <row r="563" spans="1:21" x14ac:dyDescent="0.3">
      <c r="A563" t="s">
        <v>660</v>
      </c>
      <c r="B563" t="s">
        <v>4495</v>
      </c>
      <c r="C563" t="s">
        <v>4816</v>
      </c>
      <c r="D563" t="s">
        <v>4372</v>
      </c>
      <c r="E563">
        <v>22</v>
      </c>
      <c r="F563" t="s">
        <v>5590</v>
      </c>
      <c r="G563">
        <v>9862200679</v>
      </c>
      <c r="H563" t="s">
        <v>4445</v>
      </c>
      <c r="I563" t="s">
        <v>4396</v>
      </c>
      <c r="J563" t="s">
        <v>4450</v>
      </c>
      <c r="K563">
        <v>6.8</v>
      </c>
      <c r="L563">
        <v>13.8</v>
      </c>
      <c r="M563">
        <v>16.399999999999999</v>
      </c>
      <c r="N563" t="s">
        <v>4368</v>
      </c>
      <c r="O563" t="s">
        <v>4391</v>
      </c>
      <c r="P563" s="1">
        <v>45753</v>
      </c>
      <c r="Q563" t="str">
        <f t="shared" si="32"/>
        <v>10+ Years</v>
      </c>
      <c r="R563" t="str">
        <f>IF(Table7[[#This Row],[Age]]&lt;=25,"20-25",IF(Table7[[#This Row],[Age]]&lt;=30,"26-30",IF(Table7[[#This Row],[Age]]&lt;=35,"31-35","36+")))</f>
        <v>20-25</v>
      </c>
      <c r="S563" t="str">
        <f t="shared" si="33"/>
        <v>April</v>
      </c>
      <c r="T563" s="2" t="str">
        <f t="shared" si="34"/>
        <v>Q2</v>
      </c>
      <c r="U563" s="2">
        <f t="shared" si="35"/>
        <v>2025</v>
      </c>
    </row>
    <row r="564" spans="1:21" x14ac:dyDescent="0.3">
      <c r="A564" t="s">
        <v>942</v>
      </c>
      <c r="B564" t="s">
        <v>5591</v>
      </c>
      <c r="C564" t="s">
        <v>5592</v>
      </c>
      <c r="D564" t="s">
        <v>4372</v>
      </c>
      <c r="E564">
        <v>37</v>
      </c>
      <c r="F564" t="s">
        <v>5593</v>
      </c>
      <c r="G564">
        <v>9637201915</v>
      </c>
      <c r="H564" t="s">
        <v>4410</v>
      </c>
      <c r="I564" t="s">
        <v>4411</v>
      </c>
      <c r="J564" t="s">
        <v>4389</v>
      </c>
      <c r="K564">
        <v>4</v>
      </c>
      <c r="L564">
        <v>11.6</v>
      </c>
      <c r="M564">
        <v>13.5</v>
      </c>
      <c r="N564" t="s">
        <v>4494</v>
      </c>
      <c r="O564" t="s">
        <v>4419</v>
      </c>
      <c r="P564" s="1">
        <v>45945</v>
      </c>
      <c r="Q564" t="str">
        <f t="shared" si="32"/>
        <v>10+ Years</v>
      </c>
      <c r="R564" t="str">
        <f>IF(Table7[[#This Row],[Age]]&lt;=25,"20-25",IF(Table7[[#This Row],[Age]]&lt;=30,"26-30",IF(Table7[[#This Row],[Age]]&lt;=35,"31-35","36+")))</f>
        <v>36+</v>
      </c>
      <c r="S564" t="str">
        <f t="shared" si="33"/>
        <v>October</v>
      </c>
      <c r="T564" s="2" t="str">
        <f t="shared" si="34"/>
        <v>Q4</v>
      </c>
      <c r="U564" s="2">
        <f t="shared" si="35"/>
        <v>2025</v>
      </c>
    </row>
    <row r="565" spans="1:21" x14ac:dyDescent="0.3">
      <c r="A565" t="s">
        <v>740</v>
      </c>
      <c r="B565" t="s">
        <v>4931</v>
      </c>
      <c r="C565" t="s">
        <v>5290</v>
      </c>
      <c r="D565" t="s">
        <v>4363</v>
      </c>
      <c r="E565">
        <v>31</v>
      </c>
      <c r="F565" t="s">
        <v>5594</v>
      </c>
      <c r="G565">
        <v>9296862298</v>
      </c>
      <c r="H565" t="s">
        <v>4410</v>
      </c>
      <c r="I565" t="s">
        <v>4411</v>
      </c>
      <c r="J565" t="s">
        <v>4450</v>
      </c>
      <c r="K565">
        <v>2.9</v>
      </c>
      <c r="L565">
        <v>10.1</v>
      </c>
      <c r="M565">
        <v>13.1</v>
      </c>
      <c r="N565" t="s">
        <v>4377</v>
      </c>
      <c r="O565" t="s">
        <v>4485</v>
      </c>
      <c r="P565" s="1">
        <v>45843</v>
      </c>
      <c r="Q565" t="str">
        <f t="shared" si="32"/>
        <v>10+ Years</v>
      </c>
      <c r="R565" t="str">
        <f>IF(Table7[[#This Row],[Age]]&lt;=25,"20-25",IF(Table7[[#This Row],[Age]]&lt;=30,"26-30",IF(Table7[[#This Row],[Age]]&lt;=35,"31-35","36+")))</f>
        <v>31-35</v>
      </c>
      <c r="S565" t="str">
        <f t="shared" si="33"/>
        <v>July</v>
      </c>
      <c r="T565" s="2" t="str">
        <f t="shared" si="34"/>
        <v>Q3</v>
      </c>
      <c r="U565" s="2">
        <f t="shared" si="35"/>
        <v>2025</v>
      </c>
    </row>
    <row r="566" spans="1:21" x14ac:dyDescent="0.3">
      <c r="A566" t="s">
        <v>5595</v>
      </c>
      <c r="B566" t="s">
        <v>4731</v>
      </c>
      <c r="C566" t="s">
        <v>5596</v>
      </c>
      <c r="D566" t="s">
        <v>4372</v>
      </c>
      <c r="E566">
        <v>28</v>
      </c>
      <c r="F566" t="s">
        <v>5597</v>
      </c>
      <c r="G566">
        <v>9322687660</v>
      </c>
      <c r="H566" t="s">
        <v>4374</v>
      </c>
      <c r="I566" t="s">
        <v>4375</v>
      </c>
      <c r="J566" t="s">
        <v>4367</v>
      </c>
      <c r="K566">
        <v>0.1</v>
      </c>
      <c r="L566">
        <v>7</v>
      </c>
      <c r="M566">
        <v>9</v>
      </c>
      <c r="N566" t="s">
        <v>4377</v>
      </c>
      <c r="O566" t="s">
        <v>4485</v>
      </c>
      <c r="P566" s="1">
        <v>45768</v>
      </c>
      <c r="Q566" t="str">
        <f t="shared" si="32"/>
        <v>10+ Years</v>
      </c>
      <c r="R566" t="str">
        <f>IF(Table7[[#This Row],[Age]]&lt;=25,"20-25",IF(Table7[[#This Row],[Age]]&lt;=30,"26-30",IF(Table7[[#This Row],[Age]]&lt;=35,"31-35","36+")))</f>
        <v>26-30</v>
      </c>
      <c r="S566" t="str">
        <f t="shared" si="33"/>
        <v>April</v>
      </c>
      <c r="T566" s="2" t="str">
        <f t="shared" si="34"/>
        <v>Q2</v>
      </c>
      <c r="U566" s="2">
        <f t="shared" si="35"/>
        <v>2025</v>
      </c>
    </row>
    <row r="567" spans="1:21" x14ac:dyDescent="0.3">
      <c r="A567" t="s">
        <v>388</v>
      </c>
      <c r="B567" t="s">
        <v>5361</v>
      </c>
      <c r="C567" t="s">
        <v>4616</v>
      </c>
      <c r="D567" t="s">
        <v>4372</v>
      </c>
      <c r="E567">
        <v>39</v>
      </c>
      <c r="F567" t="s">
        <v>5598</v>
      </c>
      <c r="G567">
        <v>9701257602</v>
      </c>
      <c r="H567" t="s">
        <v>4365</v>
      </c>
      <c r="I567" t="s">
        <v>4366</v>
      </c>
      <c r="J567" t="s">
        <v>4367</v>
      </c>
      <c r="K567">
        <v>3.2</v>
      </c>
      <c r="L567">
        <v>6.9</v>
      </c>
      <c r="M567">
        <v>9.1999999999999993</v>
      </c>
      <c r="N567" t="s">
        <v>4377</v>
      </c>
      <c r="O567" t="s">
        <v>4391</v>
      </c>
      <c r="P567" s="1">
        <v>45966</v>
      </c>
      <c r="Q567" t="str">
        <f t="shared" si="32"/>
        <v>10+ Years</v>
      </c>
      <c r="R567" t="str">
        <f>IF(Table7[[#This Row],[Age]]&lt;=25,"20-25",IF(Table7[[#This Row],[Age]]&lt;=30,"26-30",IF(Table7[[#This Row],[Age]]&lt;=35,"31-35","36+")))</f>
        <v>36+</v>
      </c>
      <c r="S567" t="str">
        <f t="shared" si="33"/>
        <v>November</v>
      </c>
      <c r="T567" s="2" t="str">
        <f t="shared" si="34"/>
        <v>Q4</v>
      </c>
      <c r="U567" s="2">
        <f t="shared" si="35"/>
        <v>2025</v>
      </c>
    </row>
    <row r="568" spans="1:21" x14ac:dyDescent="0.3">
      <c r="A568" t="s">
        <v>2198</v>
      </c>
      <c r="B568" t="s">
        <v>5599</v>
      </c>
      <c r="C568" t="s">
        <v>4578</v>
      </c>
      <c r="D568" t="s">
        <v>4363</v>
      </c>
      <c r="E568">
        <v>21</v>
      </c>
      <c r="F568" t="s">
        <v>5600</v>
      </c>
      <c r="G568">
        <v>9396365789</v>
      </c>
      <c r="H568" t="s">
        <v>4365</v>
      </c>
      <c r="I568" t="s">
        <v>4366</v>
      </c>
      <c r="J568" t="s">
        <v>4415</v>
      </c>
      <c r="K568">
        <v>3.5</v>
      </c>
      <c r="L568">
        <v>7.9</v>
      </c>
      <c r="M568">
        <v>10.199999999999999</v>
      </c>
      <c r="N568" t="s">
        <v>4390</v>
      </c>
      <c r="O568" t="s">
        <v>4369</v>
      </c>
      <c r="P568" s="1">
        <v>45660</v>
      </c>
      <c r="Q568" t="str">
        <f t="shared" si="32"/>
        <v>10+ Years</v>
      </c>
      <c r="R568" t="str">
        <f>IF(Table7[[#This Row],[Age]]&lt;=25,"20-25",IF(Table7[[#This Row],[Age]]&lt;=30,"26-30",IF(Table7[[#This Row],[Age]]&lt;=35,"31-35","36+")))</f>
        <v>20-25</v>
      </c>
      <c r="S568" t="str">
        <f t="shared" si="33"/>
        <v>January</v>
      </c>
      <c r="T568" s="2" t="str">
        <f t="shared" si="34"/>
        <v>Q1</v>
      </c>
      <c r="U568" s="2">
        <f t="shared" si="35"/>
        <v>2025</v>
      </c>
    </row>
    <row r="569" spans="1:21" x14ac:dyDescent="0.3">
      <c r="A569" t="s">
        <v>3649</v>
      </c>
      <c r="B569" t="s">
        <v>5601</v>
      </c>
      <c r="C569" t="s">
        <v>5014</v>
      </c>
      <c r="D569" t="s">
        <v>4363</v>
      </c>
      <c r="E569">
        <v>29</v>
      </c>
      <c r="F569" t="s">
        <v>5602</v>
      </c>
      <c r="G569">
        <v>9277628152</v>
      </c>
      <c r="H569" t="s">
        <v>4404</v>
      </c>
      <c r="I569" t="s">
        <v>4405</v>
      </c>
      <c r="J569" t="s">
        <v>4389</v>
      </c>
      <c r="K569">
        <v>0.2</v>
      </c>
      <c r="L569">
        <v>9</v>
      </c>
      <c r="M569">
        <v>11.7</v>
      </c>
      <c r="N569" t="s">
        <v>4368</v>
      </c>
      <c r="O569" t="s">
        <v>4400</v>
      </c>
      <c r="P569" s="1">
        <v>45776</v>
      </c>
      <c r="Q569" t="str">
        <f t="shared" si="32"/>
        <v>10+ Years</v>
      </c>
      <c r="R569" t="str">
        <f>IF(Table7[[#This Row],[Age]]&lt;=25,"20-25",IF(Table7[[#This Row],[Age]]&lt;=30,"26-30",IF(Table7[[#This Row],[Age]]&lt;=35,"31-35","36+")))</f>
        <v>26-30</v>
      </c>
      <c r="S569" t="str">
        <f t="shared" si="33"/>
        <v>April</v>
      </c>
      <c r="T569" s="2" t="str">
        <f t="shared" si="34"/>
        <v>Q2</v>
      </c>
      <c r="U569" s="2">
        <f t="shared" si="35"/>
        <v>2025</v>
      </c>
    </row>
    <row r="570" spans="1:21" x14ac:dyDescent="0.3">
      <c r="A570" t="s">
        <v>1222</v>
      </c>
      <c r="B570" t="s">
        <v>5046</v>
      </c>
      <c r="C570" t="s">
        <v>4616</v>
      </c>
      <c r="D570" t="s">
        <v>4363</v>
      </c>
      <c r="E570">
        <v>31</v>
      </c>
      <c r="F570" t="s">
        <v>5603</v>
      </c>
      <c r="G570">
        <v>9728687476</v>
      </c>
      <c r="H570" t="s">
        <v>4404</v>
      </c>
      <c r="I570" t="s">
        <v>4405</v>
      </c>
      <c r="J570" t="s">
        <v>4389</v>
      </c>
      <c r="K570">
        <v>2.2999999999999998</v>
      </c>
      <c r="L570">
        <v>7</v>
      </c>
      <c r="M570">
        <v>9.6</v>
      </c>
      <c r="N570" t="s">
        <v>4390</v>
      </c>
      <c r="O570" t="s">
        <v>4456</v>
      </c>
      <c r="P570" s="1">
        <v>45797</v>
      </c>
      <c r="Q570" t="str">
        <f t="shared" si="32"/>
        <v>10+ Years</v>
      </c>
      <c r="R570" t="str">
        <f>IF(Table7[[#This Row],[Age]]&lt;=25,"20-25",IF(Table7[[#This Row],[Age]]&lt;=30,"26-30",IF(Table7[[#This Row],[Age]]&lt;=35,"31-35","36+")))</f>
        <v>31-35</v>
      </c>
      <c r="S570" t="str">
        <f t="shared" si="33"/>
        <v>May</v>
      </c>
      <c r="T570" s="2" t="str">
        <f t="shared" si="34"/>
        <v>Q2</v>
      </c>
      <c r="U570" s="2">
        <f t="shared" si="35"/>
        <v>2025</v>
      </c>
    </row>
    <row r="571" spans="1:21" x14ac:dyDescent="0.3">
      <c r="A571" t="s">
        <v>3899</v>
      </c>
      <c r="B571" t="s">
        <v>4674</v>
      </c>
      <c r="C571" t="s">
        <v>4480</v>
      </c>
      <c r="D571" t="s">
        <v>4363</v>
      </c>
      <c r="E571">
        <v>21</v>
      </c>
      <c r="F571" t="s">
        <v>5604</v>
      </c>
      <c r="G571">
        <v>9648550942</v>
      </c>
      <c r="H571" t="s">
        <v>4410</v>
      </c>
      <c r="I571" t="s">
        <v>4411</v>
      </c>
      <c r="J571" t="s">
        <v>4415</v>
      </c>
      <c r="K571">
        <v>0.2</v>
      </c>
      <c r="L571">
        <v>3.4</v>
      </c>
      <c r="M571">
        <v>3.8</v>
      </c>
      <c r="N571" t="s">
        <v>4377</v>
      </c>
      <c r="O571" t="s">
        <v>4485</v>
      </c>
      <c r="P571" s="1">
        <v>45944</v>
      </c>
      <c r="Q571" t="str">
        <f t="shared" si="32"/>
        <v>10+ Years</v>
      </c>
      <c r="R571" t="str">
        <f>IF(Table7[[#This Row],[Age]]&lt;=25,"20-25",IF(Table7[[#This Row],[Age]]&lt;=30,"26-30",IF(Table7[[#This Row],[Age]]&lt;=35,"31-35","36+")))</f>
        <v>20-25</v>
      </c>
      <c r="S571" t="str">
        <f t="shared" si="33"/>
        <v>October</v>
      </c>
      <c r="T571" s="2" t="str">
        <f t="shared" si="34"/>
        <v>Q4</v>
      </c>
      <c r="U571" s="2">
        <f t="shared" si="35"/>
        <v>2025</v>
      </c>
    </row>
    <row r="572" spans="1:21" x14ac:dyDescent="0.3">
      <c r="A572" t="s">
        <v>1117</v>
      </c>
      <c r="B572" t="s">
        <v>5147</v>
      </c>
      <c r="C572" t="s">
        <v>5605</v>
      </c>
      <c r="D572" t="s">
        <v>4363</v>
      </c>
      <c r="E572">
        <v>33</v>
      </c>
      <c r="F572" t="s">
        <v>5606</v>
      </c>
      <c r="G572">
        <v>9443526804</v>
      </c>
      <c r="H572" t="s">
        <v>4491</v>
      </c>
      <c r="I572" t="s">
        <v>4491</v>
      </c>
      <c r="J572" t="s">
        <v>4367</v>
      </c>
      <c r="K572">
        <v>2.2999999999999998</v>
      </c>
      <c r="L572">
        <v>6</v>
      </c>
      <c r="M572">
        <v>7.1</v>
      </c>
      <c r="N572" t="s">
        <v>4390</v>
      </c>
      <c r="O572" t="s">
        <v>4391</v>
      </c>
      <c r="P572" s="1">
        <v>45783</v>
      </c>
      <c r="Q572" t="str">
        <f t="shared" si="32"/>
        <v>10+ Years</v>
      </c>
      <c r="R572" t="str">
        <f>IF(Table7[[#This Row],[Age]]&lt;=25,"20-25",IF(Table7[[#This Row],[Age]]&lt;=30,"26-30",IF(Table7[[#This Row],[Age]]&lt;=35,"31-35","36+")))</f>
        <v>31-35</v>
      </c>
      <c r="S572" t="str">
        <f t="shared" si="33"/>
        <v>May</v>
      </c>
      <c r="T572" s="2" t="str">
        <f t="shared" si="34"/>
        <v>Q2</v>
      </c>
      <c r="U572" s="2">
        <f t="shared" si="35"/>
        <v>2025</v>
      </c>
    </row>
    <row r="573" spans="1:21" x14ac:dyDescent="0.3">
      <c r="A573" t="s">
        <v>1478</v>
      </c>
      <c r="B573" t="s">
        <v>5437</v>
      </c>
      <c r="C573" t="s">
        <v>5607</v>
      </c>
      <c r="D573" t="s">
        <v>4720</v>
      </c>
      <c r="E573">
        <v>21</v>
      </c>
      <c r="F573" t="s">
        <v>5608</v>
      </c>
      <c r="G573">
        <v>9273116077</v>
      </c>
      <c r="H573" t="s">
        <v>4506</v>
      </c>
      <c r="I573" t="s">
        <v>4507</v>
      </c>
      <c r="J573" t="s">
        <v>4482</v>
      </c>
      <c r="K573">
        <v>2.5</v>
      </c>
      <c r="L573">
        <v>10.7</v>
      </c>
      <c r="M573">
        <v>14.2</v>
      </c>
      <c r="N573" t="s">
        <v>4368</v>
      </c>
      <c r="O573" t="s">
        <v>4369</v>
      </c>
      <c r="P573" s="1">
        <v>45769</v>
      </c>
      <c r="Q573" t="str">
        <f t="shared" si="32"/>
        <v>10+ Years</v>
      </c>
      <c r="R573" t="str">
        <f>IF(Table7[[#This Row],[Age]]&lt;=25,"20-25",IF(Table7[[#This Row],[Age]]&lt;=30,"26-30",IF(Table7[[#This Row],[Age]]&lt;=35,"31-35","36+")))</f>
        <v>20-25</v>
      </c>
      <c r="S573" t="str">
        <f t="shared" si="33"/>
        <v>April</v>
      </c>
      <c r="T573" s="2" t="str">
        <f t="shared" si="34"/>
        <v>Q2</v>
      </c>
      <c r="U573" s="2">
        <f t="shared" si="35"/>
        <v>2025</v>
      </c>
    </row>
    <row r="574" spans="1:21" x14ac:dyDescent="0.3">
      <c r="A574" t="s">
        <v>3688</v>
      </c>
      <c r="B574" t="s">
        <v>5609</v>
      </c>
      <c r="C574" t="s">
        <v>4519</v>
      </c>
      <c r="D574" t="s">
        <v>4372</v>
      </c>
      <c r="E574">
        <v>24</v>
      </c>
      <c r="F574" t="s">
        <v>5610</v>
      </c>
      <c r="G574">
        <v>9307363604</v>
      </c>
      <c r="H574" t="s">
        <v>4521</v>
      </c>
      <c r="I574" t="s">
        <v>4522</v>
      </c>
      <c r="J574" t="s">
        <v>4432</v>
      </c>
      <c r="K574">
        <v>0.4</v>
      </c>
      <c r="L574">
        <v>14.1</v>
      </c>
      <c r="M574">
        <v>18.100000000000001</v>
      </c>
      <c r="N574" t="s">
        <v>4368</v>
      </c>
      <c r="O574" t="s">
        <v>4391</v>
      </c>
      <c r="P574" s="1">
        <v>45883</v>
      </c>
      <c r="Q574" t="str">
        <f t="shared" si="32"/>
        <v>10+ Years</v>
      </c>
      <c r="R574" t="str">
        <f>IF(Table7[[#This Row],[Age]]&lt;=25,"20-25",IF(Table7[[#This Row],[Age]]&lt;=30,"26-30",IF(Table7[[#This Row],[Age]]&lt;=35,"31-35","36+")))</f>
        <v>20-25</v>
      </c>
      <c r="S574" t="str">
        <f t="shared" si="33"/>
        <v>August</v>
      </c>
      <c r="T574" s="2" t="str">
        <f t="shared" si="34"/>
        <v>Q3</v>
      </c>
      <c r="U574" s="2">
        <f t="shared" si="35"/>
        <v>2025</v>
      </c>
    </row>
    <row r="575" spans="1:21" x14ac:dyDescent="0.3">
      <c r="A575" t="s">
        <v>3375</v>
      </c>
      <c r="B575" t="s">
        <v>4810</v>
      </c>
      <c r="C575" t="s">
        <v>5611</v>
      </c>
      <c r="D575" t="s">
        <v>4363</v>
      </c>
      <c r="E575">
        <v>26</v>
      </c>
      <c r="F575" t="s">
        <v>5612</v>
      </c>
      <c r="G575">
        <v>9622105386</v>
      </c>
      <c r="H575" t="s">
        <v>4491</v>
      </c>
      <c r="I575" t="s">
        <v>4491</v>
      </c>
      <c r="J575" t="s">
        <v>4450</v>
      </c>
      <c r="K575">
        <v>0.9</v>
      </c>
      <c r="L575">
        <v>6.2</v>
      </c>
      <c r="M575">
        <v>7.9</v>
      </c>
      <c r="N575" t="s">
        <v>4368</v>
      </c>
      <c r="O575" t="s">
        <v>4383</v>
      </c>
      <c r="P575" s="1">
        <v>45732</v>
      </c>
      <c r="Q575" t="str">
        <f t="shared" si="32"/>
        <v>10+ Years</v>
      </c>
      <c r="R575" t="str">
        <f>IF(Table7[[#This Row],[Age]]&lt;=25,"20-25",IF(Table7[[#This Row],[Age]]&lt;=30,"26-30",IF(Table7[[#This Row],[Age]]&lt;=35,"31-35","36+")))</f>
        <v>26-30</v>
      </c>
      <c r="S575" t="str">
        <f t="shared" si="33"/>
        <v>March</v>
      </c>
      <c r="T575" s="2" t="str">
        <f t="shared" si="34"/>
        <v>Q1</v>
      </c>
      <c r="U575" s="2">
        <f t="shared" si="35"/>
        <v>2025</v>
      </c>
    </row>
    <row r="576" spans="1:21" x14ac:dyDescent="0.3">
      <c r="A576" t="s">
        <v>1634</v>
      </c>
      <c r="B576" t="s">
        <v>4370</v>
      </c>
      <c r="C576" t="s">
        <v>5613</v>
      </c>
      <c r="D576" t="s">
        <v>4372</v>
      </c>
      <c r="E576">
        <v>27</v>
      </c>
      <c r="F576" t="s">
        <v>5614</v>
      </c>
      <c r="G576">
        <v>9178693220</v>
      </c>
      <c r="H576" t="s">
        <v>4476</v>
      </c>
      <c r="I576" t="s">
        <v>4477</v>
      </c>
      <c r="J576" t="s">
        <v>4389</v>
      </c>
      <c r="K576">
        <v>1.5</v>
      </c>
      <c r="L576">
        <v>7</v>
      </c>
      <c r="M576">
        <v>10.1</v>
      </c>
      <c r="N576" t="s">
        <v>4390</v>
      </c>
      <c r="O576" t="s">
        <v>4391</v>
      </c>
      <c r="P576" s="1">
        <v>45875</v>
      </c>
      <c r="Q576" t="str">
        <f t="shared" si="32"/>
        <v>10+ Years</v>
      </c>
      <c r="R576" t="str">
        <f>IF(Table7[[#This Row],[Age]]&lt;=25,"20-25",IF(Table7[[#This Row],[Age]]&lt;=30,"26-30",IF(Table7[[#This Row],[Age]]&lt;=35,"31-35","36+")))</f>
        <v>26-30</v>
      </c>
      <c r="S576" t="str">
        <f t="shared" si="33"/>
        <v>August</v>
      </c>
      <c r="T576" s="2" t="str">
        <f t="shared" si="34"/>
        <v>Q3</v>
      </c>
      <c r="U576" s="2">
        <f t="shared" si="35"/>
        <v>2025</v>
      </c>
    </row>
    <row r="577" spans="1:21" x14ac:dyDescent="0.3">
      <c r="A577" t="s">
        <v>159</v>
      </c>
      <c r="B577" t="s">
        <v>4830</v>
      </c>
      <c r="C577" t="s">
        <v>5615</v>
      </c>
      <c r="D577" t="s">
        <v>4372</v>
      </c>
      <c r="E577">
        <v>22</v>
      </c>
      <c r="F577" t="s">
        <v>5616</v>
      </c>
      <c r="G577">
        <v>9841634952</v>
      </c>
      <c r="H577" t="s">
        <v>4506</v>
      </c>
      <c r="I577" t="s">
        <v>4507</v>
      </c>
      <c r="K577">
        <v>4.5</v>
      </c>
      <c r="L577">
        <v>12.4</v>
      </c>
      <c r="M577">
        <v>14.5</v>
      </c>
      <c r="N577" t="s">
        <v>4377</v>
      </c>
      <c r="O577" t="s">
        <v>4383</v>
      </c>
      <c r="P577" s="1">
        <v>45661</v>
      </c>
      <c r="Q577" t="str">
        <f t="shared" si="32"/>
        <v>10+ Years</v>
      </c>
      <c r="R577" t="str">
        <f>IF(Table7[[#This Row],[Age]]&lt;=25,"20-25",IF(Table7[[#This Row],[Age]]&lt;=30,"26-30",IF(Table7[[#This Row],[Age]]&lt;=35,"31-35","36+")))</f>
        <v>20-25</v>
      </c>
      <c r="S577" t="str">
        <f t="shared" si="33"/>
        <v>January</v>
      </c>
      <c r="T577" s="2" t="str">
        <f t="shared" si="34"/>
        <v>Q1</v>
      </c>
      <c r="U577" s="2">
        <f t="shared" si="35"/>
        <v>2025</v>
      </c>
    </row>
    <row r="578" spans="1:21" x14ac:dyDescent="0.3">
      <c r="A578" t="s">
        <v>2116</v>
      </c>
      <c r="B578" t="s">
        <v>5153</v>
      </c>
      <c r="C578" t="s">
        <v>5617</v>
      </c>
      <c r="D578" t="s">
        <v>4372</v>
      </c>
      <c r="E578">
        <v>31</v>
      </c>
      <c r="F578" t="s">
        <v>5618</v>
      </c>
      <c r="G578">
        <v>9611961732</v>
      </c>
      <c r="H578" t="s">
        <v>4476</v>
      </c>
      <c r="I578" t="s">
        <v>4477</v>
      </c>
      <c r="J578" t="s">
        <v>4415</v>
      </c>
      <c r="K578">
        <v>1</v>
      </c>
      <c r="L578">
        <v>11</v>
      </c>
      <c r="M578">
        <v>14.9</v>
      </c>
      <c r="N578" t="s">
        <v>4390</v>
      </c>
      <c r="O578" t="s">
        <v>4419</v>
      </c>
      <c r="P578" s="1">
        <v>45975</v>
      </c>
      <c r="Q578" t="str">
        <f t="shared" ref="Q578:Q641" si="36">IF(P578&lt;=2,"0-2 Years",IF(P578&lt;=5,"3-5 Years",IF(P578&lt;=10,"6-10 Years","10+ Years")))</f>
        <v>10+ Years</v>
      </c>
      <c r="R578" t="str">
        <f>IF(Table7[[#This Row],[Age]]&lt;=25,"20-25",IF(Table7[[#This Row],[Age]]&lt;=30,"26-30",IF(Table7[[#This Row],[Age]]&lt;=35,"31-35","36+")))</f>
        <v>31-35</v>
      </c>
      <c r="S578" t="str">
        <f t="shared" ref="S578:S641" si="37">TEXT(P578,"mmmm")</f>
        <v>November</v>
      </c>
      <c r="T578" s="2" t="str">
        <f t="shared" ref="T578:T641" si="38">"Q"&amp;ROUNDUP(MONTH(P578)/3,0)</f>
        <v>Q4</v>
      </c>
      <c r="U578" s="2">
        <f t="shared" ref="U578:U641" si="39">YEAR(P578)</f>
        <v>2025</v>
      </c>
    </row>
    <row r="579" spans="1:21" x14ac:dyDescent="0.3">
      <c r="A579" t="s">
        <v>1810</v>
      </c>
      <c r="B579" t="s">
        <v>4687</v>
      </c>
      <c r="C579" t="s">
        <v>5619</v>
      </c>
      <c r="D579" t="s">
        <v>4372</v>
      </c>
      <c r="E579">
        <v>28</v>
      </c>
      <c r="F579" t="s">
        <v>5620</v>
      </c>
      <c r="G579">
        <v>9800504800</v>
      </c>
      <c r="H579" t="s">
        <v>4395</v>
      </c>
      <c r="I579" t="s">
        <v>4396</v>
      </c>
      <c r="J579" t="s">
        <v>4389</v>
      </c>
      <c r="K579">
        <v>8.5</v>
      </c>
      <c r="L579">
        <v>15.3</v>
      </c>
      <c r="M579">
        <v>17.2</v>
      </c>
      <c r="N579" t="s">
        <v>4390</v>
      </c>
      <c r="O579" t="s">
        <v>4383</v>
      </c>
      <c r="P579" s="1">
        <v>46005</v>
      </c>
      <c r="Q579" t="str">
        <f t="shared" si="36"/>
        <v>10+ Years</v>
      </c>
      <c r="R579" t="str">
        <f>IF(Table7[[#This Row],[Age]]&lt;=25,"20-25",IF(Table7[[#This Row],[Age]]&lt;=30,"26-30",IF(Table7[[#This Row],[Age]]&lt;=35,"31-35","36+")))</f>
        <v>26-30</v>
      </c>
      <c r="S579" t="str">
        <f t="shared" si="37"/>
        <v>December</v>
      </c>
      <c r="T579" s="2" t="str">
        <f t="shared" si="38"/>
        <v>Q4</v>
      </c>
      <c r="U579" s="2">
        <f t="shared" si="39"/>
        <v>2025</v>
      </c>
    </row>
    <row r="580" spans="1:21" x14ac:dyDescent="0.3">
      <c r="A580" t="s">
        <v>3565</v>
      </c>
      <c r="B580" t="s">
        <v>4571</v>
      </c>
      <c r="C580" t="s">
        <v>4554</v>
      </c>
      <c r="D580" t="s">
        <v>4363</v>
      </c>
      <c r="E580">
        <v>38</v>
      </c>
      <c r="F580" t="s">
        <v>5621</v>
      </c>
      <c r="G580">
        <v>9733534426</v>
      </c>
      <c r="H580" t="s">
        <v>4521</v>
      </c>
      <c r="I580" t="s">
        <v>4522</v>
      </c>
      <c r="J580" t="s">
        <v>4389</v>
      </c>
      <c r="K580">
        <v>0.6</v>
      </c>
      <c r="L580">
        <v>4.7</v>
      </c>
      <c r="M580">
        <v>5.8</v>
      </c>
      <c r="N580" t="s">
        <v>4494</v>
      </c>
      <c r="O580" t="s">
        <v>4383</v>
      </c>
      <c r="P580" s="1">
        <v>45864</v>
      </c>
      <c r="Q580" t="str">
        <f t="shared" si="36"/>
        <v>10+ Years</v>
      </c>
      <c r="R580" t="str">
        <f>IF(Table7[[#This Row],[Age]]&lt;=25,"20-25",IF(Table7[[#This Row],[Age]]&lt;=30,"26-30",IF(Table7[[#This Row],[Age]]&lt;=35,"31-35","36+")))</f>
        <v>36+</v>
      </c>
      <c r="S580" t="str">
        <f t="shared" si="37"/>
        <v>July</v>
      </c>
      <c r="T580" s="2" t="str">
        <f t="shared" si="38"/>
        <v>Q3</v>
      </c>
      <c r="U580" s="2">
        <f t="shared" si="39"/>
        <v>2025</v>
      </c>
    </row>
    <row r="581" spans="1:21" x14ac:dyDescent="0.3">
      <c r="A581" t="s">
        <v>1987</v>
      </c>
      <c r="B581" t="s">
        <v>4508</v>
      </c>
      <c r="C581" t="s">
        <v>5622</v>
      </c>
      <c r="D581" t="s">
        <v>4363</v>
      </c>
      <c r="E581">
        <v>34</v>
      </c>
      <c r="F581" t="s">
        <v>5623</v>
      </c>
      <c r="G581">
        <v>9223928675</v>
      </c>
      <c r="H581" t="s">
        <v>4395</v>
      </c>
      <c r="I581" t="s">
        <v>4396</v>
      </c>
      <c r="J581" t="s">
        <v>4450</v>
      </c>
      <c r="K581">
        <v>0.6</v>
      </c>
      <c r="L581">
        <v>8.4</v>
      </c>
      <c r="M581">
        <v>11.6</v>
      </c>
      <c r="N581" t="s">
        <v>4406</v>
      </c>
      <c r="O581" t="s">
        <v>4391</v>
      </c>
      <c r="P581" s="1">
        <v>45903</v>
      </c>
      <c r="Q581" t="str">
        <f t="shared" si="36"/>
        <v>10+ Years</v>
      </c>
      <c r="R581" t="str">
        <f>IF(Table7[[#This Row],[Age]]&lt;=25,"20-25",IF(Table7[[#This Row],[Age]]&lt;=30,"26-30",IF(Table7[[#This Row],[Age]]&lt;=35,"31-35","36+")))</f>
        <v>31-35</v>
      </c>
      <c r="S581" t="str">
        <f t="shared" si="37"/>
        <v>September</v>
      </c>
      <c r="T581" s="2" t="str">
        <f t="shared" si="38"/>
        <v>Q3</v>
      </c>
      <c r="U581" s="2">
        <f t="shared" si="39"/>
        <v>2025</v>
      </c>
    </row>
    <row r="582" spans="1:21" x14ac:dyDescent="0.3">
      <c r="A582" t="s">
        <v>3024</v>
      </c>
      <c r="B582" t="s">
        <v>5624</v>
      </c>
      <c r="C582" t="s">
        <v>5213</v>
      </c>
      <c r="D582" t="s">
        <v>4372</v>
      </c>
      <c r="E582">
        <v>24</v>
      </c>
      <c r="F582" t="s">
        <v>5625</v>
      </c>
      <c r="G582">
        <v>9490248631</v>
      </c>
      <c r="H582" t="s">
        <v>4374</v>
      </c>
      <c r="I582" t="s">
        <v>4375</v>
      </c>
      <c r="J582" t="s">
        <v>4450</v>
      </c>
      <c r="K582">
        <v>8.9</v>
      </c>
      <c r="L582">
        <v>14.2</v>
      </c>
      <c r="M582">
        <v>17.5</v>
      </c>
      <c r="N582" t="s">
        <v>4390</v>
      </c>
      <c r="O582" t="s">
        <v>4485</v>
      </c>
      <c r="P582" s="1">
        <v>45985</v>
      </c>
      <c r="Q582" t="str">
        <f t="shared" si="36"/>
        <v>10+ Years</v>
      </c>
      <c r="R582" t="str">
        <f>IF(Table7[[#This Row],[Age]]&lt;=25,"20-25",IF(Table7[[#This Row],[Age]]&lt;=30,"26-30",IF(Table7[[#This Row],[Age]]&lt;=35,"31-35","36+")))</f>
        <v>20-25</v>
      </c>
      <c r="S582" t="str">
        <f t="shared" si="37"/>
        <v>November</v>
      </c>
      <c r="T582" s="2" t="str">
        <f t="shared" si="38"/>
        <v>Q4</v>
      </c>
      <c r="U582" s="2">
        <f t="shared" si="39"/>
        <v>2025</v>
      </c>
    </row>
    <row r="583" spans="1:21" x14ac:dyDescent="0.3">
      <c r="A583" t="s">
        <v>503</v>
      </c>
      <c r="B583" t="s">
        <v>4760</v>
      </c>
      <c r="C583" t="s">
        <v>4870</v>
      </c>
      <c r="D583" t="s">
        <v>4363</v>
      </c>
      <c r="E583">
        <v>35</v>
      </c>
      <c r="F583" t="s">
        <v>5626</v>
      </c>
      <c r="G583">
        <v>9457149226</v>
      </c>
      <c r="H583" t="s">
        <v>4454</v>
      </c>
      <c r="I583" t="s">
        <v>4455</v>
      </c>
      <c r="J583" t="s">
        <v>4482</v>
      </c>
      <c r="K583">
        <v>0.2</v>
      </c>
      <c r="L583">
        <v>9.6</v>
      </c>
      <c r="M583">
        <v>12.7</v>
      </c>
      <c r="N583" t="s">
        <v>4377</v>
      </c>
      <c r="O583" t="s">
        <v>4369</v>
      </c>
      <c r="P583" s="1">
        <v>45847</v>
      </c>
      <c r="Q583" t="str">
        <f t="shared" si="36"/>
        <v>10+ Years</v>
      </c>
      <c r="R583" t="str">
        <f>IF(Table7[[#This Row],[Age]]&lt;=25,"20-25",IF(Table7[[#This Row],[Age]]&lt;=30,"26-30",IF(Table7[[#This Row],[Age]]&lt;=35,"31-35","36+")))</f>
        <v>31-35</v>
      </c>
      <c r="S583" t="str">
        <f t="shared" si="37"/>
        <v>July</v>
      </c>
      <c r="T583" s="2" t="str">
        <f t="shared" si="38"/>
        <v>Q3</v>
      </c>
      <c r="U583" s="2">
        <f t="shared" si="39"/>
        <v>2025</v>
      </c>
    </row>
    <row r="584" spans="1:21" x14ac:dyDescent="0.3">
      <c r="A584" t="s">
        <v>2018</v>
      </c>
      <c r="B584" t="s">
        <v>4451</v>
      </c>
      <c r="C584" t="s">
        <v>5142</v>
      </c>
      <c r="D584" t="s">
        <v>4363</v>
      </c>
      <c r="E584">
        <v>21</v>
      </c>
      <c r="F584" t="s">
        <v>5627</v>
      </c>
      <c r="G584">
        <v>9489617404</v>
      </c>
      <c r="H584" t="s">
        <v>4473</v>
      </c>
      <c r="I584" t="s">
        <v>4473</v>
      </c>
      <c r="J584" t="s">
        <v>4450</v>
      </c>
      <c r="K584">
        <v>1.5</v>
      </c>
      <c r="L584">
        <v>6.3</v>
      </c>
      <c r="M584">
        <v>8.1999999999999993</v>
      </c>
      <c r="N584" t="s">
        <v>4368</v>
      </c>
      <c r="O584" t="s">
        <v>4391</v>
      </c>
      <c r="P584" s="1">
        <v>45911</v>
      </c>
      <c r="Q584" t="str">
        <f t="shared" si="36"/>
        <v>10+ Years</v>
      </c>
      <c r="R584" t="str">
        <f>IF(Table7[[#This Row],[Age]]&lt;=25,"20-25",IF(Table7[[#This Row],[Age]]&lt;=30,"26-30",IF(Table7[[#This Row],[Age]]&lt;=35,"31-35","36+")))</f>
        <v>20-25</v>
      </c>
      <c r="S584" t="str">
        <f t="shared" si="37"/>
        <v>September</v>
      </c>
      <c r="T584" s="2" t="str">
        <f t="shared" si="38"/>
        <v>Q3</v>
      </c>
      <c r="U584" s="2">
        <f t="shared" si="39"/>
        <v>2025</v>
      </c>
    </row>
    <row r="585" spans="1:21" x14ac:dyDescent="0.3">
      <c r="A585" t="s">
        <v>406</v>
      </c>
      <c r="B585" t="s">
        <v>4787</v>
      </c>
      <c r="C585" t="s">
        <v>5443</v>
      </c>
      <c r="D585" t="s">
        <v>4372</v>
      </c>
      <c r="E585">
        <v>35</v>
      </c>
      <c r="F585" t="s">
        <v>5628</v>
      </c>
      <c r="G585">
        <v>9505079348</v>
      </c>
      <c r="H585" t="s">
        <v>4410</v>
      </c>
      <c r="I585" t="s">
        <v>4411</v>
      </c>
      <c r="J585" t="s">
        <v>4367</v>
      </c>
      <c r="K585">
        <v>2.7</v>
      </c>
      <c r="L585">
        <v>13.3</v>
      </c>
      <c r="M585">
        <v>15.8</v>
      </c>
      <c r="N585" t="s">
        <v>4390</v>
      </c>
      <c r="O585" t="s">
        <v>4369</v>
      </c>
      <c r="P585" s="1">
        <v>45817</v>
      </c>
      <c r="Q585" t="str">
        <f t="shared" si="36"/>
        <v>10+ Years</v>
      </c>
      <c r="R585" t="str">
        <f>IF(Table7[[#This Row],[Age]]&lt;=25,"20-25",IF(Table7[[#This Row],[Age]]&lt;=30,"26-30",IF(Table7[[#This Row],[Age]]&lt;=35,"31-35","36+")))</f>
        <v>31-35</v>
      </c>
      <c r="S585" t="str">
        <f t="shared" si="37"/>
        <v>June</v>
      </c>
      <c r="T585" s="2" t="str">
        <f t="shared" si="38"/>
        <v>Q2</v>
      </c>
      <c r="U585" s="2">
        <f t="shared" si="39"/>
        <v>2025</v>
      </c>
    </row>
    <row r="586" spans="1:21" x14ac:dyDescent="0.3">
      <c r="A586" t="s">
        <v>384</v>
      </c>
      <c r="B586" t="s">
        <v>5273</v>
      </c>
      <c r="C586" t="s">
        <v>4461</v>
      </c>
      <c r="D586" t="s">
        <v>4372</v>
      </c>
      <c r="E586">
        <v>31</v>
      </c>
      <c r="F586" t="s">
        <v>5629</v>
      </c>
      <c r="G586">
        <v>9568822262</v>
      </c>
      <c r="H586" t="s">
        <v>4454</v>
      </c>
      <c r="I586" t="s">
        <v>4455</v>
      </c>
      <c r="J586" t="s">
        <v>4367</v>
      </c>
      <c r="K586">
        <v>0.4</v>
      </c>
      <c r="L586">
        <v>7.4</v>
      </c>
      <c r="M586">
        <v>10.7</v>
      </c>
      <c r="N586" t="s">
        <v>4377</v>
      </c>
      <c r="O586" t="s">
        <v>4369</v>
      </c>
      <c r="P586" s="1">
        <v>45731</v>
      </c>
      <c r="Q586" t="str">
        <f t="shared" si="36"/>
        <v>10+ Years</v>
      </c>
      <c r="R586" t="str">
        <f>IF(Table7[[#This Row],[Age]]&lt;=25,"20-25",IF(Table7[[#This Row],[Age]]&lt;=30,"26-30",IF(Table7[[#This Row],[Age]]&lt;=35,"31-35","36+")))</f>
        <v>31-35</v>
      </c>
      <c r="S586" t="str">
        <f t="shared" si="37"/>
        <v>March</v>
      </c>
      <c r="T586" s="2" t="str">
        <f t="shared" si="38"/>
        <v>Q1</v>
      </c>
      <c r="U586" s="2">
        <f t="shared" si="39"/>
        <v>2025</v>
      </c>
    </row>
    <row r="587" spans="1:21" x14ac:dyDescent="0.3">
      <c r="A587" t="s">
        <v>1973</v>
      </c>
      <c r="B587" t="s">
        <v>4447</v>
      </c>
      <c r="C587" t="s">
        <v>5630</v>
      </c>
      <c r="D587" t="s">
        <v>4363</v>
      </c>
      <c r="E587">
        <v>35</v>
      </c>
      <c r="F587" t="s">
        <v>5631</v>
      </c>
      <c r="G587">
        <v>9929891284</v>
      </c>
      <c r="H587" t="s">
        <v>4387</v>
      </c>
      <c r="I587" t="s">
        <v>4388</v>
      </c>
      <c r="J587" t="s">
        <v>4367</v>
      </c>
      <c r="K587">
        <v>6.2</v>
      </c>
      <c r="L587">
        <v>21.8</v>
      </c>
      <c r="M587">
        <v>30.4</v>
      </c>
      <c r="N587" t="s">
        <v>4406</v>
      </c>
      <c r="O587" t="s">
        <v>4391</v>
      </c>
      <c r="P587" s="1">
        <v>45855</v>
      </c>
      <c r="Q587" t="str">
        <f t="shared" si="36"/>
        <v>10+ Years</v>
      </c>
      <c r="R587" t="str">
        <f>IF(Table7[[#This Row],[Age]]&lt;=25,"20-25",IF(Table7[[#This Row],[Age]]&lt;=30,"26-30",IF(Table7[[#This Row],[Age]]&lt;=35,"31-35","36+")))</f>
        <v>31-35</v>
      </c>
      <c r="S587" t="str">
        <f t="shared" si="37"/>
        <v>July</v>
      </c>
      <c r="T587" s="2" t="str">
        <f t="shared" si="38"/>
        <v>Q3</v>
      </c>
      <c r="U587" s="2">
        <f t="shared" si="39"/>
        <v>2025</v>
      </c>
    </row>
    <row r="588" spans="1:21" x14ac:dyDescent="0.3">
      <c r="A588" t="s">
        <v>1621</v>
      </c>
      <c r="B588" t="s">
        <v>5632</v>
      </c>
      <c r="C588" t="s">
        <v>4606</v>
      </c>
      <c r="D588" t="s">
        <v>4372</v>
      </c>
      <c r="E588">
        <v>28</v>
      </c>
      <c r="F588" t="s">
        <v>5633</v>
      </c>
      <c r="G588">
        <v>9861156441</v>
      </c>
      <c r="H588" t="s">
        <v>4473</v>
      </c>
      <c r="I588" t="s">
        <v>4473</v>
      </c>
      <c r="J588" t="s">
        <v>4367</v>
      </c>
      <c r="K588">
        <v>9.4</v>
      </c>
      <c r="L588">
        <v>21.3</v>
      </c>
      <c r="M588">
        <v>24.7</v>
      </c>
      <c r="N588" t="s">
        <v>4368</v>
      </c>
      <c r="O588" t="s">
        <v>4369</v>
      </c>
      <c r="P588" s="1">
        <v>45740</v>
      </c>
      <c r="Q588" t="str">
        <f t="shared" si="36"/>
        <v>10+ Years</v>
      </c>
      <c r="R588" t="str">
        <f>IF(Table7[[#This Row],[Age]]&lt;=25,"20-25",IF(Table7[[#This Row],[Age]]&lt;=30,"26-30",IF(Table7[[#This Row],[Age]]&lt;=35,"31-35","36+")))</f>
        <v>26-30</v>
      </c>
      <c r="S588" t="str">
        <f t="shared" si="37"/>
        <v>March</v>
      </c>
      <c r="T588" s="2" t="str">
        <f t="shared" si="38"/>
        <v>Q1</v>
      </c>
      <c r="U588" s="2">
        <f t="shared" si="39"/>
        <v>2025</v>
      </c>
    </row>
    <row r="589" spans="1:21" x14ac:dyDescent="0.3">
      <c r="A589" t="s">
        <v>3232</v>
      </c>
      <c r="B589" t="s">
        <v>4457</v>
      </c>
      <c r="C589" t="s">
        <v>5342</v>
      </c>
      <c r="D589" t="s">
        <v>4372</v>
      </c>
      <c r="E589">
        <v>35</v>
      </c>
      <c r="F589" t="s">
        <v>5634</v>
      </c>
      <c r="G589">
        <v>9451985396</v>
      </c>
      <c r="H589" t="s">
        <v>4404</v>
      </c>
      <c r="I589" t="s">
        <v>4405</v>
      </c>
      <c r="J589" t="s">
        <v>4389</v>
      </c>
      <c r="K589">
        <v>6.4</v>
      </c>
      <c r="L589">
        <v>12.8</v>
      </c>
      <c r="M589">
        <v>15</v>
      </c>
      <c r="N589" t="s">
        <v>4390</v>
      </c>
      <c r="O589" t="s">
        <v>4369</v>
      </c>
      <c r="P589" s="1">
        <v>45759</v>
      </c>
      <c r="Q589" t="str">
        <f t="shared" si="36"/>
        <v>10+ Years</v>
      </c>
      <c r="R589" t="str">
        <f>IF(Table7[[#This Row],[Age]]&lt;=25,"20-25",IF(Table7[[#This Row],[Age]]&lt;=30,"26-30",IF(Table7[[#This Row],[Age]]&lt;=35,"31-35","36+")))</f>
        <v>31-35</v>
      </c>
      <c r="S589" t="str">
        <f t="shared" si="37"/>
        <v>April</v>
      </c>
      <c r="T589" s="2" t="str">
        <f t="shared" si="38"/>
        <v>Q2</v>
      </c>
      <c r="U589" s="2">
        <f t="shared" si="39"/>
        <v>2025</v>
      </c>
    </row>
    <row r="590" spans="1:21" x14ac:dyDescent="0.3">
      <c r="A590" t="s">
        <v>3796</v>
      </c>
      <c r="B590" t="s">
        <v>4568</v>
      </c>
      <c r="C590" t="s">
        <v>5635</v>
      </c>
      <c r="D590" t="s">
        <v>4363</v>
      </c>
      <c r="E590">
        <v>30</v>
      </c>
      <c r="F590" t="s">
        <v>5636</v>
      </c>
      <c r="G590">
        <v>9312635211</v>
      </c>
      <c r="H590" t="s">
        <v>4476</v>
      </c>
      <c r="I590" t="s">
        <v>4477</v>
      </c>
      <c r="J590" t="s">
        <v>4367</v>
      </c>
      <c r="K590">
        <v>3.8</v>
      </c>
      <c r="L590">
        <v>9.9</v>
      </c>
      <c r="M590">
        <v>13.9</v>
      </c>
      <c r="N590" t="s">
        <v>4368</v>
      </c>
      <c r="O590" t="s">
        <v>4391</v>
      </c>
      <c r="P590" s="1">
        <v>45886</v>
      </c>
      <c r="Q590" t="str">
        <f t="shared" si="36"/>
        <v>10+ Years</v>
      </c>
      <c r="R590" t="str">
        <f>IF(Table7[[#This Row],[Age]]&lt;=25,"20-25",IF(Table7[[#This Row],[Age]]&lt;=30,"26-30",IF(Table7[[#This Row],[Age]]&lt;=35,"31-35","36+")))</f>
        <v>26-30</v>
      </c>
      <c r="S590" t="str">
        <f t="shared" si="37"/>
        <v>August</v>
      </c>
      <c r="T590" s="2" t="str">
        <f t="shared" si="38"/>
        <v>Q3</v>
      </c>
      <c r="U590" s="2">
        <f t="shared" si="39"/>
        <v>2025</v>
      </c>
    </row>
    <row r="591" spans="1:21" x14ac:dyDescent="0.3">
      <c r="A591" t="s">
        <v>471</v>
      </c>
      <c r="B591" t="s">
        <v>4563</v>
      </c>
      <c r="C591" t="s">
        <v>4434</v>
      </c>
      <c r="D591" t="s">
        <v>4372</v>
      </c>
      <c r="E591">
        <v>41</v>
      </c>
      <c r="F591" t="s">
        <v>5637</v>
      </c>
      <c r="G591">
        <v>9822940066</v>
      </c>
      <c r="H591" t="s">
        <v>4404</v>
      </c>
      <c r="I591" t="s">
        <v>4405</v>
      </c>
      <c r="J591" t="s">
        <v>4450</v>
      </c>
      <c r="K591">
        <v>7.5</v>
      </c>
      <c r="L591">
        <v>17.600000000000001</v>
      </c>
      <c r="M591">
        <v>20.7</v>
      </c>
      <c r="N591" t="s">
        <v>4377</v>
      </c>
      <c r="O591" t="s">
        <v>4400</v>
      </c>
      <c r="P591" s="1">
        <v>45978</v>
      </c>
      <c r="Q591" t="str">
        <f t="shared" si="36"/>
        <v>10+ Years</v>
      </c>
      <c r="R591" t="str">
        <f>IF(Table7[[#This Row],[Age]]&lt;=25,"20-25",IF(Table7[[#This Row],[Age]]&lt;=30,"26-30",IF(Table7[[#This Row],[Age]]&lt;=35,"31-35","36+")))</f>
        <v>36+</v>
      </c>
      <c r="S591" t="str">
        <f t="shared" si="37"/>
        <v>November</v>
      </c>
      <c r="T591" s="2" t="str">
        <f t="shared" si="38"/>
        <v>Q4</v>
      </c>
      <c r="U591" s="2">
        <f t="shared" si="39"/>
        <v>2025</v>
      </c>
    </row>
    <row r="592" spans="1:21" x14ac:dyDescent="0.3">
      <c r="A592" t="s">
        <v>15</v>
      </c>
      <c r="B592" t="s">
        <v>5134</v>
      </c>
      <c r="C592" t="s">
        <v>5638</v>
      </c>
      <c r="D592" t="s">
        <v>4363</v>
      </c>
      <c r="E592">
        <v>26</v>
      </c>
      <c r="F592" t="s">
        <v>5639</v>
      </c>
      <c r="G592">
        <v>9578384605</v>
      </c>
      <c r="H592" t="s">
        <v>4374</v>
      </c>
      <c r="I592" t="s">
        <v>4375</v>
      </c>
      <c r="J592" t="s">
        <v>4376</v>
      </c>
      <c r="K592">
        <v>5</v>
      </c>
      <c r="L592">
        <v>8.1999999999999993</v>
      </c>
      <c r="M592">
        <v>11.6</v>
      </c>
      <c r="N592" t="s">
        <v>4377</v>
      </c>
      <c r="O592" t="s">
        <v>4383</v>
      </c>
      <c r="P592" s="1">
        <v>45952</v>
      </c>
      <c r="Q592" t="str">
        <f t="shared" si="36"/>
        <v>10+ Years</v>
      </c>
      <c r="R592" t="str">
        <f>IF(Table7[[#This Row],[Age]]&lt;=25,"20-25",IF(Table7[[#This Row],[Age]]&lt;=30,"26-30",IF(Table7[[#This Row],[Age]]&lt;=35,"31-35","36+")))</f>
        <v>26-30</v>
      </c>
      <c r="S592" t="str">
        <f t="shared" si="37"/>
        <v>October</v>
      </c>
      <c r="T592" s="2" t="str">
        <f t="shared" si="38"/>
        <v>Q4</v>
      </c>
      <c r="U592" s="2">
        <f t="shared" si="39"/>
        <v>2025</v>
      </c>
    </row>
    <row r="593" spans="1:21" x14ac:dyDescent="0.3">
      <c r="A593" t="s">
        <v>1867</v>
      </c>
      <c r="B593" t="s">
        <v>5640</v>
      </c>
      <c r="C593" t="s">
        <v>4594</v>
      </c>
      <c r="D593" t="s">
        <v>4372</v>
      </c>
      <c r="E593">
        <v>23</v>
      </c>
      <c r="F593" t="s">
        <v>5641</v>
      </c>
      <c r="G593">
        <v>9124710470</v>
      </c>
      <c r="H593" t="s">
        <v>4521</v>
      </c>
      <c r="I593" t="s">
        <v>4522</v>
      </c>
      <c r="J593" t="s">
        <v>4376</v>
      </c>
      <c r="K593">
        <v>4.3</v>
      </c>
      <c r="L593">
        <v>12.1</v>
      </c>
      <c r="M593">
        <v>16.2</v>
      </c>
      <c r="N593" t="s">
        <v>4390</v>
      </c>
      <c r="O593" t="s">
        <v>4369</v>
      </c>
      <c r="P593" s="1">
        <v>45682</v>
      </c>
      <c r="Q593" t="str">
        <f t="shared" si="36"/>
        <v>10+ Years</v>
      </c>
      <c r="R593" t="str">
        <f>IF(Table7[[#This Row],[Age]]&lt;=25,"20-25",IF(Table7[[#This Row],[Age]]&lt;=30,"26-30",IF(Table7[[#This Row],[Age]]&lt;=35,"31-35","36+")))</f>
        <v>20-25</v>
      </c>
      <c r="S593" t="str">
        <f t="shared" si="37"/>
        <v>January</v>
      </c>
      <c r="T593" s="2" t="str">
        <f t="shared" si="38"/>
        <v>Q1</v>
      </c>
      <c r="U593" s="2">
        <f t="shared" si="39"/>
        <v>2025</v>
      </c>
    </row>
    <row r="594" spans="1:21" x14ac:dyDescent="0.3">
      <c r="A594" t="s">
        <v>1419</v>
      </c>
      <c r="B594" t="s">
        <v>5497</v>
      </c>
      <c r="C594" t="s">
        <v>5642</v>
      </c>
      <c r="D594" t="s">
        <v>4363</v>
      </c>
      <c r="E594">
        <v>36</v>
      </c>
      <c r="F594" t="s">
        <v>5643</v>
      </c>
      <c r="G594">
        <v>9654630624</v>
      </c>
      <c r="H594" t="s">
        <v>4395</v>
      </c>
      <c r="I594" t="s">
        <v>4396</v>
      </c>
      <c r="J594" t="s">
        <v>4415</v>
      </c>
      <c r="K594">
        <v>0.5</v>
      </c>
      <c r="L594">
        <v>8.1</v>
      </c>
      <c r="M594">
        <v>10.9</v>
      </c>
      <c r="N594" t="s">
        <v>4368</v>
      </c>
      <c r="O594" t="s">
        <v>4383</v>
      </c>
      <c r="P594" s="1">
        <v>45914</v>
      </c>
      <c r="Q594" t="str">
        <f t="shared" si="36"/>
        <v>10+ Years</v>
      </c>
      <c r="R594" t="str">
        <f>IF(Table7[[#This Row],[Age]]&lt;=25,"20-25",IF(Table7[[#This Row],[Age]]&lt;=30,"26-30",IF(Table7[[#This Row],[Age]]&lt;=35,"31-35","36+")))</f>
        <v>36+</v>
      </c>
      <c r="S594" t="str">
        <f t="shared" si="37"/>
        <v>September</v>
      </c>
      <c r="T594" s="2" t="str">
        <f t="shared" si="38"/>
        <v>Q3</v>
      </c>
      <c r="U594" s="2">
        <f t="shared" si="39"/>
        <v>2025</v>
      </c>
    </row>
    <row r="595" spans="1:21" x14ac:dyDescent="0.3">
      <c r="A595" t="s">
        <v>2250</v>
      </c>
      <c r="B595" t="s">
        <v>4967</v>
      </c>
      <c r="C595" t="s">
        <v>4729</v>
      </c>
      <c r="D595" t="s">
        <v>4363</v>
      </c>
      <c r="E595">
        <v>35</v>
      </c>
      <c r="F595" t="s">
        <v>5644</v>
      </c>
      <c r="G595">
        <v>9652801053</v>
      </c>
      <c r="H595" t="s">
        <v>4410</v>
      </c>
      <c r="I595" t="s">
        <v>4411</v>
      </c>
      <c r="J595" t="s">
        <v>4446</v>
      </c>
      <c r="K595">
        <v>3.6</v>
      </c>
      <c r="L595">
        <v>3</v>
      </c>
      <c r="M595">
        <v>3.7</v>
      </c>
      <c r="N595" t="s">
        <v>4390</v>
      </c>
      <c r="O595" t="s">
        <v>4369</v>
      </c>
      <c r="P595" s="1">
        <v>45852</v>
      </c>
      <c r="Q595" t="str">
        <f t="shared" si="36"/>
        <v>10+ Years</v>
      </c>
      <c r="R595" t="str">
        <f>IF(Table7[[#This Row],[Age]]&lt;=25,"20-25",IF(Table7[[#This Row],[Age]]&lt;=30,"26-30",IF(Table7[[#This Row],[Age]]&lt;=35,"31-35","36+")))</f>
        <v>31-35</v>
      </c>
      <c r="S595" t="str">
        <f t="shared" si="37"/>
        <v>July</v>
      </c>
      <c r="T595" s="2" t="str">
        <f t="shared" si="38"/>
        <v>Q3</v>
      </c>
      <c r="U595" s="2">
        <f t="shared" si="39"/>
        <v>2025</v>
      </c>
    </row>
    <row r="596" spans="1:21" x14ac:dyDescent="0.3">
      <c r="A596" t="s">
        <v>3331</v>
      </c>
      <c r="B596" t="s">
        <v>4959</v>
      </c>
      <c r="C596" t="s">
        <v>5645</v>
      </c>
      <c r="D596" t="s">
        <v>4363</v>
      </c>
      <c r="E596">
        <v>33</v>
      </c>
      <c r="F596" t="s">
        <v>5646</v>
      </c>
      <c r="G596">
        <v>9458370516</v>
      </c>
      <c r="H596" t="s">
        <v>4491</v>
      </c>
      <c r="I596" t="s">
        <v>4491</v>
      </c>
      <c r="J596" t="s">
        <v>4618</v>
      </c>
      <c r="K596">
        <v>5.9</v>
      </c>
      <c r="L596">
        <v>17.8</v>
      </c>
      <c r="M596">
        <v>25.4</v>
      </c>
      <c r="N596" t="s">
        <v>4390</v>
      </c>
      <c r="O596" t="s">
        <v>4391</v>
      </c>
      <c r="P596" s="1">
        <v>45850</v>
      </c>
      <c r="Q596" t="str">
        <f t="shared" si="36"/>
        <v>10+ Years</v>
      </c>
      <c r="R596" t="str">
        <f>IF(Table7[[#This Row],[Age]]&lt;=25,"20-25",IF(Table7[[#This Row],[Age]]&lt;=30,"26-30",IF(Table7[[#This Row],[Age]]&lt;=35,"31-35","36+")))</f>
        <v>31-35</v>
      </c>
      <c r="S596" t="str">
        <f t="shared" si="37"/>
        <v>July</v>
      </c>
      <c r="T596" s="2" t="str">
        <f t="shared" si="38"/>
        <v>Q3</v>
      </c>
      <c r="U596" s="2">
        <f t="shared" si="39"/>
        <v>2025</v>
      </c>
    </row>
    <row r="597" spans="1:21" x14ac:dyDescent="0.3">
      <c r="A597" t="s">
        <v>3972</v>
      </c>
      <c r="B597" t="s">
        <v>4959</v>
      </c>
      <c r="C597" t="s">
        <v>4529</v>
      </c>
      <c r="D597" t="s">
        <v>4372</v>
      </c>
      <c r="E597">
        <v>29</v>
      </c>
      <c r="F597" t="s">
        <v>5647</v>
      </c>
      <c r="G597">
        <v>9950625470</v>
      </c>
      <c r="H597" t="s">
        <v>4395</v>
      </c>
      <c r="I597" t="s">
        <v>4396</v>
      </c>
      <c r="J597" t="s">
        <v>4389</v>
      </c>
      <c r="K597">
        <v>2.5</v>
      </c>
      <c r="L597">
        <v>9.6</v>
      </c>
      <c r="M597">
        <v>13.4</v>
      </c>
      <c r="N597" t="s">
        <v>4494</v>
      </c>
      <c r="O597" t="s">
        <v>4456</v>
      </c>
      <c r="P597" s="1">
        <v>45820</v>
      </c>
      <c r="Q597" t="str">
        <f t="shared" si="36"/>
        <v>10+ Years</v>
      </c>
      <c r="R597" t="str">
        <f>IF(Table7[[#This Row],[Age]]&lt;=25,"20-25",IF(Table7[[#This Row],[Age]]&lt;=30,"26-30",IF(Table7[[#This Row],[Age]]&lt;=35,"31-35","36+")))</f>
        <v>26-30</v>
      </c>
      <c r="S597" t="str">
        <f t="shared" si="37"/>
        <v>June</v>
      </c>
      <c r="T597" s="2" t="str">
        <f t="shared" si="38"/>
        <v>Q2</v>
      </c>
      <c r="U597" s="2">
        <f t="shared" si="39"/>
        <v>2025</v>
      </c>
    </row>
    <row r="598" spans="1:21" x14ac:dyDescent="0.3">
      <c r="A598" t="s">
        <v>2470</v>
      </c>
      <c r="B598" t="s">
        <v>4634</v>
      </c>
      <c r="C598" t="s">
        <v>4898</v>
      </c>
      <c r="D598" t="s">
        <v>4363</v>
      </c>
      <c r="E598">
        <v>27</v>
      </c>
      <c r="F598" t="s">
        <v>5648</v>
      </c>
      <c r="G598">
        <v>9381631458</v>
      </c>
      <c r="H598" t="s">
        <v>4473</v>
      </c>
      <c r="I598" t="s">
        <v>4473</v>
      </c>
      <c r="J598" t="s">
        <v>4376</v>
      </c>
      <c r="K598">
        <v>2.5</v>
      </c>
      <c r="L598">
        <v>4.9000000000000004</v>
      </c>
      <c r="M598">
        <v>5.7</v>
      </c>
      <c r="N598" t="s">
        <v>4377</v>
      </c>
      <c r="O598" t="s">
        <v>4391</v>
      </c>
      <c r="P598" s="1">
        <v>45798</v>
      </c>
      <c r="Q598" t="str">
        <f t="shared" si="36"/>
        <v>10+ Years</v>
      </c>
      <c r="R598" t="str">
        <f>IF(Table7[[#This Row],[Age]]&lt;=25,"20-25",IF(Table7[[#This Row],[Age]]&lt;=30,"26-30",IF(Table7[[#This Row],[Age]]&lt;=35,"31-35","36+")))</f>
        <v>26-30</v>
      </c>
      <c r="S598" t="str">
        <f t="shared" si="37"/>
        <v>May</v>
      </c>
      <c r="T598" s="2" t="str">
        <f t="shared" si="38"/>
        <v>Q2</v>
      </c>
      <c r="U598" s="2">
        <f t="shared" si="39"/>
        <v>2025</v>
      </c>
    </row>
    <row r="599" spans="1:21" x14ac:dyDescent="0.3">
      <c r="A599" t="s">
        <v>5649</v>
      </c>
      <c r="B599" t="s">
        <v>4679</v>
      </c>
      <c r="C599" t="s">
        <v>5650</v>
      </c>
      <c r="D599" t="s">
        <v>4363</v>
      </c>
      <c r="E599">
        <v>41</v>
      </c>
      <c r="F599" t="s">
        <v>5651</v>
      </c>
      <c r="G599">
        <v>9628324327</v>
      </c>
      <c r="H599" t="s">
        <v>4387</v>
      </c>
      <c r="I599" t="s">
        <v>4388</v>
      </c>
      <c r="J599" t="s">
        <v>4446</v>
      </c>
      <c r="K599">
        <v>3.8</v>
      </c>
      <c r="L599">
        <v>12.6</v>
      </c>
      <c r="M599">
        <v>14.3</v>
      </c>
      <c r="N599" t="s">
        <v>4390</v>
      </c>
      <c r="O599" t="s">
        <v>4369</v>
      </c>
      <c r="P599" s="1">
        <v>45870</v>
      </c>
      <c r="Q599" t="str">
        <f t="shared" si="36"/>
        <v>10+ Years</v>
      </c>
      <c r="R599" t="str">
        <f>IF(Table7[[#This Row],[Age]]&lt;=25,"20-25",IF(Table7[[#This Row],[Age]]&lt;=30,"26-30",IF(Table7[[#This Row],[Age]]&lt;=35,"31-35","36+")))</f>
        <v>36+</v>
      </c>
      <c r="S599" t="str">
        <f t="shared" si="37"/>
        <v>August</v>
      </c>
      <c r="T599" s="2" t="str">
        <f t="shared" si="38"/>
        <v>Q3</v>
      </c>
      <c r="U599" s="2">
        <f t="shared" si="39"/>
        <v>2025</v>
      </c>
    </row>
    <row r="600" spans="1:21" x14ac:dyDescent="0.3">
      <c r="A600" t="s">
        <v>2034</v>
      </c>
      <c r="B600" t="s">
        <v>4731</v>
      </c>
      <c r="C600" t="s">
        <v>4890</v>
      </c>
      <c r="D600" t="s">
        <v>4363</v>
      </c>
      <c r="E600">
        <v>29</v>
      </c>
      <c r="F600" t="s">
        <v>5652</v>
      </c>
      <c r="G600">
        <v>9645032006</v>
      </c>
      <c r="H600" t="s">
        <v>4381</v>
      </c>
      <c r="I600" t="s">
        <v>4382</v>
      </c>
      <c r="J600" t="s">
        <v>4389</v>
      </c>
      <c r="K600">
        <v>6.5</v>
      </c>
      <c r="L600">
        <v>14.2</v>
      </c>
      <c r="M600">
        <v>15.9</v>
      </c>
      <c r="N600" t="s">
        <v>4390</v>
      </c>
      <c r="O600" t="s">
        <v>4369</v>
      </c>
      <c r="P600" s="1">
        <v>45850</v>
      </c>
      <c r="Q600" t="str">
        <f t="shared" si="36"/>
        <v>10+ Years</v>
      </c>
      <c r="R600" t="str">
        <f>IF(Table7[[#This Row],[Age]]&lt;=25,"20-25",IF(Table7[[#This Row],[Age]]&lt;=30,"26-30",IF(Table7[[#This Row],[Age]]&lt;=35,"31-35","36+")))</f>
        <v>26-30</v>
      </c>
      <c r="S600" t="str">
        <f t="shared" si="37"/>
        <v>July</v>
      </c>
      <c r="T600" s="2" t="str">
        <f t="shared" si="38"/>
        <v>Q3</v>
      </c>
      <c r="U600" s="2">
        <f t="shared" si="39"/>
        <v>2025</v>
      </c>
    </row>
    <row r="601" spans="1:21" x14ac:dyDescent="0.3">
      <c r="A601" t="s">
        <v>1038</v>
      </c>
      <c r="B601" t="s">
        <v>4566</v>
      </c>
      <c r="C601" t="s">
        <v>4814</v>
      </c>
      <c r="D601" t="s">
        <v>4372</v>
      </c>
      <c r="E601">
        <v>27</v>
      </c>
      <c r="F601" t="s">
        <v>5653</v>
      </c>
      <c r="G601">
        <v>9750845548</v>
      </c>
      <c r="H601" t="s">
        <v>4506</v>
      </c>
      <c r="I601" t="s">
        <v>4507</v>
      </c>
      <c r="J601" t="s">
        <v>4415</v>
      </c>
      <c r="K601">
        <v>2.2000000000000002</v>
      </c>
      <c r="L601">
        <v>8.8000000000000007</v>
      </c>
      <c r="M601">
        <v>12.4</v>
      </c>
      <c r="N601" t="s">
        <v>4377</v>
      </c>
      <c r="O601" t="s">
        <v>4369</v>
      </c>
      <c r="P601" s="1">
        <v>45887</v>
      </c>
      <c r="Q601" t="str">
        <f t="shared" si="36"/>
        <v>10+ Years</v>
      </c>
      <c r="R601" t="str">
        <f>IF(Table7[[#This Row],[Age]]&lt;=25,"20-25",IF(Table7[[#This Row],[Age]]&lt;=30,"26-30",IF(Table7[[#This Row],[Age]]&lt;=35,"31-35","36+")))</f>
        <v>26-30</v>
      </c>
      <c r="S601" t="str">
        <f t="shared" si="37"/>
        <v>August</v>
      </c>
      <c r="T601" s="2" t="str">
        <f t="shared" si="38"/>
        <v>Q3</v>
      </c>
      <c r="U601" s="2">
        <f t="shared" si="39"/>
        <v>2025</v>
      </c>
    </row>
    <row r="602" spans="1:21" x14ac:dyDescent="0.3">
      <c r="A602" t="s">
        <v>2696</v>
      </c>
      <c r="B602" t="s">
        <v>4648</v>
      </c>
      <c r="C602" t="s">
        <v>5159</v>
      </c>
      <c r="D602" t="s">
        <v>4363</v>
      </c>
      <c r="E602">
        <v>31</v>
      </c>
      <c r="F602" t="s">
        <v>5654</v>
      </c>
      <c r="G602">
        <v>9138317398</v>
      </c>
      <c r="H602" t="s">
        <v>4491</v>
      </c>
      <c r="I602" t="s">
        <v>4491</v>
      </c>
      <c r="J602" t="s">
        <v>4446</v>
      </c>
      <c r="K602">
        <v>0</v>
      </c>
      <c r="L602">
        <v>6.6</v>
      </c>
      <c r="M602">
        <v>8</v>
      </c>
      <c r="N602" t="s">
        <v>4406</v>
      </c>
      <c r="O602" t="s">
        <v>4369</v>
      </c>
      <c r="P602" s="1">
        <v>45847</v>
      </c>
      <c r="Q602" t="str">
        <f t="shared" si="36"/>
        <v>10+ Years</v>
      </c>
      <c r="R602" t="str">
        <f>IF(Table7[[#This Row],[Age]]&lt;=25,"20-25",IF(Table7[[#This Row],[Age]]&lt;=30,"26-30",IF(Table7[[#This Row],[Age]]&lt;=35,"31-35","36+")))</f>
        <v>31-35</v>
      </c>
      <c r="S602" t="str">
        <f t="shared" si="37"/>
        <v>July</v>
      </c>
      <c r="T602" s="2" t="str">
        <f t="shared" si="38"/>
        <v>Q3</v>
      </c>
      <c r="U602" s="2">
        <f t="shared" si="39"/>
        <v>2025</v>
      </c>
    </row>
    <row r="603" spans="1:21" x14ac:dyDescent="0.3">
      <c r="A603" t="s">
        <v>1706</v>
      </c>
      <c r="B603" t="s">
        <v>4495</v>
      </c>
      <c r="C603" t="s">
        <v>5655</v>
      </c>
      <c r="D603" t="s">
        <v>4372</v>
      </c>
      <c r="E603">
        <v>36</v>
      </c>
      <c r="F603" t="s">
        <v>5656</v>
      </c>
      <c r="G603">
        <v>9637751549</v>
      </c>
      <c r="H603" t="s">
        <v>4374</v>
      </c>
      <c r="I603" t="s">
        <v>4375</v>
      </c>
      <c r="J603" t="s">
        <v>4415</v>
      </c>
      <c r="K603">
        <v>0.3</v>
      </c>
      <c r="L603">
        <v>2.5</v>
      </c>
      <c r="M603">
        <v>3.3</v>
      </c>
      <c r="N603" t="s">
        <v>4377</v>
      </c>
      <c r="O603" t="s">
        <v>4400</v>
      </c>
      <c r="P603" s="1">
        <v>45891</v>
      </c>
      <c r="Q603" t="str">
        <f t="shared" si="36"/>
        <v>10+ Years</v>
      </c>
      <c r="R603" t="str">
        <f>IF(Table7[[#This Row],[Age]]&lt;=25,"20-25",IF(Table7[[#This Row],[Age]]&lt;=30,"26-30",IF(Table7[[#This Row],[Age]]&lt;=35,"31-35","36+")))</f>
        <v>36+</v>
      </c>
      <c r="S603" t="str">
        <f t="shared" si="37"/>
        <v>August</v>
      </c>
      <c r="T603" s="2" t="str">
        <f t="shared" si="38"/>
        <v>Q3</v>
      </c>
      <c r="U603" s="2">
        <f t="shared" si="39"/>
        <v>2025</v>
      </c>
    </row>
    <row r="604" spans="1:21" x14ac:dyDescent="0.3">
      <c r="A604" t="s">
        <v>1513</v>
      </c>
      <c r="B604" t="s">
        <v>5657</v>
      </c>
      <c r="C604" t="s">
        <v>5658</v>
      </c>
      <c r="D604" t="s">
        <v>4363</v>
      </c>
      <c r="E604">
        <v>28</v>
      </c>
      <c r="F604" t="s">
        <v>5659</v>
      </c>
      <c r="G604">
        <v>9530845790</v>
      </c>
      <c r="H604" t="s">
        <v>4395</v>
      </c>
      <c r="I604" t="s">
        <v>4396</v>
      </c>
      <c r="J604" t="s">
        <v>4618</v>
      </c>
      <c r="K604">
        <v>0.2</v>
      </c>
      <c r="L604">
        <v>2.9</v>
      </c>
      <c r="M604">
        <v>3.7</v>
      </c>
      <c r="N604" t="s">
        <v>4406</v>
      </c>
      <c r="O604" t="s">
        <v>4400</v>
      </c>
      <c r="P604" s="1">
        <v>45732</v>
      </c>
      <c r="Q604" t="str">
        <f t="shared" si="36"/>
        <v>10+ Years</v>
      </c>
      <c r="R604" t="str">
        <f>IF(Table7[[#This Row],[Age]]&lt;=25,"20-25",IF(Table7[[#This Row],[Age]]&lt;=30,"26-30",IF(Table7[[#This Row],[Age]]&lt;=35,"31-35","36+")))</f>
        <v>26-30</v>
      </c>
      <c r="S604" t="str">
        <f t="shared" si="37"/>
        <v>March</v>
      </c>
      <c r="T604" s="2" t="str">
        <f t="shared" si="38"/>
        <v>Q1</v>
      </c>
      <c r="U604" s="2">
        <f t="shared" si="39"/>
        <v>2025</v>
      </c>
    </row>
    <row r="605" spans="1:21" x14ac:dyDescent="0.3">
      <c r="A605" t="s">
        <v>2098</v>
      </c>
      <c r="B605" t="s">
        <v>5660</v>
      </c>
      <c r="C605" t="s">
        <v>5635</v>
      </c>
      <c r="D605" t="s">
        <v>4363</v>
      </c>
      <c r="E605">
        <v>26</v>
      </c>
      <c r="F605" t="s">
        <v>5661</v>
      </c>
      <c r="G605">
        <v>9157474303</v>
      </c>
      <c r="H605" t="s">
        <v>4521</v>
      </c>
      <c r="I605" t="s">
        <v>4522</v>
      </c>
      <c r="K605">
        <v>0.7</v>
      </c>
      <c r="L605">
        <v>11.8</v>
      </c>
      <c r="M605">
        <v>15.3</v>
      </c>
      <c r="N605" t="s">
        <v>4390</v>
      </c>
      <c r="O605" t="s">
        <v>4369</v>
      </c>
      <c r="P605" s="1">
        <v>45984</v>
      </c>
      <c r="Q605" t="str">
        <f t="shared" si="36"/>
        <v>10+ Years</v>
      </c>
      <c r="R605" t="str">
        <f>IF(Table7[[#This Row],[Age]]&lt;=25,"20-25",IF(Table7[[#This Row],[Age]]&lt;=30,"26-30",IF(Table7[[#This Row],[Age]]&lt;=35,"31-35","36+")))</f>
        <v>26-30</v>
      </c>
      <c r="S605" t="str">
        <f t="shared" si="37"/>
        <v>November</v>
      </c>
      <c r="T605" s="2" t="str">
        <f t="shared" si="38"/>
        <v>Q4</v>
      </c>
      <c r="U605" s="2">
        <f t="shared" si="39"/>
        <v>2025</v>
      </c>
    </row>
    <row r="606" spans="1:21" x14ac:dyDescent="0.3">
      <c r="A606" t="s">
        <v>2506</v>
      </c>
      <c r="B606" t="s">
        <v>5662</v>
      </c>
      <c r="C606" t="s">
        <v>5663</v>
      </c>
      <c r="D606" t="s">
        <v>4363</v>
      </c>
      <c r="E606">
        <v>29</v>
      </c>
      <c r="F606" t="s">
        <v>5664</v>
      </c>
      <c r="G606">
        <v>9378864827</v>
      </c>
      <c r="H606" t="s">
        <v>4506</v>
      </c>
      <c r="I606" t="s">
        <v>4507</v>
      </c>
      <c r="J606" t="s">
        <v>4415</v>
      </c>
      <c r="K606">
        <v>17.600000000000001</v>
      </c>
      <c r="L606">
        <v>23.9</v>
      </c>
      <c r="M606">
        <v>30.3</v>
      </c>
      <c r="N606" t="s">
        <v>4406</v>
      </c>
      <c r="O606" t="s">
        <v>4369</v>
      </c>
      <c r="P606" s="1">
        <v>45675</v>
      </c>
      <c r="Q606" t="str">
        <f t="shared" si="36"/>
        <v>10+ Years</v>
      </c>
      <c r="R606" t="str">
        <f>IF(Table7[[#This Row],[Age]]&lt;=25,"20-25",IF(Table7[[#This Row],[Age]]&lt;=30,"26-30",IF(Table7[[#This Row],[Age]]&lt;=35,"31-35","36+")))</f>
        <v>26-30</v>
      </c>
      <c r="S606" t="str">
        <f t="shared" si="37"/>
        <v>January</v>
      </c>
      <c r="T606" s="2" t="str">
        <f t="shared" si="38"/>
        <v>Q1</v>
      </c>
      <c r="U606" s="2">
        <f t="shared" si="39"/>
        <v>2025</v>
      </c>
    </row>
    <row r="607" spans="1:21" x14ac:dyDescent="0.3">
      <c r="A607" t="s">
        <v>67</v>
      </c>
      <c r="B607" t="s">
        <v>5665</v>
      </c>
      <c r="C607" t="s">
        <v>5182</v>
      </c>
      <c r="D607" t="s">
        <v>4372</v>
      </c>
      <c r="E607">
        <v>31</v>
      </c>
      <c r="F607" t="s">
        <v>5666</v>
      </c>
      <c r="G607">
        <v>9603615980</v>
      </c>
      <c r="H607" t="s">
        <v>4387</v>
      </c>
      <c r="I607" t="s">
        <v>4388</v>
      </c>
      <c r="J607" t="s">
        <v>4389</v>
      </c>
      <c r="K607">
        <v>3.3</v>
      </c>
      <c r="L607">
        <v>8.1</v>
      </c>
      <c r="M607">
        <v>11</v>
      </c>
      <c r="O607" t="s">
        <v>4485</v>
      </c>
      <c r="P607" s="1">
        <v>45752</v>
      </c>
      <c r="Q607" t="str">
        <f t="shared" si="36"/>
        <v>10+ Years</v>
      </c>
      <c r="R607" t="str">
        <f>IF(Table7[[#This Row],[Age]]&lt;=25,"20-25",IF(Table7[[#This Row],[Age]]&lt;=30,"26-30",IF(Table7[[#This Row],[Age]]&lt;=35,"31-35","36+")))</f>
        <v>31-35</v>
      </c>
      <c r="S607" t="str">
        <f t="shared" si="37"/>
        <v>April</v>
      </c>
      <c r="T607" s="2" t="str">
        <f t="shared" si="38"/>
        <v>Q2</v>
      </c>
      <c r="U607" s="2">
        <f t="shared" si="39"/>
        <v>2025</v>
      </c>
    </row>
    <row r="608" spans="1:21" x14ac:dyDescent="0.3">
      <c r="A608" t="s">
        <v>2401</v>
      </c>
      <c r="B608" t="s">
        <v>4731</v>
      </c>
      <c r="C608" t="s">
        <v>5667</v>
      </c>
      <c r="D608" t="s">
        <v>4363</v>
      </c>
      <c r="E608">
        <v>23</v>
      </c>
      <c r="F608" t="s">
        <v>5668</v>
      </c>
      <c r="G608">
        <v>9974770921</v>
      </c>
      <c r="H608" t="s">
        <v>4473</v>
      </c>
      <c r="I608" t="s">
        <v>4473</v>
      </c>
      <c r="J608" t="s">
        <v>4367</v>
      </c>
      <c r="K608">
        <v>3.6</v>
      </c>
      <c r="L608">
        <v>8.8000000000000007</v>
      </c>
      <c r="M608">
        <v>10.4</v>
      </c>
      <c r="N608" t="s">
        <v>4390</v>
      </c>
      <c r="O608" t="s">
        <v>4391</v>
      </c>
      <c r="P608" s="1">
        <v>45741</v>
      </c>
      <c r="Q608" t="str">
        <f t="shared" si="36"/>
        <v>10+ Years</v>
      </c>
      <c r="R608" t="str">
        <f>IF(Table7[[#This Row],[Age]]&lt;=25,"20-25",IF(Table7[[#This Row],[Age]]&lt;=30,"26-30",IF(Table7[[#This Row],[Age]]&lt;=35,"31-35","36+")))</f>
        <v>20-25</v>
      </c>
      <c r="S608" t="str">
        <f t="shared" si="37"/>
        <v>March</v>
      </c>
      <c r="T608" s="2" t="str">
        <f t="shared" si="38"/>
        <v>Q1</v>
      </c>
      <c r="U608" s="2">
        <f t="shared" si="39"/>
        <v>2025</v>
      </c>
    </row>
    <row r="609" spans="1:21" x14ac:dyDescent="0.3">
      <c r="A609" t="s">
        <v>1518</v>
      </c>
      <c r="B609" t="s">
        <v>5669</v>
      </c>
      <c r="C609" t="s">
        <v>5270</v>
      </c>
      <c r="D609" t="s">
        <v>4363</v>
      </c>
      <c r="E609">
        <v>34</v>
      </c>
      <c r="F609" t="s">
        <v>5670</v>
      </c>
      <c r="G609">
        <v>9608838021</v>
      </c>
      <c r="H609" t="s">
        <v>4506</v>
      </c>
      <c r="I609" t="s">
        <v>4507</v>
      </c>
      <c r="J609" t="s">
        <v>4389</v>
      </c>
      <c r="K609">
        <v>0.9</v>
      </c>
      <c r="L609">
        <v>7.5</v>
      </c>
      <c r="M609">
        <v>9</v>
      </c>
      <c r="N609" t="s">
        <v>4377</v>
      </c>
      <c r="O609" t="s">
        <v>4369</v>
      </c>
      <c r="P609" s="1">
        <v>45971</v>
      </c>
      <c r="Q609" t="str">
        <f t="shared" si="36"/>
        <v>10+ Years</v>
      </c>
      <c r="R609" t="str">
        <f>IF(Table7[[#This Row],[Age]]&lt;=25,"20-25",IF(Table7[[#This Row],[Age]]&lt;=30,"26-30",IF(Table7[[#This Row],[Age]]&lt;=35,"31-35","36+")))</f>
        <v>31-35</v>
      </c>
      <c r="S609" t="str">
        <f t="shared" si="37"/>
        <v>November</v>
      </c>
      <c r="T609" s="2" t="str">
        <f t="shared" si="38"/>
        <v>Q4</v>
      </c>
      <c r="U609" s="2">
        <f t="shared" si="39"/>
        <v>2025</v>
      </c>
    </row>
    <row r="610" spans="1:21" x14ac:dyDescent="0.3">
      <c r="A610" t="s">
        <v>2875</v>
      </c>
      <c r="B610" t="s">
        <v>5609</v>
      </c>
      <c r="C610" t="s">
        <v>4606</v>
      </c>
      <c r="D610" t="s">
        <v>4372</v>
      </c>
      <c r="E610">
        <v>23</v>
      </c>
      <c r="F610" t="s">
        <v>5671</v>
      </c>
      <c r="G610">
        <v>9167734721</v>
      </c>
      <c r="H610" t="s">
        <v>4395</v>
      </c>
      <c r="I610" t="s">
        <v>4396</v>
      </c>
      <c r="J610" t="s">
        <v>4482</v>
      </c>
      <c r="K610">
        <v>11.9</v>
      </c>
      <c r="L610">
        <v>18.2</v>
      </c>
      <c r="M610">
        <v>24.1</v>
      </c>
      <c r="N610" t="s">
        <v>4494</v>
      </c>
      <c r="O610" t="s">
        <v>4369</v>
      </c>
      <c r="P610" s="1">
        <v>45871</v>
      </c>
      <c r="Q610" t="str">
        <f t="shared" si="36"/>
        <v>10+ Years</v>
      </c>
      <c r="R610" t="str">
        <f>IF(Table7[[#This Row],[Age]]&lt;=25,"20-25",IF(Table7[[#This Row],[Age]]&lt;=30,"26-30",IF(Table7[[#This Row],[Age]]&lt;=35,"31-35","36+")))</f>
        <v>20-25</v>
      </c>
      <c r="S610" t="str">
        <f t="shared" si="37"/>
        <v>August</v>
      </c>
      <c r="T610" s="2" t="str">
        <f t="shared" si="38"/>
        <v>Q3</v>
      </c>
      <c r="U610" s="2">
        <f t="shared" si="39"/>
        <v>2025</v>
      </c>
    </row>
    <row r="611" spans="1:21" x14ac:dyDescent="0.3">
      <c r="A611" t="s">
        <v>1928</v>
      </c>
      <c r="B611" t="s">
        <v>5672</v>
      </c>
      <c r="C611" t="s">
        <v>5125</v>
      </c>
      <c r="D611" t="s">
        <v>4363</v>
      </c>
      <c r="E611">
        <v>29</v>
      </c>
      <c r="F611" t="s">
        <v>5673</v>
      </c>
      <c r="G611">
        <v>9832287017</v>
      </c>
      <c r="H611" t="s">
        <v>4410</v>
      </c>
      <c r="I611" t="s">
        <v>4411</v>
      </c>
      <c r="J611" t="s">
        <v>4389</v>
      </c>
      <c r="K611">
        <v>1.3</v>
      </c>
      <c r="L611">
        <v>7.9</v>
      </c>
      <c r="M611">
        <v>9.5</v>
      </c>
      <c r="N611" t="s">
        <v>4390</v>
      </c>
      <c r="O611" t="s">
        <v>4400</v>
      </c>
      <c r="P611" s="1">
        <v>45758</v>
      </c>
      <c r="Q611" t="str">
        <f t="shared" si="36"/>
        <v>10+ Years</v>
      </c>
      <c r="R611" t="str">
        <f>IF(Table7[[#This Row],[Age]]&lt;=25,"20-25",IF(Table7[[#This Row],[Age]]&lt;=30,"26-30",IF(Table7[[#This Row],[Age]]&lt;=35,"31-35","36+")))</f>
        <v>26-30</v>
      </c>
      <c r="S611" t="str">
        <f t="shared" si="37"/>
        <v>April</v>
      </c>
      <c r="T611" s="2" t="str">
        <f t="shared" si="38"/>
        <v>Q2</v>
      </c>
      <c r="U611" s="2">
        <f t="shared" si="39"/>
        <v>2025</v>
      </c>
    </row>
    <row r="612" spans="1:21" x14ac:dyDescent="0.3">
      <c r="A612" t="s">
        <v>1455</v>
      </c>
      <c r="B612" t="s">
        <v>4964</v>
      </c>
      <c r="C612" t="s">
        <v>4554</v>
      </c>
      <c r="D612" t="s">
        <v>4363</v>
      </c>
      <c r="E612">
        <v>29</v>
      </c>
      <c r="F612" t="s">
        <v>5674</v>
      </c>
      <c r="G612">
        <v>9659053184</v>
      </c>
      <c r="H612" t="s">
        <v>4395</v>
      </c>
      <c r="I612" t="s">
        <v>4396</v>
      </c>
      <c r="J612" t="s">
        <v>4367</v>
      </c>
      <c r="K612">
        <v>0.6</v>
      </c>
      <c r="L612">
        <v>7.8</v>
      </c>
      <c r="M612">
        <v>9.6</v>
      </c>
      <c r="N612" t="s">
        <v>4377</v>
      </c>
      <c r="O612" t="s">
        <v>4485</v>
      </c>
      <c r="P612" s="1">
        <v>45898</v>
      </c>
      <c r="Q612" t="str">
        <f t="shared" si="36"/>
        <v>10+ Years</v>
      </c>
      <c r="R612" t="str">
        <f>IF(Table7[[#This Row],[Age]]&lt;=25,"20-25",IF(Table7[[#This Row],[Age]]&lt;=30,"26-30",IF(Table7[[#This Row],[Age]]&lt;=35,"31-35","36+")))</f>
        <v>26-30</v>
      </c>
      <c r="S612" t="str">
        <f t="shared" si="37"/>
        <v>August</v>
      </c>
      <c r="T612" s="2" t="str">
        <f t="shared" si="38"/>
        <v>Q3</v>
      </c>
      <c r="U612" s="2">
        <f t="shared" si="39"/>
        <v>2025</v>
      </c>
    </row>
    <row r="613" spans="1:21" x14ac:dyDescent="0.3">
      <c r="A613" t="s">
        <v>491</v>
      </c>
      <c r="B613" t="s">
        <v>4731</v>
      </c>
      <c r="C613" t="s">
        <v>5663</v>
      </c>
      <c r="D613" t="s">
        <v>4372</v>
      </c>
      <c r="E613">
        <v>31</v>
      </c>
      <c r="F613" t="s">
        <v>5675</v>
      </c>
      <c r="G613">
        <v>9704752332</v>
      </c>
      <c r="H613" t="s">
        <v>4476</v>
      </c>
      <c r="I613" t="s">
        <v>4477</v>
      </c>
      <c r="J613" t="s">
        <v>4367</v>
      </c>
      <c r="K613">
        <v>2</v>
      </c>
      <c r="L613">
        <v>8.5</v>
      </c>
      <c r="M613">
        <v>10.9</v>
      </c>
      <c r="N613" t="s">
        <v>4494</v>
      </c>
      <c r="O613" t="s">
        <v>4391</v>
      </c>
      <c r="P613" s="1">
        <v>45833</v>
      </c>
      <c r="Q613" t="str">
        <f t="shared" si="36"/>
        <v>10+ Years</v>
      </c>
      <c r="R613" t="str">
        <f>IF(Table7[[#This Row],[Age]]&lt;=25,"20-25",IF(Table7[[#This Row],[Age]]&lt;=30,"26-30",IF(Table7[[#This Row],[Age]]&lt;=35,"31-35","36+")))</f>
        <v>31-35</v>
      </c>
      <c r="S613" t="str">
        <f t="shared" si="37"/>
        <v>June</v>
      </c>
      <c r="T613" s="2" t="str">
        <f t="shared" si="38"/>
        <v>Q2</v>
      </c>
      <c r="U613" s="2">
        <f t="shared" si="39"/>
        <v>2025</v>
      </c>
    </row>
    <row r="614" spans="1:21" x14ac:dyDescent="0.3">
      <c r="A614" t="s">
        <v>2899</v>
      </c>
      <c r="B614" t="s">
        <v>4687</v>
      </c>
      <c r="C614" t="s">
        <v>4336</v>
      </c>
      <c r="D614" t="s">
        <v>4363</v>
      </c>
      <c r="E614">
        <v>33</v>
      </c>
      <c r="F614" t="s">
        <v>5676</v>
      </c>
      <c r="G614">
        <v>9507705106</v>
      </c>
      <c r="H614" t="s">
        <v>4445</v>
      </c>
      <c r="I614" t="s">
        <v>4396</v>
      </c>
      <c r="J614" t="s">
        <v>4608</v>
      </c>
      <c r="K614">
        <v>1.5</v>
      </c>
      <c r="L614">
        <v>3.2</v>
      </c>
      <c r="M614">
        <v>3.7</v>
      </c>
      <c r="N614" t="s">
        <v>4390</v>
      </c>
      <c r="O614" t="s">
        <v>4419</v>
      </c>
      <c r="P614" s="1">
        <v>45855</v>
      </c>
      <c r="Q614" t="str">
        <f t="shared" si="36"/>
        <v>10+ Years</v>
      </c>
      <c r="R614" t="str">
        <f>IF(Table7[[#This Row],[Age]]&lt;=25,"20-25",IF(Table7[[#This Row],[Age]]&lt;=30,"26-30",IF(Table7[[#This Row],[Age]]&lt;=35,"31-35","36+")))</f>
        <v>31-35</v>
      </c>
      <c r="S614" t="str">
        <f t="shared" si="37"/>
        <v>July</v>
      </c>
      <c r="T614" s="2" t="str">
        <f t="shared" si="38"/>
        <v>Q3</v>
      </c>
      <c r="U614" s="2">
        <f t="shared" si="39"/>
        <v>2025</v>
      </c>
    </row>
    <row r="615" spans="1:21" x14ac:dyDescent="0.3">
      <c r="A615" t="s">
        <v>3589</v>
      </c>
      <c r="B615" t="s">
        <v>5034</v>
      </c>
      <c r="C615" t="s">
        <v>5677</v>
      </c>
      <c r="D615" t="s">
        <v>4363</v>
      </c>
      <c r="E615">
        <v>26</v>
      </c>
      <c r="F615" t="s">
        <v>5678</v>
      </c>
      <c r="G615">
        <v>9436999394</v>
      </c>
      <c r="H615" t="s">
        <v>4473</v>
      </c>
      <c r="I615" t="s">
        <v>4473</v>
      </c>
      <c r="J615" t="s">
        <v>4367</v>
      </c>
      <c r="K615">
        <v>1.9</v>
      </c>
      <c r="L615">
        <v>4.3</v>
      </c>
      <c r="M615">
        <v>5.0999999999999996</v>
      </c>
      <c r="N615" t="s">
        <v>4406</v>
      </c>
      <c r="O615" t="s">
        <v>4391</v>
      </c>
      <c r="P615" s="1">
        <v>45980</v>
      </c>
      <c r="Q615" t="str">
        <f t="shared" si="36"/>
        <v>10+ Years</v>
      </c>
      <c r="R615" t="str">
        <f>IF(Table7[[#This Row],[Age]]&lt;=25,"20-25",IF(Table7[[#This Row],[Age]]&lt;=30,"26-30",IF(Table7[[#This Row],[Age]]&lt;=35,"31-35","36+")))</f>
        <v>26-30</v>
      </c>
      <c r="S615" t="str">
        <f t="shared" si="37"/>
        <v>November</v>
      </c>
      <c r="T615" s="2" t="str">
        <f t="shared" si="38"/>
        <v>Q4</v>
      </c>
      <c r="U615" s="2">
        <f t="shared" si="39"/>
        <v>2025</v>
      </c>
    </row>
    <row r="616" spans="1:21" x14ac:dyDescent="0.3">
      <c r="A616" t="s">
        <v>583</v>
      </c>
      <c r="B616" t="s">
        <v>4766</v>
      </c>
      <c r="C616" t="s">
        <v>5679</v>
      </c>
      <c r="D616" t="s">
        <v>4372</v>
      </c>
      <c r="E616">
        <v>37</v>
      </c>
      <c r="F616" t="s">
        <v>5680</v>
      </c>
      <c r="G616">
        <v>9846801431</v>
      </c>
      <c r="H616" t="s">
        <v>4476</v>
      </c>
      <c r="I616" t="s">
        <v>4477</v>
      </c>
      <c r="J616" t="s">
        <v>4415</v>
      </c>
      <c r="K616">
        <v>0.5</v>
      </c>
      <c r="L616">
        <v>7.2</v>
      </c>
      <c r="M616">
        <v>10.3</v>
      </c>
      <c r="N616" t="s">
        <v>4368</v>
      </c>
      <c r="O616" t="s">
        <v>4419</v>
      </c>
      <c r="P616" s="1">
        <v>45998</v>
      </c>
      <c r="Q616" t="str">
        <f t="shared" si="36"/>
        <v>10+ Years</v>
      </c>
      <c r="R616" t="str">
        <f>IF(Table7[[#This Row],[Age]]&lt;=25,"20-25",IF(Table7[[#This Row],[Age]]&lt;=30,"26-30",IF(Table7[[#This Row],[Age]]&lt;=35,"31-35","36+")))</f>
        <v>36+</v>
      </c>
      <c r="S616" t="str">
        <f t="shared" si="37"/>
        <v>December</v>
      </c>
      <c r="T616" s="2" t="str">
        <f t="shared" si="38"/>
        <v>Q4</v>
      </c>
      <c r="U616" s="2">
        <f t="shared" si="39"/>
        <v>2025</v>
      </c>
    </row>
    <row r="617" spans="1:21" x14ac:dyDescent="0.3">
      <c r="A617" t="s">
        <v>2579</v>
      </c>
      <c r="B617" t="s">
        <v>5681</v>
      </c>
      <c r="C617" t="s">
        <v>4974</v>
      </c>
      <c r="D617" t="s">
        <v>4363</v>
      </c>
      <c r="E617">
        <v>31</v>
      </c>
      <c r="F617" t="s">
        <v>5682</v>
      </c>
      <c r="G617">
        <v>9302225785</v>
      </c>
      <c r="H617" t="s">
        <v>4521</v>
      </c>
      <c r="I617" t="s">
        <v>4522</v>
      </c>
      <c r="J617" t="s">
        <v>4367</v>
      </c>
      <c r="K617">
        <v>0.7</v>
      </c>
      <c r="L617">
        <v>7.7</v>
      </c>
      <c r="M617">
        <v>9.4</v>
      </c>
      <c r="N617" t="s">
        <v>4390</v>
      </c>
      <c r="O617" t="s">
        <v>4456</v>
      </c>
      <c r="P617" s="1">
        <v>45958</v>
      </c>
      <c r="Q617" t="str">
        <f t="shared" si="36"/>
        <v>10+ Years</v>
      </c>
      <c r="R617" t="str">
        <f>IF(Table7[[#This Row],[Age]]&lt;=25,"20-25",IF(Table7[[#This Row],[Age]]&lt;=30,"26-30",IF(Table7[[#This Row],[Age]]&lt;=35,"31-35","36+")))</f>
        <v>31-35</v>
      </c>
      <c r="S617" t="str">
        <f t="shared" si="37"/>
        <v>October</v>
      </c>
      <c r="T617" s="2" t="str">
        <f t="shared" si="38"/>
        <v>Q4</v>
      </c>
      <c r="U617" s="2">
        <f t="shared" si="39"/>
        <v>2025</v>
      </c>
    </row>
    <row r="618" spans="1:21" x14ac:dyDescent="0.3">
      <c r="A618" t="s">
        <v>2303</v>
      </c>
      <c r="B618" t="s">
        <v>5204</v>
      </c>
      <c r="C618" t="s">
        <v>5062</v>
      </c>
      <c r="D618" t="s">
        <v>4372</v>
      </c>
      <c r="E618">
        <v>21</v>
      </c>
      <c r="F618" t="s">
        <v>5683</v>
      </c>
      <c r="G618">
        <v>9325094945</v>
      </c>
      <c r="H618" t="s">
        <v>4374</v>
      </c>
      <c r="I618" t="s">
        <v>4375</v>
      </c>
      <c r="J618" t="s">
        <v>4367</v>
      </c>
      <c r="K618">
        <v>9.5</v>
      </c>
      <c r="L618">
        <v>13.4</v>
      </c>
      <c r="M618">
        <v>17.3</v>
      </c>
      <c r="N618" t="s">
        <v>4390</v>
      </c>
      <c r="O618" t="s">
        <v>4400</v>
      </c>
      <c r="P618" s="1">
        <v>45779</v>
      </c>
      <c r="Q618" t="str">
        <f t="shared" si="36"/>
        <v>10+ Years</v>
      </c>
      <c r="R618" t="str">
        <f>IF(Table7[[#This Row],[Age]]&lt;=25,"20-25",IF(Table7[[#This Row],[Age]]&lt;=30,"26-30",IF(Table7[[#This Row],[Age]]&lt;=35,"31-35","36+")))</f>
        <v>20-25</v>
      </c>
      <c r="S618" t="str">
        <f t="shared" si="37"/>
        <v>May</v>
      </c>
      <c r="T618" s="2" t="str">
        <f t="shared" si="38"/>
        <v>Q2</v>
      </c>
      <c r="U618" s="2">
        <f t="shared" si="39"/>
        <v>2025</v>
      </c>
    </row>
    <row r="619" spans="1:21" x14ac:dyDescent="0.3">
      <c r="A619" t="s">
        <v>913</v>
      </c>
      <c r="B619" t="s">
        <v>4959</v>
      </c>
      <c r="C619" t="s">
        <v>5684</v>
      </c>
      <c r="D619" t="s">
        <v>4363</v>
      </c>
      <c r="E619">
        <v>21</v>
      </c>
      <c r="F619" t="s">
        <v>5685</v>
      </c>
      <c r="G619">
        <v>9407838133</v>
      </c>
      <c r="H619" t="s">
        <v>4387</v>
      </c>
      <c r="I619" t="s">
        <v>4388</v>
      </c>
      <c r="J619" t="s">
        <v>4367</v>
      </c>
      <c r="K619">
        <v>0.7</v>
      </c>
      <c r="L619">
        <v>9.5</v>
      </c>
      <c r="M619">
        <v>11.2</v>
      </c>
      <c r="N619" t="s">
        <v>4390</v>
      </c>
      <c r="O619" t="s">
        <v>4456</v>
      </c>
      <c r="P619" s="1">
        <v>45794</v>
      </c>
      <c r="Q619" t="str">
        <f t="shared" si="36"/>
        <v>10+ Years</v>
      </c>
      <c r="R619" t="str">
        <f>IF(Table7[[#This Row],[Age]]&lt;=25,"20-25",IF(Table7[[#This Row],[Age]]&lt;=30,"26-30",IF(Table7[[#This Row],[Age]]&lt;=35,"31-35","36+")))</f>
        <v>20-25</v>
      </c>
      <c r="S619" t="str">
        <f t="shared" si="37"/>
        <v>May</v>
      </c>
      <c r="T619" s="2" t="str">
        <f t="shared" si="38"/>
        <v>Q2</v>
      </c>
      <c r="U619" s="2">
        <f t="shared" si="39"/>
        <v>2025</v>
      </c>
    </row>
    <row r="620" spans="1:21" x14ac:dyDescent="0.3">
      <c r="A620" t="s">
        <v>2679</v>
      </c>
      <c r="B620" t="s">
        <v>5157</v>
      </c>
      <c r="C620" t="s">
        <v>5084</v>
      </c>
      <c r="D620" t="s">
        <v>4372</v>
      </c>
      <c r="E620">
        <v>28</v>
      </c>
      <c r="F620" t="s">
        <v>5686</v>
      </c>
      <c r="G620">
        <v>9194007102</v>
      </c>
      <c r="H620" t="s">
        <v>4454</v>
      </c>
      <c r="I620" t="s">
        <v>4455</v>
      </c>
      <c r="K620">
        <v>11.9</v>
      </c>
      <c r="L620">
        <v>20.5</v>
      </c>
      <c r="M620">
        <v>26.8</v>
      </c>
      <c r="N620" t="s">
        <v>4406</v>
      </c>
      <c r="O620" t="s">
        <v>4391</v>
      </c>
      <c r="P620" s="1">
        <v>46021</v>
      </c>
      <c r="Q620" t="str">
        <f t="shared" si="36"/>
        <v>10+ Years</v>
      </c>
      <c r="R620" t="str">
        <f>IF(Table7[[#This Row],[Age]]&lt;=25,"20-25",IF(Table7[[#This Row],[Age]]&lt;=30,"26-30",IF(Table7[[#This Row],[Age]]&lt;=35,"31-35","36+")))</f>
        <v>26-30</v>
      </c>
      <c r="S620" t="str">
        <f t="shared" si="37"/>
        <v>December</v>
      </c>
      <c r="T620" s="2" t="str">
        <f t="shared" si="38"/>
        <v>Q4</v>
      </c>
      <c r="U620" s="2">
        <f t="shared" si="39"/>
        <v>2025</v>
      </c>
    </row>
    <row r="621" spans="1:21" x14ac:dyDescent="0.3">
      <c r="A621" t="s">
        <v>3842</v>
      </c>
      <c r="B621" t="s">
        <v>5687</v>
      </c>
      <c r="C621" t="s">
        <v>5688</v>
      </c>
      <c r="D621" t="s">
        <v>4363</v>
      </c>
      <c r="E621">
        <v>27</v>
      </c>
      <c r="F621" t="s">
        <v>5689</v>
      </c>
      <c r="G621">
        <v>9114032347</v>
      </c>
      <c r="H621" t="s">
        <v>4521</v>
      </c>
      <c r="I621" t="s">
        <v>4522</v>
      </c>
      <c r="J621" t="s">
        <v>4367</v>
      </c>
      <c r="K621">
        <v>5.6</v>
      </c>
      <c r="L621">
        <v>12.2</v>
      </c>
      <c r="M621">
        <v>14.4</v>
      </c>
      <c r="O621" t="s">
        <v>4369</v>
      </c>
      <c r="P621" s="1">
        <v>45720</v>
      </c>
      <c r="Q621" t="str">
        <f t="shared" si="36"/>
        <v>10+ Years</v>
      </c>
      <c r="R621" t="str">
        <f>IF(Table7[[#This Row],[Age]]&lt;=25,"20-25",IF(Table7[[#This Row],[Age]]&lt;=30,"26-30",IF(Table7[[#This Row],[Age]]&lt;=35,"31-35","36+")))</f>
        <v>26-30</v>
      </c>
      <c r="S621" t="str">
        <f t="shared" si="37"/>
        <v>March</v>
      </c>
      <c r="T621" s="2" t="str">
        <f t="shared" si="38"/>
        <v>Q1</v>
      </c>
      <c r="U621" s="2">
        <f t="shared" si="39"/>
        <v>2025</v>
      </c>
    </row>
    <row r="622" spans="1:21" x14ac:dyDescent="0.3">
      <c r="A622" t="s">
        <v>2102</v>
      </c>
      <c r="B622" t="s">
        <v>4523</v>
      </c>
      <c r="C622" t="s">
        <v>5195</v>
      </c>
      <c r="D622" t="s">
        <v>4372</v>
      </c>
      <c r="E622">
        <v>27</v>
      </c>
      <c r="F622" t="s">
        <v>5690</v>
      </c>
      <c r="G622">
        <v>9653580424</v>
      </c>
      <c r="H622" t="s">
        <v>4476</v>
      </c>
      <c r="I622" t="s">
        <v>4477</v>
      </c>
      <c r="J622" t="s">
        <v>4389</v>
      </c>
      <c r="K622">
        <v>1.2</v>
      </c>
      <c r="L622">
        <v>6</v>
      </c>
      <c r="M622">
        <v>7.5</v>
      </c>
      <c r="N622" t="s">
        <v>4494</v>
      </c>
      <c r="O622" t="s">
        <v>4369</v>
      </c>
      <c r="P622" s="1">
        <v>45963</v>
      </c>
      <c r="Q622" t="str">
        <f t="shared" si="36"/>
        <v>10+ Years</v>
      </c>
      <c r="R622" t="str">
        <f>IF(Table7[[#This Row],[Age]]&lt;=25,"20-25",IF(Table7[[#This Row],[Age]]&lt;=30,"26-30",IF(Table7[[#This Row],[Age]]&lt;=35,"31-35","36+")))</f>
        <v>26-30</v>
      </c>
      <c r="S622" t="str">
        <f t="shared" si="37"/>
        <v>November</v>
      </c>
      <c r="T622" s="2" t="str">
        <f t="shared" si="38"/>
        <v>Q4</v>
      </c>
      <c r="U622" s="2">
        <f t="shared" si="39"/>
        <v>2025</v>
      </c>
    </row>
    <row r="623" spans="1:21" x14ac:dyDescent="0.3">
      <c r="A623" t="s">
        <v>5691</v>
      </c>
      <c r="B623" t="s">
        <v>4715</v>
      </c>
      <c r="C623" t="s">
        <v>5692</v>
      </c>
      <c r="D623" t="s">
        <v>4363</v>
      </c>
      <c r="E623">
        <v>32</v>
      </c>
      <c r="F623" t="s">
        <v>5693</v>
      </c>
      <c r="G623">
        <v>9218650855</v>
      </c>
      <c r="H623" t="s">
        <v>4506</v>
      </c>
      <c r="I623" t="s">
        <v>4507</v>
      </c>
      <c r="J623" t="s">
        <v>4389</v>
      </c>
      <c r="K623">
        <v>2.2000000000000002</v>
      </c>
      <c r="L623">
        <v>4.3</v>
      </c>
      <c r="M623">
        <v>5.2</v>
      </c>
      <c r="O623" t="s">
        <v>4391</v>
      </c>
      <c r="P623" s="1">
        <v>45996</v>
      </c>
      <c r="Q623" t="str">
        <f t="shared" si="36"/>
        <v>10+ Years</v>
      </c>
      <c r="R623" t="str">
        <f>IF(Table7[[#This Row],[Age]]&lt;=25,"20-25",IF(Table7[[#This Row],[Age]]&lt;=30,"26-30",IF(Table7[[#This Row],[Age]]&lt;=35,"31-35","36+")))</f>
        <v>31-35</v>
      </c>
      <c r="S623" t="str">
        <f t="shared" si="37"/>
        <v>December</v>
      </c>
      <c r="T623" s="2" t="str">
        <f t="shared" si="38"/>
        <v>Q4</v>
      </c>
      <c r="U623" s="2">
        <f t="shared" si="39"/>
        <v>2025</v>
      </c>
    </row>
    <row r="624" spans="1:21" x14ac:dyDescent="0.3">
      <c r="A624" t="s">
        <v>2847</v>
      </c>
      <c r="B624" t="s">
        <v>5694</v>
      </c>
      <c r="C624" t="s">
        <v>5695</v>
      </c>
      <c r="D624" t="s">
        <v>4372</v>
      </c>
      <c r="E624">
        <v>22</v>
      </c>
      <c r="F624" t="s">
        <v>5696</v>
      </c>
      <c r="G624">
        <v>9158463804</v>
      </c>
      <c r="H624" t="s">
        <v>4381</v>
      </c>
      <c r="I624" t="s">
        <v>4382</v>
      </c>
      <c r="J624" t="s">
        <v>4376</v>
      </c>
      <c r="K624">
        <v>2.7</v>
      </c>
      <c r="L624">
        <v>8.3000000000000007</v>
      </c>
      <c r="M624">
        <v>11.1</v>
      </c>
      <c r="N624" t="s">
        <v>4368</v>
      </c>
      <c r="O624" t="s">
        <v>4456</v>
      </c>
      <c r="P624" s="1">
        <v>45940</v>
      </c>
      <c r="Q624" t="str">
        <f t="shared" si="36"/>
        <v>10+ Years</v>
      </c>
      <c r="R624" t="str">
        <f>IF(Table7[[#This Row],[Age]]&lt;=25,"20-25",IF(Table7[[#This Row],[Age]]&lt;=30,"26-30",IF(Table7[[#This Row],[Age]]&lt;=35,"31-35","36+")))</f>
        <v>20-25</v>
      </c>
      <c r="S624" t="str">
        <f t="shared" si="37"/>
        <v>October</v>
      </c>
      <c r="T624" s="2" t="str">
        <f t="shared" si="38"/>
        <v>Q4</v>
      </c>
      <c r="U624" s="2">
        <f t="shared" si="39"/>
        <v>2025</v>
      </c>
    </row>
    <row r="625" spans="1:21" x14ac:dyDescent="0.3">
      <c r="A625" t="s">
        <v>1289</v>
      </c>
      <c r="B625" t="s">
        <v>4854</v>
      </c>
      <c r="C625" t="s">
        <v>5697</v>
      </c>
      <c r="D625" t="s">
        <v>4372</v>
      </c>
      <c r="E625">
        <v>21</v>
      </c>
      <c r="F625" t="s">
        <v>5698</v>
      </c>
      <c r="G625">
        <v>9373878547</v>
      </c>
      <c r="H625" t="s">
        <v>4374</v>
      </c>
      <c r="I625" t="s">
        <v>4375</v>
      </c>
      <c r="J625" t="s">
        <v>4367</v>
      </c>
      <c r="K625">
        <v>3.8</v>
      </c>
      <c r="L625">
        <v>9</v>
      </c>
      <c r="M625">
        <v>10.5</v>
      </c>
      <c r="N625" t="s">
        <v>4406</v>
      </c>
      <c r="O625" t="s">
        <v>4383</v>
      </c>
      <c r="P625" s="1">
        <v>45721</v>
      </c>
      <c r="Q625" t="str">
        <f t="shared" si="36"/>
        <v>10+ Years</v>
      </c>
      <c r="R625" t="str">
        <f>IF(Table7[[#This Row],[Age]]&lt;=25,"20-25",IF(Table7[[#This Row],[Age]]&lt;=30,"26-30",IF(Table7[[#This Row],[Age]]&lt;=35,"31-35","36+")))</f>
        <v>20-25</v>
      </c>
      <c r="S625" t="str">
        <f t="shared" si="37"/>
        <v>March</v>
      </c>
      <c r="T625" s="2" t="str">
        <f t="shared" si="38"/>
        <v>Q1</v>
      </c>
      <c r="U625" s="2">
        <f t="shared" si="39"/>
        <v>2025</v>
      </c>
    </row>
    <row r="626" spans="1:21" x14ac:dyDescent="0.3">
      <c r="A626" t="s">
        <v>273</v>
      </c>
      <c r="B626" t="s">
        <v>4370</v>
      </c>
      <c r="C626" t="s">
        <v>4434</v>
      </c>
      <c r="D626" t="s">
        <v>4372</v>
      </c>
      <c r="E626">
        <v>26</v>
      </c>
      <c r="F626" t="s">
        <v>5699</v>
      </c>
      <c r="G626">
        <v>9708928421</v>
      </c>
      <c r="H626" t="s">
        <v>4521</v>
      </c>
      <c r="I626" t="s">
        <v>4522</v>
      </c>
      <c r="J626" t="s">
        <v>4367</v>
      </c>
      <c r="K626">
        <v>1.4</v>
      </c>
      <c r="L626">
        <v>7.4</v>
      </c>
      <c r="M626">
        <v>9.5</v>
      </c>
      <c r="N626" t="s">
        <v>4390</v>
      </c>
      <c r="O626" t="s">
        <v>4400</v>
      </c>
      <c r="P626" s="1">
        <v>45687</v>
      </c>
      <c r="Q626" t="str">
        <f t="shared" si="36"/>
        <v>10+ Years</v>
      </c>
      <c r="R626" t="str">
        <f>IF(Table7[[#This Row],[Age]]&lt;=25,"20-25",IF(Table7[[#This Row],[Age]]&lt;=30,"26-30",IF(Table7[[#This Row],[Age]]&lt;=35,"31-35","36+")))</f>
        <v>26-30</v>
      </c>
      <c r="S626" t="str">
        <f t="shared" si="37"/>
        <v>January</v>
      </c>
      <c r="T626" s="2" t="str">
        <f t="shared" si="38"/>
        <v>Q1</v>
      </c>
      <c r="U626" s="2">
        <f t="shared" si="39"/>
        <v>2025</v>
      </c>
    </row>
    <row r="627" spans="1:21" x14ac:dyDescent="0.3">
      <c r="A627" t="s">
        <v>802</v>
      </c>
      <c r="B627" t="s">
        <v>5700</v>
      </c>
      <c r="C627" t="s">
        <v>5701</v>
      </c>
      <c r="D627" t="s">
        <v>4372</v>
      </c>
      <c r="E627">
        <v>32</v>
      </c>
      <c r="F627" t="s">
        <v>5702</v>
      </c>
      <c r="G627">
        <v>9354213950</v>
      </c>
      <c r="H627" t="s">
        <v>4387</v>
      </c>
      <c r="I627" t="s">
        <v>4388</v>
      </c>
      <c r="K627">
        <v>3.5</v>
      </c>
      <c r="L627">
        <v>4.0999999999999996</v>
      </c>
      <c r="M627">
        <v>4.9000000000000004</v>
      </c>
      <c r="N627" t="s">
        <v>4377</v>
      </c>
      <c r="O627" t="s">
        <v>4369</v>
      </c>
      <c r="P627" s="1">
        <v>45705</v>
      </c>
      <c r="Q627" t="str">
        <f t="shared" si="36"/>
        <v>10+ Years</v>
      </c>
      <c r="R627" t="str">
        <f>IF(Table7[[#This Row],[Age]]&lt;=25,"20-25",IF(Table7[[#This Row],[Age]]&lt;=30,"26-30",IF(Table7[[#This Row],[Age]]&lt;=35,"31-35","36+")))</f>
        <v>31-35</v>
      </c>
      <c r="S627" t="str">
        <f t="shared" si="37"/>
        <v>February</v>
      </c>
      <c r="T627" s="2" t="str">
        <f t="shared" si="38"/>
        <v>Q1</v>
      </c>
      <c r="U627" s="2">
        <f t="shared" si="39"/>
        <v>2025</v>
      </c>
    </row>
    <row r="628" spans="1:21" x14ac:dyDescent="0.3">
      <c r="A628" t="s">
        <v>840</v>
      </c>
      <c r="B628" t="s">
        <v>4392</v>
      </c>
      <c r="C628" t="s">
        <v>4492</v>
      </c>
      <c r="D628" t="s">
        <v>4363</v>
      </c>
      <c r="E628">
        <v>22</v>
      </c>
      <c r="F628" t="s">
        <v>5703</v>
      </c>
      <c r="G628">
        <v>9516100237</v>
      </c>
      <c r="H628" t="s">
        <v>4381</v>
      </c>
      <c r="I628" t="s">
        <v>4382</v>
      </c>
      <c r="J628" t="s">
        <v>4482</v>
      </c>
      <c r="K628">
        <v>0.6</v>
      </c>
      <c r="L628">
        <v>7.8</v>
      </c>
      <c r="M628">
        <v>10.7</v>
      </c>
      <c r="N628" t="s">
        <v>4368</v>
      </c>
      <c r="O628" t="s">
        <v>4456</v>
      </c>
      <c r="P628" s="1">
        <v>45683</v>
      </c>
      <c r="Q628" t="str">
        <f t="shared" si="36"/>
        <v>10+ Years</v>
      </c>
      <c r="R628" t="str">
        <f>IF(Table7[[#This Row],[Age]]&lt;=25,"20-25",IF(Table7[[#This Row],[Age]]&lt;=30,"26-30",IF(Table7[[#This Row],[Age]]&lt;=35,"31-35","36+")))</f>
        <v>20-25</v>
      </c>
      <c r="S628" t="str">
        <f t="shared" si="37"/>
        <v>January</v>
      </c>
      <c r="T628" s="2" t="str">
        <f t="shared" si="38"/>
        <v>Q1</v>
      </c>
      <c r="U628" s="2">
        <f t="shared" si="39"/>
        <v>2025</v>
      </c>
    </row>
    <row r="629" spans="1:21" x14ac:dyDescent="0.3">
      <c r="A629" t="s">
        <v>120</v>
      </c>
      <c r="B629" t="s">
        <v>5502</v>
      </c>
      <c r="C629" t="s">
        <v>4558</v>
      </c>
      <c r="D629" t="s">
        <v>4372</v>
      </c>
      <c r="E629">
        <v>30</v>
      </c>
      <c r="F629" t="s">
        <v>5704</v>
      </c>
      <c r="G629">
        <v>9356451655</v>
      </c>
      <c r="H629" t="s">
        <v>4387</v>
      </c>
      <c r="I629" t="s">
        <v>4388</v>
      </c>
      <c r="J629" t="s">
        <v>4367</v>
      </c>
      <c r="K629">
        <v>0.3</v>
      </c>
      <c r="L629">
        <v>2.5</v>
      </c>
      <c r="M629">
        <v>3.6</v>
      </c>
      <c r="N629" t="s">
        <v>4368</v>
      </c>
      <c r="O629" t="s">
        <v>4369</v>
      </c>
      <c r="P629" s="1">
        <v>45827</v>
      </c>
      <c r="Q629" t="str">
        <f t="shared" si="36"/>
        <v>10+ Years</v>
      </c>
      <c r="R629" t="str">
        <f>IF(Table7[[#This Row],[Age]]&lt;=25,"20-25",IF(Table7[[#This Row],[Age]]&lt;=30,"26-30",IF(Table7[[#This Row],[Age]]&lt;=35,"31-35","36+")))</f>
        <v>26-30</v>
      </c>
      <c r="S629" t="str">
        <f t="shared" si="37"/>
        <v>June</v>
      </c>
      <c r="T629" s="2" t="str">
        <f t="shared" si="38"/>
        <v>Q2</v>
      </c>
      <c r="U629" s="2">
        <f t="shared" si="39"/>
        <v>2025</v>
      </c>
    </row>
    <row r="630" spans="1:21" x14ac:dyDescent="0.3">
      <c r="A630" t="s">
        <v>2214</v>
      </c>
      <c r="B630" t="s">
        <v>5705</v>
      </c>
      <c r="C630" t="s">
        <v>4940</v>
      </c>
      <c r="D630" t="s">
        <v>4363</v>
      </c>
      <c r="E630">
        <v>26</v>
      </c>
      <c r="F630" t="s">
        <v>5706</v>
      </c>
      <c r="G630">
        <v>9796675739</v>
      </c>
      <c r="H630" t="s">
        <v>4445</v>
      </c>
      <c r="I630" t="s">
        <v>4396</v>
      </c>
      <c r="J630" t="s">
        <v>4415</v>
      </c>
      <c r="K630">
        <v>0.3</v>
      </c>
      <c r="L630">
        <v>11.4</v>
      </c>
      <c r="M630">
        <v>13.9</v>
      </c>
      <c r="N630" t="s">
        <v>4390</v>
      </c>
      <c r="O630" t="s">
        <v>4485</v>
      </c>
      <c r="P630" s="1">
        <v>45783</v>
      </c>
      <c r="Q630" t="str">
        <f t="shared" si="36"/>
        <v>10+ Years</v>
      </c>
      <c r="R630" t="str">
        <f>IF(Table7[[#This Row],[Age]]&lt;=25,"20-25",IF(Table7[[#This Row],[Age]]&lt;=30,"26-30",IF(Table7[[#This Row],[Age]]&lt;=35,"31-35","36+")))</f>
        <v>26-30</v>
      </c>
      <c r="S630" t="str">
        <f t="shared" si="37"/>
        <v>May</v>
      </c>
      <c r="T630" s="2" t="str">
        <f t="shared" si="38"/>
        <v>Q2</v>
      </c>
      <c r="U630" s="2">
        <f t="shared" si="39"/>
        <v>2025</v>
      </c>
    </row>
    <row r="631" spans="1:21" x14ac:dyDescent="0.3">
      <c r="A631" t="s">
        <v>1186</v>
      </c>
      <c r="B631" t="s">
        <v>4901</v>
      </c>
      <c r="C631" t="s">
        <v>5707</v>
      </c>
      <c r="D631" t="s">
        <v>4363</v>
      </c>
      <c r="E631">
        <v>39</v>
      </c>
      <c r="F631" t="s">
        <v>5708</v>
      </c>
      <c r="G631">
        <v>9427860863</v>
      </c>
      <c r="H631" t="s">
        <v>4381</v>
      </c>
      <c r="I631" t="s">
        <v>4382</v>
      </c>
      <c r="J631" t="s">
        <v>4482</v>
      </c>
      <c r="K631">
        <v>3.1</v>
      </c>
      <c r="L631">
        <v>10.5</v>
      </c>
      <c r="M631">
        <v>14.9</v>
      </c>
      <c r="N631" t="s">
        <v>4390</v>
      </c>
      <c r="O631" t="s">
        <v>4391</v>
      </c>
      <c r="P631" s="1">
        <v>45742</v>
      </c>
      <c r="Q631" t="str">
        <f t="shared" si="36"/>
        <v>10+ Years</v>
      </c>
      <c r="R631" t="str">
        <f>IF(Table7[[#This Row],[Age]]&lt;=25,"20-25",IF(Table7[[#This Row],[Age]]&lt;=30,"26-30",IF(Table7[[#This Row],[Age]]&lt;=35,"31-35","36+")))</f>
        <v>36+</v>
      </c>
      <c r="S631" t="str">
        <f t="shared" si="37"/>
        <v>March</v>
      </c>
      <c r="T631" s="2" t="str">
        <f t="shared" si="38"/>
        <v>Q1</v>
      </c>
      <c r="U631" s="2">
        <f t="shared" si="39"/>
        <v>2025</v>
      </c>
    </row>
    <row r="632" spans="1:21" x14ac:dyDescent="0.3">
      <c r="A632" t="s">
        <v>1985</v>
      </c>
      <c r="B632" t="s">
        <v>5437</v>
      </c>
      <c r="C632" t="s">
        <v>5503</v>
      </c>
      <c r="D632" t="s">
        <v>4363</v>
      </c>
      <c r="E632">
        <v>28</v>
      </c>
      <c r="F632" t="s">
        <v>5709</v>
      </c>
      <c r="G632">
        <v>9231449952</v>
      </c>
      <c r="H632" t="s">
        <v>4506</v>
      </c>
      <c r="I632" t="s">
        <v>4507</v>
      </c>
      <c r="J632" t="s">
        <v>4389</v>
      </c>
      <c r="K632">
        <v>1.3</v>
      </c>
      <c r="L632">
        <v>5.4</v>
      </c>
      <c r="M632">
        <v>7.4</v>
      </c>
      <c r="N632" t="s">
        <v>4377</v>
      </c>
      <c r="O632" t="s">
        <v>4400</v>
      </c>
      <c r="P632" s="1">
        <v>45803</v>
      </c>
      <c r="Q632" t="str">
        <f t="shared" si="36"/>
        <v>10+ Years</v>
      </c>
      <c r="R632" t="str">
        <f>IF(Table7[[#This Row],[Age]]&lt;=25,"20-25",IF(Table7[[#This Row],[Age]]&lt;=30,"26-30",IF(Table7[[#This Row],[Age]]&lt;=35,"31-35","36+")))</f>
        <v>26-30</v>
      </c>
      <c r="S632" t="str">
        <f t="shared" si="37"/>
        <v>May</v>
      </c>
      <c r="T632" s="2" t="str">
        <f t="shared" si="38"/>
        <v>Q2</v>
      </c>
      <c r="U632" s="2">
        <f t="shared" si="39"/>
        <v>2025</v>
      </c>
    </row>
    <row r="633" spans="1:21" x14ac:dyDescent="0.3">
      <c r="A633" t="s">
        <v>1336</v>
      </c>
      <c r="B633" t="s">
        <v>5551</v>
      </c>
      <c r="C633" t="s">
        <v>5710</v>
      </c>
      <c r="D633" t="s">
        <v>4372</v>
      </c>
      <c r="E633">
        <v>30</v>
      </c>
      <c r="F633" t="s">
        <v>5711</v>
      </c>
      <c r="G633">
        <v>9151294942</v>
      </c>
      <c r="H633" t="s">
        <v>4445</v>
      </c>
      <c r="I633" t="s">
        <v>4396</v>
      </c>
      <c r="J633" t="s">
        <v>4376</v>
      </c>
      <c r="K633">
        <v>0.2</v>
      </c>
      <c r="L633">
        <v>4.8</v>
      </c>
      <c r="M633">
        <v>6.6</v>
      </c>
      <c r="N633" t="s">
        <v>4368</v>
      </c>
      <c r="O633" t="s">
        <v>4391</v>
      </c>
      <c r="P633" s="1">
        <v>45775</v>
      </c>
      <c r="Q633" t="str">
        <f t="shared" si="36"/>
        <v>10+ Years</v>
      </c>
      <c r="R633" t="str">
        <f>IF(Table7[[#This Row],[Age]]&lt;=25,"20-25",IF(Table7[[#This Row],[Age]]&lt;=30,"26-30",IF(Table7[[#This Row],[Age]]&lt;=35,"31-35","36+")))</f>
        <v>26-30</v>
      </c>
      <c r="S633" t="str">
        <f t="shared" si="37"/>
        <v>April</v>
      </c>
      <c r="T633" s="2" t="str">
        <f t="shared" si="38"/>
        <v>Q2</v>
      </c>
      <c r="U633" s="2">
        <f t="shared" si="39"/>
        <v>2025</v>
      </c>
    </row>
    <row r="634" spans="1:21" x14ac:dyDescent="0.3">
      <c r="A634" t="s">
        <v>2844</v>
      </c>
      <c r="B634" t="s">
        <v>4508</v>
      </c>
      <c r="C634" t="s">
        <v>4461</v>
      </c>
      <c r="D634" t="s">
        <v>4363</v>
      </c>
      <c r="E634">
        <v>23</v>
      </c>
      <c r="F634" t="s">
        <v>5712</v>
      </c>
      <c r="G634">
        <v>9378055552</v>
      </c>
      <c r="H634" t="s">
        <v>4395</v>
      </c>
      <c r="I634" t="s">
        <v>4396</v>
      </c>
      <c r="J634" t="s">
        <v>4415</v>
      </c>
      <c r="K634">
        <v>8.9</v>
      </c>
      <c r="L634">
        <v>18.7</v>
      </c>
      <c r="M634">
        <v>22.4</v>
      </c>
      <c r="N634" t="s">
        <v>4390</v>
      </c>
      <c r="O634" t="s">
        <v>4456</v>
      </c>
      <c r="P634" s="1">
        <v>45996</v>
      </c>
      <c r="Q634" t="str">
        <f t="shared" si="36"/>
        <v>10+ Years</v>
      </c>
      <c r="R634" t="str">
        <f>IF(Table7[[#This Row],[Age]]&lt;=25,"20-25",IF(Table7[[#This Row],[Age]]&lt;=30,"26-30",IF(Table7[[#This Row],[Age]]&lt;=35,"31-35","36+")))</f>
        <v>20-25</v>
      </c>
      <c r="S634" t="str">
        <f t="shared" si="37"/>
        <v>December</v>
      </c>
      <c r="T634" s="2" t="str">
        <f t="shared" si="38"/>
        <v>Q4</v>
      </c>
      <c r="U634" s="2">
        <f t="shared" si="39"/>
        <v>2025</v>
      </c>
    </row>
    <row r="635" spans="1:21" x14ac:dyDescent="0.3">
      <c r="A635" t="s">
        <v>390</v>
      </c>
      <c r="B635" t="s">
        <v>4654</v>
      </c>
      <c r="C635" t="s">
        <v>5713</v>
      </c>
      <c r="D635" t="s">
        <v>4372</v>
      </c>
      <c r="E635">
        <v>25</v>
      </c>
      <c r="F635" t="s">
        <v>5714</v>
      </c>
      <c r="G635">
        <v>9538035162</v>
      </c>
      <c r="H635" t="s">
        <v>4445</v>
      </c>
      <c r="I635" t="s">
        <v>4396</v>
      </c>
      <c r="J635" t="s">
        <v>4376</v>
      </c>
      <c r="K635">
        <v>3.9</v>
      </c>
      <c r="L635">
        <v>10.3</v>
      </c>
      <c r="M635">
        <v>12.5</v>
      </c>
      <c r="N635" t="s">
        <v>4390</v>
      </c>
      <c r="O635" t="s">
        <v>4369</v>
      </c>
      <c r="P635" s="1">
        <v>45996</v>
      </c>
      <c r="Q635" t="str">
        <f t="shared" si="36"/>
        <v>10+ Years</v>
      </c>
      <c r="R635" t="str">
        <f>IF(Table7[[#This Row],[Age]]&lt;=25,"20-25",IF(Table7[[#This Row],[Age]]&lt;=30,"26-30",IF(Table7[[#This Row],[Age]]&lt;=35,"31-35","36+")))</f>
        <v>20-25</v>
      </c>
      <c r="S635" t="str">
        <f t="shared" si="37"/>
        <v>December</v>
      </c>
      <c r="T635" s="2" t="str">
        <f t="shared" si="38"/>
        <v>Q4</v>
      </c>
      <c r="U635" s="2">
        <f t="shared" si="39"/>
        <v>2025</v>
      </c>
    </row>
    <row r="636" spans="1:21" x14ac:dyDescent="0.3">
      <c r="A636" t="s">
        <v>3090</v>
      </c>
      <c r="B636" t="s">
        <v>5287</v>
      </c>
      <c r="C636" t="s">
        <v>5715</v>
      </c>
      <c r="D636" t="s">
        <v>4363</v>
      </c>
      <c r="E636">
        <v>31</v>
      </c>
      <c r="F636" t="s">
        <v>5716</v>
      </c>
      <c r="G636">
        <v>9140696554</v>
      </c>
      <c r="H636" t="s">
        <v>4381</v>
      </c>
      <c r="I636" t="s">
        <v>4382</v>
      </c>
      <c r="J636" t="s">
        <v>4482</v>
      </c>
      <c r="K636">
        <v>2.8</v>
      </c>
      <c r="L636">
        <v>12.7</v>
      </c>
      <c r="M636">
        <v>17.8</v>
      </c>
      <c r="N636" t="s">
        <v>4406</v>
      </c>
      <c r="O636" t="s">
        <v>4369</v>
      </c>
      <c r="P636" s="1">
        <v>45687</v>
      </c>
      <c r="Q636" t="str">
        <f t="shared" si="36"/>
        <v>10+ Years</v>
      </c>
      <c r="R636" t="str">
        <f>IF(Table7[[#This Row],[Age]]&lt;=25,"20-25",IF(Table7[[#This Row],[Age]]&lt;=30,"26-30",IF(Table7[[#This Row],[Age]]&lt;=35,"31-35","36+")))</f>
        <v>31-35</v>
      </c>
      <c r="S636" t="str">
        <f t="shared" si="37"/>
        <v>January</v>
      </c>
      <c r="T636" s="2" t="str">
        <f t="shared" si="38"/>
        <v>Q1</v>
      </c>
      <c r="U636" s="2">
        <f t="shared" si="39"/>
        <v>2025</v>
      </c>
    </row>
    <row r="637" spans="1:21" x14ac:dyDescent="0.3">
      <c r="A637" t="s">
        <v>607</v>
      </c>
      <c r="B637" t="s">
        <v>4763</v>
      </c>
      <c r="C637" t="s">
        <v>5440</v>
      </c>
      <c r="D637" t="s">
        <v>4363</v>
      </c>
      <c r="E637">
        <v>26</v>
      </c>
      <c r="F637" t="s">
        <v>5717</v>
      </c>
      <c r="G637">
        <v>9774790222</v>
      </c>
      <c r="H637" t="s">
        <v>4445</v>
      </c>
      <c r="I637" t="s">
        <v>4396</v>
      </c>
      <c r="J637" t="s">
        <v>4482</v>
      </c>
      <c r="K637">
        <v>6.1</v>
      </c>
      <c r="L637">
        <v>13.9</v>
      </c>
      <c r="M637">
        <v>18.7</v>
      </c>
      <c r="N637" t="s">
        <v>4368</v>
      </c>
      <c r="O637" t="s">
        <v>4369</v>
      </c>
      <c r="P637" s="1">
        <v>45911</v>
      </c>
      <c r="Q637" t="str">
        <f t="shared" si="36"/>
        <v>10+ Years</v>
      </c>
      <c r="R637" t="str">
        <f>IF(Table7[[#This Row],[Age]]&lt;=25,"20-25",IF(Table7[[#This Row],[Age]]&lt;=30,"26-30",IF(Table7[[#This Row],[Age]]&lt;=35,"31-35","36+")))</f>
        <v>26-30</v>
      </c>
      <c r="S637" t="str">
        <f t="shared" si="37"/>
        <v>September</v>
      </c>
      <c r="T637" s="2" t="str">
        <f t="shared" si="38"/>
        <v>Q3</v>
      </c>
      <c r="U637" s="2">
        <f t="shared" si="39"/>
        <v>2025</v>
      </c>
    </row>
    <row r="638" spans="1:21" x14ac:dyDescent="0.3">
      <c r="A638" t="s">
        <v>501</v>
      </c>
      <c r="B638" t="s">
        <v>4565</v>
      </c>
      <c r="C638" t="s">
        <v>5718</v>
      </c>
      <c r="D638" t="s">
        <v>4363</v>
      </c>
      <c r="E638">
        <v>25</v>
      </c>
      <c r="F638" t="s">
        <v>5719</v>
      </c>
      <c r="G638">
        <v>9413470637</v>
      </c>
      <c r="H638" t="s">
        <v>4445</v>
      </c>
      <c r="I638" t="s">
        <v>4396</v>
      </c>
      <c r="J638" t="s">
        <v>4450</v>
      </c>
      <c r="K638">
        <v>1.1000000000000001</v>
      </c>
      <c r="L638">
        <v>9</v>
      </c>
      <c r="M638">
        <v>12.5</v>
      </c>
      <c r="N638" t="s">
        <v>4390</v>
      </c>
      <c r="O638" t="s">
        <v>4369</v>
      </c>
      <c r="P638" s="1">
        <v>45905</v>
      </c>
      <c r="Q638" t="str">
        <f t="shared" si="36"/>
        <v>10+ Years</v>
      </c>
      <c r="R638" t="str">
        <f>IF(Table7[[#This Row],[Age]]&lt;=25,"20-25",IF(Table7[[#This Row],[Age]]&lt;=30,"26-30",IF(Table7[[#This Row],[Age]]&lt;=35,"31-35","36+")))</f>
        <v>20-25</v>
      </c>
      <c r="S638" t="str">
        <f t="shared" si="37"/>
        <v>September</v>
      </c>
      <c r="T638" s="2" t="str">
        <f t="shared" si="38"/>
        <v>Q3</v>
      </c>
      <c r="U638" s="2">
        <f t="shared" si="39"/>
        <v>2025</v>
      </c>
    </row>
    <row r="639" spans="1:21" x14ac:dyDescent="0.3">
      <c r="A639" t="s">
        <v>1639</v>
      </c>
      <c r="B639" t="s">
        <v>5376</v>
      </c>
      <c r="C639" t="s">
        <v>4693</v>
      </c>
      <c r="D639" t="s">
        <v>4372</v>
      </c>
      <c r="E639">
        <v>32</v>
      </c>
      <c r="F639" t="s">
        <v>5720</v>
      </c>
      <c r="G639">
        <v>9836278314</v>
      </c>
      <c r="H639" t="s">
        <v>4410</v>
      </c>
      <c r="I639" t="s">
        <v>4411</v>
      </c>
      <c r="J639" t="s">
        <v>4389</v>
      </c>
      <c r="K639">
        <v>5.8</v>
      </c>
      <c r="L639">
        <v>7.2</v>
      </c>
      <c r="M639">
        <v>9.4</v>
      </c>
      <c r="O639" t="s">
        <v>4369</v>
      </c>
      <c r="P639" s="1">
        <v>45696</v>
      </c>
      <c r="Q639" t="str">
        <f t="shared" si="36"/>
        <v>10+ Years</v>
      </c>
      <c r="R639" t="str">
        <f>IF(Table7[[#This Row],[Age]]&lt;=25,"20-25",IF(Table7[[#This Row],[Age]]&lt;=30,"26-30",IF(Table7[[#This Row],[Age]]&lt;=35,"31-35","36+")))</f>
        <v>31-35</v>
      </c>
      <c r="S639" t="str">
        <f t="shared" si="37"/>
        <v>February</v>
      </c>
      <c r="T639" s="2" t="str">
        <f t="shared" si="38"/>
        <v>Q1</v>
      </c>
      <c r="U639" s="2">
        <f t="shared" si="39"/>
        <v>2025</v>
      </c>
    </row>
    <row r="640" spans="1:21" x14ac:dyDescent="0.3">
      <c r="A640" t="s">
        <v>1869</v>
      </c>
      <c r="B640" t="s">
        <v>4407</v>
      </c>
      <c r="C640" t="s">
        <v>5721</v>
      </c>
      <c r="D640" t="s">
        <v>4372</v>
      </c>
      <c r="E640">
        <v>31</v>
      </c>
      <c r="F640" t="s">
        <v>5722</v>
      </c>
      <c r="G640">
        <v>9357724330</v>
      </c>
      <c r="H640" t="s">
        <v>4410</v>
      </c>
      <c r="I640" t="s">
        <v>4411</v>
      </c>
      <c r="J640" t="s">
        <v>4432</v>
      </c>
      <c r="K640">
        <v>4.0999999999999996</v>
      </c>
      <c r="L640">
        <v>7</v>
      </c>
      <c r="M640">
        <v>10</v>
      </c>
      <c r="N640" t="s">
        <v>4368</v>
      </c>
      <c r="O640" t="s">
        <v>4369</v>
      </c>
      <c r="P640" s="1">
        <v>45845</v>
      </c>
      <c r="Q640" t="str">
        <f t="shared" si="36"/>
        <v>10+ Years</v>
      </c>
      <c r="R640" t="str">
        <f>IF(Table7[[#This Row],[Age]]&lt;=25,"20-25",IF(Table7[[#This Row],[Age]]&lt;=30,"26-30",IF(Table7[[#This Row],[Age]]&lt;=35,"31-35","36+")))</f>
        <v>31-35</v>
      </c>
      <c r="S640" t="str">
        <f t="shared" si="37"/>
        <v>July</v>
      </c>
      <c r="T640" s="2" t="str">
        <f t="shared" si="38"/>
        <v>Q3</v>
      </c>
      <c r="U640" s="2">
        <f t="shared" si="39"/>
        <v>2025</v>
      </c>
    </row>
    <row r="641" spans="1:21" x14ac:dyDescent="0.3">
      <c r="A641" t="s">
        <v>3227</v>
      </c>
      <c r="B641" t="s">
        <v>4731</v>
      </c>
      <c r="C641" t="s">
        <v>5723</v>
      </c>
      <c r="D641" t="s">
        <v>4372</v>
      </c>
      <c r="E641">
        <v>28</v>
      </c>
      <c r="F641" t="s">
        <v>5724</v>
      </c>
      <c r="G641">
        <v>9273731830</v>
      </c>
      <c r="H641" t="s">
        <v>4491</v>
      </c>
      <c r="I641" t="s">
        <v>4491</v>
      </c>
      <c r="J641" t="s">
        <v>4415</v>
      </c>
      <c r="K641">
        <v>0</v>
      </c>
      <c r="L641">
        <v>2.7</v>
      </c>
      <c r="M641">
        <v>3</v>
      </c>
      <c r="N641" t="s">
        <v>4406</v>
      </c>
      <c r="O641" t="s">
        <v>4456</v>
      </c>
      <c r="P641" s="1">
        <v>45778</v>
      </c>
      <c r="Q641" t="str">
        <f t="shared" si="36"/>
        <v>10+ Years</v>
      </c>
      <c r="R641" t="str">
        <f>IF(Table7[[#This Row],[Age]]&lt;=25,"20-25",IF(Table7[[#This Row],[Age]]&lt;=30,"26-30",IF(Table7[[#This Row],[Age]]&lt;=35,"31-35","36+")))</f>
        <v>26-30</v>
      </c>
      <c r="S641" t="str">
        <f t="shared" si="37"/>
        <v>May</v>
      </c>
      <c r="T641" s="2" t="str">
        <f t="shared" si="38"/>
        <v>Q2</v>
      </c>
      <c r="U641" s="2">
        <f t="shared" si="39"/>
        <v>2025</v>
      </c>
    </row>
    <row r="642" spans="1:21" x14ac:dyDescent="0.3">
      <c r="A642" t="s">
        <v>3627</v>
      </c>
      <c r="B642" t="s">
        <v>4778</v>
      </c>
      <c r="C642" t="s">
        <v>5725</v>
      </c>
      <c r="D642" t="s">
        <v>4363</v>
      </c>
      <c r="E642">
        <v>24</v>
      </c>
      <c r="F642" t="s">
        <v>5726</v>
      </c>
      <c r="G642">
        <v>9807627335</v>
      </c>
      <c r="H642" t="s">
        <v>4506</v>
      </c>
      <c r="I642" t="s">
        <v>4507</v>
      </c>
      <c r="J642" t="s">
        <v>4432</v>
      </c>
      <c r="K642">
        <v>0.1</v>
      </c>
      <c r="L642">
        <v>5.9</v>
      </c>
      <c r="M642">
        <v>6.8</v>
      </c>
      <c r="N642" t="s">
        <v>4377</v>
      </c>
      <c r="O642" t="s">
        <v>4369</v>
      </c>
      <c r="P642" s="1">
        <v>45771</v>
      </c>
      <c r="Q642" t="str">
        <f t="shared" ref="Q642:Q705" si="40">IF(P642&lt;=2,"0-2 Years",IF(P642&lt;=5,"3-5 Years",IF(P642&lt;=10,"6-10 Years","10+ Years")))</f>
        <v>10+ Years</v>
      </c>
      <c r="R642" t="str">
        <f>IF(Table7[[#This Row],[Age]]&lt;=25,"20-25",IF(Table7[[#This Row],[Age]]&lt;=30,"26-30",IF(Table7[[#This Row],[Age]]&lt;=35,"31-35","36+")))</f>
        <v>20-25</v>
      </c>
      <c r="S642" t="str">
        <f t="shared" ref="S642:S705" si="41">TEXT(P642,"mmmm")</f>
        <v>April</v>
      </c>
      <c r="T642" s="2" t="str">
        <f t="shared" ref="T642:T705" si="42">"Q"&amp;ROUNDUP(MONTH(P642)/3,0)</f>
        <v>Q2</v>
      </c>
      <c r="U642" s="2">
        <f t="shared" ref="U642:U705" si="43">YEAR(P642)</f>
        <v>2025</v>
      </c>
    </row>
    <row r="643" spans="1:21" x14ac:dyDescent="0.3">
      <c r="A643" t="s">
        <v>369</v>
      </c>
      <c r="B643" t="s">
        <v>4921</v>
      </c>
      <c r="C643" t="s">
        <v>4924</v>
      </c>
      <c r="D643" t="s">
        <v>4372</v>
      </c>
      <c r="E643">
        <v>29</v>
      </c>
      <c r="F643" t="s">
        <v>5727</v>
      </c>
      <c r="G643">
        <v>9479707868</v>
      </c>
      <c r="H643" t="s">
        <v>4445</v>
      </c>
      <c r="I643" t="s">
        <v>4396</v>
      </c>
      <c r="J643" t="s">
        <v>4446</v>
      </c>
      <c r="K643">
        <v>4.0999999999999996</v>
      </c>
      <c r="M643">
        <v>10.1</v>
      </c>
      <c r="O643" t="s">
        <v>4485</v>
      </c>
      <c r="P643" s="1">
        <v>45944</v>
      </c>
      <c r="Q643" t="str">
        <f t="shared" si="40"/>
        <v>10+ Years</v>
      </c>
      <c r="R643" t="str">
        <f>IF(Table7[[#This Row],[Age]]&lt;=25,"20-25",IF(Table7[[#This Row],[Age]]&lt;=30,"26-30",IF(Table7[[#This Row],[Age]]&lt;=35,"31-35","36+")))</f>
        <v>26-30</v>
      </c>
      <c r="S643" t="str">
        <f t="shared" si="41"/>
        <v>October</v>
      </c>
      <c r="T643" s="2" t="str">
        <f t="shared" si="42"/>
        <v>Q4</v>
      </c>
      <c r="U643" s="2">
        <f t="shared" si="43"/>
        <v>2025</v>
      </c>
    </row>
    <row r="644" spans="1:21" x14ac:dyDescent="0.3">
      <c r="A644" t="s">
        <v>5728</v>
      </c>
      <c r="B644" t="s">
        <v>5049</v>
      </c>
      <c r="C644" t="s">
        <v>5142</v>
      </c>
      <c r="D644" t="s">
        <v>4363</v>
      </c>
      <c r="E644">
        <v>29</v>
      </c>
      <c r="F644" t="s">
        <v>5729</v>
      </c>
      <c r="G644">
        <v>9574584630</v>
      </c>
      <c r="H644" t="s">
        <v>4395</v>
      </c>
      <c r="I644" t="s">
        <v>4396</v>
      </c>
      <c r="J644" t="s">
        <v>4389</v>
      </c>
      <c r="K644">
        <v>0.8</v>
      </c>
      <c r="L644">
        <v>7.8</v>
      </c>
      <c r="M644">
        <v>10.9</v>
      </c>
      <c r="N644" t="s">
        <v>4390</v>
      </c>
      <c r="O644" t="s">
        <v>4391</v>
      </c>
      <c r="P644" s="1">
        <v>45762</v>
      </c>
      <c r="Q644" t="str">
        <f t="shared" si="40"/>
        <v>10+ Years</v>
      </c>
      <c r="R644" t="str">
        <f>IF(Table7[[#This Row],[Age]]&lt;=25,"20-25",IF(Table7[[#This Row],[Age]]&lt;=30,"26-30",IF(Table7[[#This Row],[Age]]&lt;=35,"31-35","36+")))</f>
        <v>26-30</v>
      </c>
      <c r="S644" t="str">
        <f t="shared" si="41"/>
        <v>April</v>
      </c>
      <c r="T644" s="2" t="str">
        <f t="shared" si="42"/>
        <v>Q2</v>
      </c>
      <c r="U644" s="2">
        <f t="shared" si="43"/>
        <v>2025</v>
      </c>
    </row>
    <row r="645" spans="1:21" x14ac:dyDescent="0.3">
      <c r="A645" t="s">
        <v>80</v>
      </c>
      <c r="B645" t="s">
        <v>5730</v>
      </c>
      <c r="C645" t="s">
        <v>5731</v>
      </c>
      <c r="D645" t="s">
        <v>4372</v>
      </c>
      <c r="E645">
        <v>29</v>
      </c>
      <c r="F645" t="s">
        <v>5732</v>
      </c>
      <c r="G645">
        <v>9235691012</v>
      </c>
      <c r="H645" t="s">
        <v>4476</v>
      </c>
      <c r="I645" t="s">
        <v>4477</v>
      </c>
      <c r="J645" t="s">
        <v>4482</v>
      </c>
      <c r="K645">
        <v>1.4</v>
      </c>
      <c r="L645">
        <v>5.5</v>
      </c>
      <c r="M645">
        <v>7.2</v>
      </c>
      <c r="N645" t="s">
        <v>4494</v>
      </c>
      <c r="O645" t="s">
        <v>4383</v>
      </c>
      <c r="P645" s="1">
        <v>45995</v>
      </c>
      <c r="Q645" t="str">
        <f t="shared" si="40"/>
        <v>10+ Years</v>
      </c>
      <c r="R645" t="str">
        <f>IF(Table7[[#This Row],[Age]]&lt;=25,"20-25",IF(Table7[[#This Row],[Age]]&lt;=30,"26-30",IF(Table7[[#This Row],[Age]]&lt;=35,"31-35","36+")))</f>
        <v>26-30</v>
      </c>
      <c r="S645" t="str">
        <f t="shared" si="41"/>
        <v>December</v>
      </c>
      <c r="T645" s="2" t="str">
        <f t="shared" si="42"/>
        <v>Q4</v>
      </c>
      <c r="U645" s="2">
        <f t="shared" si="43"/>
        <v>2025</v>
      </c>
    </row>
    <row r="646" spans="1:21" x14ac:dyDescent="0.3">
      <c r="A646" t="s">
        <v>2300</v>
      </c>
      <c r="B646" t="s">
        <v>4741</v>
      </c>
      <c r="C646" t="s">
        <v>4797</v>
      </c>
      <c r="D646" t="s">
        <v>4372</v>
      </c>
      <c r="E646">
        <v>33</v>
      </c>
      <c r="F646" t="s">
        <v>5733</v>
      </c>
      <c r="G646">
        <v>9124031592</v>
      </c>
      <c r="H646" t="s">
        <v>4381</v>
      </c>
      <c r="I646" t="s">
        <v>4382</v>
      </c>
      <c r="J646" t="s">
        <v>4415</v>
      </c>
      <c r="K646">
        <v>1.4</v>
      </c>
      <c r="L646">
        <v>6.4</v>
      </c>
      <c r="M646">
        <v>8.4</v>
      </c>
      <c r="N646" t="s">
        <v>4406</v>
      </c>
      <c r="O646" t="s">
        <v>4391</v>
      </c>
      <c r="P646" s="1">
        <v>45718</v>
      </c>
      <c r="Q646" t="str">
        <f t="shared" si="40"/>
        <v>10+ Years</v>
      </c>
      <c r="R646" t="str">
        <f>IF(Table7[[#This Row],[Age]]&lt;=25,"20-25",IF(Table7[[#This Row],[Age]]&lt;=30,"26-30",IF(Table7[[#This Row],[Age]]&lt;=35,"31-35","36+")))</f>
        <v>31-35</v>
      </c>
      <c r="S646" t="str">
        <f t="shared" si="41"/>
        <v>March</v>
      </c>
      <c r="T646" s="2" t="str">
        <f t="shared" si="42"/>
        <v>Q1</v>
      </c>
      <c r="U646" s="2">
        <f t="shared" si="43"/>
        <v>2025</v>
      </c>
    </row>
    <row r="647" spans="1:21" x14ac:dyDescent="0.3">
      <c r="A647" t="s">
        <v>982</v>
      </c>
      <c r="B647" t="s">
        <v>5734</v>
      </c>
      <c r="C647" t="s">
        <v>5735</v>
      </c>
      <c r="D647" t="s">
        <v>4363</v>
      </c>
      <c r="E647">
        <v>32</v>
      </c>
      <c r="F647" t="s">
        <v>5736</v>
      </c>
      <c r="G647">
        <v>9578751218</v>
      </c>
      <c r="H647" t="s">
        <v>4473</v>
      </c>
      <c r="I647" t="s">
        <v>4473</v>
      </c>
      <c r="J647" t="s">
        <v>4482</v>
      </c>
      <c r="K647">
        <v>14.2</v>
      </c>
      <c r="L647">
        <v>25.9</v>
      </c>
      <c r="M647">
        <v>33.1</v>
      </c>
      <c r="N647" t="s">
        <v>4390</v>
      </c>
      <c r="O647" t="s">
        <v>4485</v>
      </c>
      <c r="P647" s="1">
        <v>45935</v>
      </c>
      <c r="Q647" t="str">
        <f t="shared" si="40"/>
        <v>10+ Years</v>
      </c>
      <c r="R647" t="str">
        <f>IF(Table7[[#This Row],[Age]]&lt;=25,"20-25",IF(Table7[[#This Row],[Age]]&lt;=30,"26-30",IF(Table7[[#This Row],[Age]]&lt;=35,"31-35","36+")))</f>
        <v>31-35</v>
      </c>
      <c r="S647" t="str">
        <f t="shared" si="41"/>
        <v>October</v>
      </c>
      <c r="T647" s="2" t="str">
        <f t="shared" si="42"/>
        <v>Q4</v>
      </c>
      <c r="U647" s="2">
        <f t="shared" si="43"/>
        <v>2025</v>
      </c>
    </row>
    <row r="648" spans="1:21" x14ac:dyDescent="0.3">
      <c r="A648" t="s">
        <v>144</v>
      </c>
      <c r="B648" t="s">
        <v>4629</v>
      </c>
      <c r="C648" t="s">
        <v>4576</v>
      </c>
      <c r="D648" t="s">
        <v>4372</v>
      </c>
      <c r="E648">
        <v>25</v>
      </c>
      <c r="F648" t="s">
        <v>5737</v>
      </c>
      <c r="G648">
        <v>9414684790</v>
      </c>
      <c r="H648" t="s">
        <v>4381</v>
      </c>
      <c r="I648" t="s">
        <v>4382</v>
      </c>
      <c r="J648" t="s">
        <v>4446</v>
      </c>
      <c r="K648">
        <v>4.5</v>
      </c>
      <c r="L648">
        <v>11.9</v>
      </c>
      <c r="M648">
        <v>13.5</v>
      </c>
      <c r="N648" t="s">
        <v>4368</v>
      </c>
      <c r="O648" t="s">
        <v>4391</v>
      </c>
      <c r="P648" s="1">
        <v>46007</v>
      </c>
      <c r="Q648" t="str">
        <f t="shared" si="40"/>
        <v>10+ Years</v>
      </c>
      <c r="R648" t="str">
        <f>IF(Table7[[#This Row],[Age]]&lt;=25,"20-25",IF(Table7[[#This Row],[Age]]&lt;=30,"26-30",IF(Table7[[#This Row],[Age]]&lt;=35,"31-35","36+")))</f>
        <v>20-25</v>
      </c>
      <c r="S648" t="str">
        <f t="shared" si="41"/>
        <v>December</v>
      </c>
      <c r="T648" s="2" t="str">
        <f t="shared" si="42"/>
        <v>Q4</v>
      </c>
      <c r="U648" s="2">
        <f t="shared" si="43"/>
        <v>2025</v>
      </c>
    </row>
    <row r="649" spans="1:21" x14ac:dyDescent="0.3">
      <c r="A649" t="s">
        <v>2872</v>
      </c>
      <c r="B649" t="s">
        <v>4370</v>
      </c>
      <c r="C649" t="s">
        <v>5738</v>
      </c>
      <c r="D649" t="s">
        <v>4372</v>
      </c>
      <c r="E649">
        <v>30</v>
      </c>
      <c r="F649" t="s">
        <v>5739</v>
      </c>
      <c r="G649">
        <v>9484341109</v>
      </c>
      <c r="H649" t="s">
        <v>4404</v>
      </c>
      <c r="I649" t="s">
        <v>4405</v>
      </c>
      <c r="J649" t="s">
        <v>4432</v>
      </c>
      <c r="K649">
        <v>1.1000000000000001</v>
      </c>
      <c r="L649">
        <v>12.3</v>
      </c>
      <c r="M649">
        <v>15.2</v>
      </c>
      <c r="N649" t="s">
        <v>4377</v>
      </c>
      <c r="O649" t="s">
        <v>4400</v>
      </c>
      <c r="P649" s="1">
        <v>45764</v>
      </c>
      <c r="Q649" t="str">
        <f t="shared" si="40"/>
        <v>10+ Years</v>
      </c>
      <c r="R649" t="str">
        <f>IF(Table7[[#This Row],[Age]]&lt;=25,"20-25",IF(Table7[[#This Row],[Age]]&lt;=30,"26-30",IF(Table7[[#This Row],[Age]]&lt;=35,"31-35","36+")))</f>
        <v>26-30</v>
      </c>
      <c r="S649" t="str">
        <f t="shared" si="41"/>
        <v>April</v>
      </c>
      <c r="T649" s="2" t="str">
        <f t="shared" si="42"/>
        <v>Q2</v>
      </c>
      <c r="U649" s="2">
        <f t="shared" si="43"/>
        <v>2025</v>
      </c>
    </row>
    <row r="650" spans="1:21" x14ac:dyDescent="0.3">
      <c r="A650" t="s">
        <v>2052</v>
      </c>
      <c r="B650" t="s">
        <v>5740</v>
      </c>
      <c r="C650" t="s">
        <v>5192</v>
      </c>
      <c r="D650" t="s">
        <v>4363</v>
      </c>
      <c r="E650">
        <v>27</v>
      </c>
      <c r="F650" t="s">
        <v>5741</v>
      </c>
      <c r="G650">
        <v>9802861829</v>
      </c>
      <c r="H650" t="s">
        <v>4404</v>
      </c>
      <c r="I650" t="s">
        <v>4405</v>
      </c>
      <c r="J650" t="s">
        <v>4389</v>
      </c>
      <c r="K650">
        <v>0.7</v>
      </c>
      <c r="L650">
        <v>8.6</v>
      </c>
      <c r="M650">
        <v>11.4</v>
      </c>
      <c r="N650" t="s">
        <v>4390</v>
      </c>
      <c r="O650" t="s">
        <v>4369</v>
      </c>
      <c r="P650" s="1">
        <v>45689</v>
      </c>
      <c r="Q650" t="str">
        <f t="shared" si="40"/>
        <v>10+ Years</v>
      </c>
      <c r="R650" t="str">
        <f>IF(Table7[[#This Row],[Age]]&lt;=25,"20-25",IF(Table7[[#This Row],[Age]]&lt;=30,"26-30",IF(Table7[[#This Row],[Age]]&lt;=35,"31-35","36+")))</f>
        <v>26-30</v>
      </c>
      <c r="S650" t="str">
        <f t="shared" si="41"/>
        <v>February</v>
      </c>
      <c r="T650" s="2" t="str">
        <f t="shared" si="42"/>
        <v>Q1</v>
      </c>
      <c r="U650" s="2">
        <f t="shared" si="43"/>
        <v>2025</v>
      </c>
    </row>
    <row r="651" spans="1:21" x14ac:dyDescent="0.3">
      <c r="A651" t="s">
        <v>5742</v>
      </c>
      <c r="B651" t="s">
        <v>4760</v>
      </c>
      <c r="C651" t="s">
        <v>5743</v>
      </c>
      <c r="D651" t="s">
        <v>4372</v>
      </c>
      <c r="E651">
        <v>36</v>
      </c>
      <c r="F651" t="s">
        <v>5744</v>
      </c>
      <c r="G651">
        <v>9134749203</v>
      </c>
      <c r="H651" t="s">
        <v>4381</v>
      </c>
      <c r="I651" t="s">
        <v>4382</v>
      </c>
      <c r="J651" t="s">
        <v>4618</v>
      </c>
      <c r="K651">
        <v>1.6</v>
      </c>
      <c r="M651">
        <v>12</v>
      </c>
      <c r="N651" t="s">
        <v>4390</v>
      </c>
      <c r="O651" t="s">
        <v>4419</v>
      </c>
      <c r="P651" s="1">
        <v>45775</v>
      </c>
      <c r="Q651" t="str">
        <f t="shared" si="40"/>
        <v>10+ Years</v>
      </c>
      <c r="R651" t="str">
        <f>IF(Table7[[#This Row],[Age]]&lt;=25,"20-25",IF(Table7[[#This Row],[Age]]&lt;=30,"26-30",IF(Table7[[#This Row],[Age]]&lt;=35,"31-35","36+")))</f>
        <v>36+</v>
      </c>
      <c r="S651" t="str">
        <f t="shared" si="41"/>
        <v>April</v>
      </c>
      <c r="T651" s="2" t="str">
        <f t="shared" si="42"/>
        <v>Q2</v>
      </c>
      <c r="U651" s="2">
        <f t="shared" si="43"/>
        <v>2025</v>
      </c>
    </row>
    <row r="652" spans="1:21" x14ac:dyDescent="0.3">
      <c r="A652" t="s">
        <v>5745</v>
      </c>
      <c r="B652" t="s">
        <v>4508</v>
      </c>
      <c r="C652" t="s">
        <v>5701</v>
      </c>
      <c r="D652" t="s">
        <v>4372</v>
      </c>
      <c r="E652">
        <v>28</v>
      </c>
      <c r="F652" t="s">
        <v>5746</v>
      </c>
      <c r="G652">
        <v>9216572289</v>
      </c>
      <c r="H652" t="s">
        <v>4404</v>
      </c>
      <c r="I652" t="s">
        <v>4405</v>
      </c>
      <c r="J652" t="s">
        <v>4389</v>
      </c>
      <c r="K652">
        <v>1.5</v>
      </c>
      <c r="L652">
        <v>9.5</v>
      </c>
      <c r="M652">
        <v>13</v>
      </c>
      <c r="N652" t="s">
        <v>4390</v>
      </c>
      <c r="O652" t="s">
        <v>4391</v>
      </c>
      <c r="P652" s="1">
        <v>45796</v>
      </c>
      <c r="Q652" t="str">
        <f t="shared" si="40"/>
        <v>10+ Years</v>
      </c>
      <c r="R652" t="str">
        <f>IF(Table7[[#This Row],[Age]]&lt;=25,"20-25",IF(Table7[[#This Row],[Age]]&lt;=30,"26-30",IF(Table7[[#This Row],[Age]]&lt;=35,"31-35","36+")))</f>
        <v>26-30</v>
      </c>
      <c r="S652" t="str">
        <f t="shared" si="41"/>
        <v>May</v>
      </c>
      <c r="T652" s="2" t="str">
        <f t="shared" si="42"/>
        <v>Q2</v>
      </c>
      <c r="U652" s="2">
        <f t="shared" si="43"/>
        <v>2025</v>
      </c>
    </row>
    <row r="653" spans="1:21" x14ac:dyDescent="0.3">
      <c r="A653" t="s">
        <v>1772</v>
      </c>
      <c r="B653" t="s">
        <v>4470</v>
      </c>
      <c r="C653" t="s">
        <v>5236</v>
      </c>
      <c r="D653" t="s">
        <v>4363</v>
      </c>
      <c r="E653">
        <v>32</v>
      </c>
      <c r="F653" t="s">
        <v>5747</v>
      </c>
      <c r="G653">
        <v>9864568063</v>
      </c>
      <c r="H653" t="s">
        <v>4395</v>
      </c>
      <c r="I653" t="s">
        <v>4396</v>
      </c>
      <c r="J653" t="s">
        <v>4450</v>
      </c>
      <c r="K653">
        <v>3.4</v>
      </c>
      <c r="L653">
        <v>12.2</v>
      </c>
      <c r="M653">
        <v>17.100000000000001</v>
      </c>
      <c r="N653" t="s">
        <v>4377</v>
      </c>
      <c r="O653" t="s">
        <v>4391</v>
      </c>
      <c r="P653" s="1">
        <v>45873</v>
      </c>
      <c r="Q653" t="str">
        <f t="shared" si="40"/>
        <v>10+ Years</v>
      </c>
      <c r="R653" t="str">
        <f>IF(Table7[[#This Row],[Age]]&lt;=25,"20-25",IF(Table7[[#This Row],[Age]]&lt;=30,"26-30",IF(Table7[[#This Row],[Age]]&lt;=35,"31-35","36+")))</f>
        <v>31-35</v>
      </c>
      <c r="S653" t="str">
        <f t="shared" si="41"/>
        <v>August</v>
      </c>
      <c r="T653" s="2" t="str">
        <f t="shared" si="42"/>
        <v>Q3</v>
      </c>
      <c r="U653" s="2">
        <f t="shared" si="43"/>
        <v>2025</v>
      </c>
    </row>
    <row r="654" spans="1:21" x14ac:dyDescent="0.3">
      <c r="A654" t="s">
        <v>894</v>
      </c>
      <c r="B654" t="s">
        <v>5734</v>
      </c>
      <c r="C654" t="s">
        <v>5748</v>
      </c>
      <c r="D654" t="s">
        <v>4372</v>
      </c>
      <c r="E654">
        <v>34</v>
      </c>
      <c r="F654" t="s">
        <v>5749</v>
      </c>
      <c r="G654">
        <v>9788683393</v>
      </c>
      <c r="H654" t="s">
        <v>4395</v>
      </c>
      <c r="I654" t="s">
        <v>4396</v>
      </c>
      <c r="J654" t="s">
        <v>4389</v>
      </c>
      <c r="K654">
        <v>0.7</v>
      </c>
      <c r="M654">
        <v>6.2</v>
      </c>
      <c r="N654" t="s">
        <v>4406</v>
      </c>
      <c r="O654" t="s">
        <v>4456</v>
      </c>
      <c r="P654" s="1">
        <v>45783</v>
      </c>
      <c r="Q654" t="str">
        <f t="shared" si="40"/>
        <v>10+ Years</v>
      </c>
      <c r="R654" t="str">
        <f>IF(Table7[[#This Row],[Age]]&lt;=25,"20-25",IF(Table7[[#This Row],[Age]]&lt;=30,"26-30",IF(Table7[[#This Row],[Age]]&lt;=35,"31-35","36+")))</f>
        <v>31-35</v>
      </c>
      <c r="S654" t="str">
        <f t="shared" si="41"/>
        <v>May</v>
      </c>
      <c r="T654" s="2" t="str">
        <f t="shared" si="42"/>
        <v>Q2</v>
      </c>
      <c r="U654" s="2">
        <f t="shared" si="43"/>
        <v>2025</v>
      </c>
    </row>
    <row r="655" spans="1:21" x14ac:dyDescent="0.3">
      <c r="A655" t="s">
        <v>1701</v>
      </c>
      <c r="B655" t="s">
        <v>4566</v>
      </c>
      <c r="C655" t="s">
        <v>5262</v>
      </c>
      <c r="D655" t="s">
        <v>4372</v>
      </c>
      <c r="E655">
        <v>27</v>
      </c>
      <c r="F655" t="s">
        <v>5750</v>
      </c>
      <c r="G655">
        <v>9157873114</v>
      </c>
      <c r="H655" t="s">
        <v>4381</v>
      </c>
      <c r="I655" t="s">
        <v>4382</v>
      </c>
      <c r="J655" t="s">
        <v>4415</v>
      </c>
      <c r="K655">
        <v>5.8</v>
      </c>
      <c r="M655">
        <v>14.2</v>
      </c>
      <c r="N655" t="s">
        <v>4377</v>
      </c>
      <c r="O655" t="s">
        <v>4383</v>
      </c>
      <c r="P655" s="1">
        <v>45715</v>
      </c>
      <c r="Q655" t="str">
        <f t="shared" si="40"/>
        <v>10+ Years</v>
      </c>
      <c r="R655" t="str">
        <f>IF(Table7[[#This Row],[Age]]&lt;=25,"20-25",IF(Table7[[#This Row],[Age]]&lt;=30,"26-30",IF(Table7[[#This Row],[Age]]&lt;=35,"31-35","36+")))</f>
        <v>26-30</v>
      </c>
      <c r="S655" t="str">
        <f t="shared" si="41"/>
        <v>February</v>
      </c>
      <c r="T655" s="2" t="str">
        <f t="shared" si="42"/>
        <v>Q1</v>
      </c>
      <c r="U655" s="2">
        <f t="shared" si="43"/>
        <v>2025</v>
      </c>
    </row>
    <row r="656" spans="1:21" x14ac:dyDescent="0.3">
      <c r="A656" t="s">
        <v>343</v>
      </c>
      <c r="B656" t="s">
        <v>5208</v>
      </c>
      <c r="C656" t="s">
        <v>5303</v>
      </c>
      <c r="D656" t="s">
        <v>4363</v>
      </c>
      <c r="E656">
        <v>30</v>
      </c>
      <c r="F656" t="s">
        <v>5751</v>
      </c>
      <c r="G656">
        <v>9648157247</v>
      </c>
      <c r="H656" t="s">
        <v>4381</v>
      </c>
      <c r="I656" t="s">
        <v>4382</v>
      </c>
      <c r="J656" t="s">
        <v>4608</v>
      </c>
      <c r="K656">
        <v>3.1</v>
      </c>
      <c r="L656">
        <v>7.8</v>
      </c>
      <c r="M656">
        <v>11.3</v>
      </c>
      <c r="N656" t="s">
        <v>4494</v>
      </c>
      <c r="O656" t="s">
        <v>4391</v>
      </c>
      <c r="P656" s="1">
        <v>45753</v>
      </c>
      <c r="Q656" t="str">
        <f t="shared" si="40"/>
        <v>10+ Years</v>
      </c>
      <c r="R656" t="str">
        <f>IF(Table7[[#This Row],[Age]]&lt;=25,"20-25",IF(Table7[[#This Row],[Age]]&lt;=30,"26-30",IF(Table7[[#This Row],[Age]]&lt;=35,"31-35","36+")))</f>
        <v>26-30</v>
      </c>
      <c r="S656" t="str">
        <f t="shared" si="41"/>
        <v>April</v>
      </c>
      <c r="T656" s="2" t="str">
        <f t="shared" si="42"/>
        <v>Q2</v>
      </c>
      <c r="U656" s="2">
        <f t="shared" si="43"/>
        <v>2025</v>
      </c>
    </row>
    <row r="657" spans="1:21" x14ac:dyDescent="0.3">
      <c r="A657" t="s">
        <v>2974</v>
      </c>
      <c r="B657" t="s">
        <v>5166</v>
      </c>
      <c r="C657" t="s">
        <v>5264</v>
      </c>
      <c r="D657" t="s">
        <v>4372</v>
      </c>
      <c r="E657">
        <v>31</v>
      </c>
      <c r="F657" t="s">
        <v>5752</v>
      </c>
      <c r="G657">
        <v>9890004549</v>
      </c>
      <c r="H657" t="s">
        <v>4476</v>
      </c>
      <c r="I657" t="s">
        <v>4477</v>
      </c>
      <c r="J657" t="s">
        <v>4367</v>
      </c>
      <c r="K657">
        <v>0.6</v>
      </c>
      <c r="L657">
        <v>7.7</v>
      </c>
      <c r="M657">
        <v>9.4</v>
      </c>
      <c r="N657" t="s">
        <v>4406</v>
      </c>
      <c r="O657" t="s">
        <v>4369</v>
      </c>
      <c r="P657" s="1">
        <v>45754</v>
      </c>
      <c r="Q657" t="str">
        <f t="shared" si="40"/>
        <v>10+ Years</v>
      </c>
      <c r="R657" t="str">
        <f>IF(Table7[[#This Row],[Age]]&lt;=25,"20-25",IF(Table7[[#This Row],[Age]]&lt;=30,"26-30",IF(Table7[[#This Row],[Age]]&lt;=35,"31-35","36+")))</f>
        <v>31-35</v>
      </c>
      <c r="S657" t="str">
        <f t="shared" si="41"/>
        <v>April</v>
      </c>
      <c r="T657" s="2" t="str">
        <f t="shared" si="42"/>
        <v>Q2</v>
      </c>
      <c r="U657" s="2">
        <f t="shared" si="43"/>
        <v>2025</v>
      </c>
    </row>
    <row r="658" spans="1:21" x14ac:dyDescent="0.3">
      <c r="A658" t="s">
        <v>2220</v>
      </c>
      <c r="B658" t="s">
        <v>4416</v>
      </c>
      <c r="C658" t="s">
        <v>4674</v>
      </c>
      <c r="D658" t="s">
        <v>4372</v>
      </c>
      <c r="E658">
        <v>35</v>
      </c>
      <c r="F658" t="s">
        <v>5753</v>
      </c>
      <c r="G658">
        <v>9824068563</v>
      </c>
      <c r="H658" t="s">
        <v>4521</v>
      </c>
      <c r="I658" t="s">
        <v>4522</v>
      </c>
      <c r="J658" t="s">
        <v>4376</v>
      </c>
      <c r="K658">
        <v>3.7</v>
      </c>
      <c r="L658">
        <v>16.399999999999999</v>
      </c>
      <c r="M658">
        <v>20</v>
      </c>
      <c r="O658" t="s">
        <v>4485</v>
      </c>
      <c r="P658" s="1">
        <v>45781</v>
      </c>
      <c r="Q658" t="str">
        <f t="shared" si="40"/>
        <v>10+ Years</v>
      </c>
      <c r="R658" t="str">
        <f>IF(Table7[[#This Row],[Age]]&lt;=25,"20-25",IF(Table7[[#This Row],[Age]]&lt;=30,"26-30",IF(Table7[[#This Row],[Age]]&lt;=35,"31-35","36+")))</f>
        <v>31-35</v>
      </c>
      <c r="S658" t="str">
        <f t="shared" si="41"/>
        <v>May</v>
      </c>
      <c r="T658" s="2" t="str">
        <f t="shared" si="42"/>
        <v>Q2</v>
      </c>
      <c r="U658" s="2">
        <f t="shared" si="43"/>
        <v>2025</v>
      </c>
    </row>
    <row r="659" spans="1:21" x14ac:dyDescent="0.3">
      <c r="A659" t="s">
        <v>404</v>
      </c>
      <c r="B659" t="s">
        <v>4500</v>
      </c>
      <c r="C659" t="s">
        <v>4434</v>
      </c>
      <c r="D659" t="s">
        <v>4372</v>
      </c>
      <c r="E659">
        <v>26</v>
      </c>
      <c r="F659" t="s">
        <v>5754</v>
      </c>
      <c r="G659">
        <v>9929209250</v>
      </c>
      <c r="H659" t="s">
        <v>4521</v>
      </c>
      <c r="I659" t="s">
        <v>4522</v>
      </c>
      <c r="J659" t="s">
        <v>4450</v>
      </c>
      <c r="K659">
        <v>4.5999999999999996</v>
      </c>
      <c r="L659">
        <v>7.7</v>
      </c>
      <c r="M659">
        <v>8.9</v>
      </c>
      <c r="N659" t="s">
        <v>4390</v>
      </c>
      <c r="O659" t="s">
        <v>4383</v>
      </c>
      <c r="P659" s="1">
        <v>45966</v>
      </c>
      <c r="Q659" t="str">
        <f t="shared" si="40"/>
        <v>10+ Years</v>
      </c>
      <c r="R659" t="str">
        <f>IF(Table7[[#This Row],[Age]]&lt;=25,"20-25",IF(Table7[[#This Row],[Age]]&lt;=30,"26-30",IF(Table7[[#This Row],[Age]]&lt;=35,"31-35","36+")))</f>
        <v>26-30</v>
      </c>
      <c r="S659" t="str">
        <f t="shared" si="41"/>
        <v>November</v>
      </c>
      <c r="T659" s="2" t="str">
        <f t="shared" si="42"/>
        <v>Q4</v>
      </c>
      <c r="U659" s="2">
        <f t="shared" si="43"/>
        <v>2025</v>
      </c>
    </row>
    <row r="660" spans="1:21" x14ac:dyDescent="0.3">
      <c r="A660" t="s">
        <v>5755</v>
      </c>
      <c r="B660" t="s">
        <v>4517</v>
      </c>
      <c r="C660" t="s">
        <v>4486</v>
      </c>
      <c r="D660" t="s">
        <v>4372</v>
      </c>
      <c r="E660">
        <v>33</v>
      </c>
      <c r="F660" t="s">
        <v>5756</v>
      </c>
      <c r="G660">
        <v>9231363363</v>
      </c>
      <c r="H660" t="s">
        <v>4365</v>
      </c>
      <c r="I660" t="s">
        <v>4366</v>
      </c>
      <c r="J660" t="s">
        <v>4367</v>
      </c>
      <c r="K660">
        <v>5</v>
      </c>
      <c r="L660">
        <v>14</v>
      </c>
      <c r="M660">
        <v>17.100000000000001</v>
      </c>
      <c r="N660" t="s">
        <v>4390</v>
      </c>
      <c r="O660" t="s">
        <v>4391</v>
      </c>
      <c r="P660" s="1">
        <v>45774</v>
      </c>
      <c r="Q660" t="str">
        <f t="shared" si="40"/>
        <v>10+ Years</v>
      </c>
      <c r="R660" t="str">
        <f>IF(Table7[[#This Row],[Age]]&lt;=25,"20-25",IF(Table7[[#This Row],[Age]]&lt;=30,"26-30",IF(Table7[[#This Row],[Age]]&lt;=35,"31-35","36+")))</f>
        <v>31-35</v>
      </c>
      <c r="S660" t="str">
        <f t="shared" si="41"/>
        <v>April</v>
      </c>
      <c r="T660" s="2" t="str">
        <f t="shared" si="42"/>
        <v>Q2</v>
      </c>
      <c r="U660" s="2">
        <f t="shared" si="43"/>
        <v>2025</v>
      </c>
    </row>
    <row r="661" spans="1:21" x14ac:dyDescent="0.3">
      <c r="A661" t="s">
        <v>5757</v>
      </c>
      <c r="B661" t="s">
        <v>4474</v>
      </c>
      <c r="C661" t="s">
        <v>5758</v>
      </c>
      <c r="D661" t="s">
        <v>4372</v>
      </c>
      <c r="E661">
        <v>21</v>
      </c>
      <c r="F661" t="s">
        <v>5759</v>
      </c>
      <c r="G661">
        <v>9358104726</v>
      </c>
      <c r="H661" t="s">
        <v>4395</v>
      </c>
      <c r="I661" t="s">
        <v>4396</v>
      </c>
      <c r="J661" t="s">
        <v>4446</v>
      </c>
      <c r="K661">
        <v>3.7</v>
      </c>
      <c r="L661">
        <v>12.9</v>
      </c>
      <c r="M661">
        <v>15.5</v>
      </c>
      <c r="N661" t="s">
        <v>4390</v>
      </c>
      <c r="O661" t="s">
        <v>4391</v>
      </c>
      <c r="P661" s="1">
        <v>45677</v>
      </c>
      <c r="Q661" t="str">
        <f t="shared" si="40"/>
        <v>10+ Years</v>
      </c>
      <c r="R661" t="str">
        <f>IF(Table7[[#This Row],[Age]]&lt;=25,"20-25",IF(Table7[[#This Row],[Age]]&lt;=30,"26-30",IF(Table7[[#This Row],[Age]]&lt;=35,"31-35","36+")))</f>
        <v>20-25</v>
      </c>
      <c r="S661" t="str">
        <f t="shared" si="41"/>
        <v>January</v>
      </c>
      <c r="T661" s="2" t="str">
        <f t="shared" si="42"/>
        <v>Q1</v>
      </c>
      <c r="U661" s="2">
        <f t="shared" si="43"/>
        <v>2025</v>
      </c>
    </row>
    <row r="662" spans="1:21" x14ac:dyDescent="0.3">
      <c r="A662" t="s">
        <v>1355</v>
      </c>
      <c r="B662" t="s">
        <v>4715</v>
      </c>
      <c r="C662" t="s">
        <v>5760</v>
      </c>
      <c r="D662" t="s">
        <v>4372</v>
      </c>
      <c r="E662">
        <v>26</v>
      </c>
      <c r="F662" t="s">
        <v>5761</v>
      </c>
      <c r="G662">
        <v>9970224136</v>
      </c>
      <c r="H662" t="s">
        <v>4454</v>
      </c>
      <c r="I662" t="s">
        <v>4455</v>
      </c>
      <c r="J662" t="s">
        <v>4432</v>
      </c>
      <c r="K662">
        <v>5.5</v>
      </c>
      <c r="L662">
        <v>10.4</v>
      </c>
      <c r="M662">
        <v>14.3</v>
      </c>
      <c r="N662" t="s">
        <v>4390</v>
      </c>
      <c r="O662" t="s">
        <v>4419</v>
      </c>
      <c r="P662" s="1">
        <v>45685</v>
      </c>
      <c r="Q662" t="str">
        <f t="shared" si="40"/>
        <v>10+ Years</v>
      </c>
      <c r="R662" t="str">
        <f>IF(Table7[[#This Row],[Age]]&lt;=25,"20-25",IF(Table7[[#This Row],[Age]]&lt;=30,"26-30",IF(Table7[[#This Row],[Age]]&lt;=35,"31-35","36+")))</f>
        <v>26-30</v>
      </c>
      <c r="S662" t="str">
        <f t="shared" si="41"/>
        <v>January</v>
      </c>
      <c r="T662" s="2" t="str">
        <f t="shared" si="42"/>
        <v>Q1</v>
      </c>
      <c r="U662" s="2">
        <f t="shared" si="43"/>
        <v>2025</v>
      </c>
    </row>
    <row r="663" spans="1:21" x14ac:dyDescent="0.3">
      <c r="A663" t="s">
        <v>2979</v>
      </c>
      <c r="B663" t="s">
        <v>4935</v>
      </c>
      <c r="C663" t="s">
        <v>4642</v>
      </c>
      <c r="D663" t="s">
        <v>4363</v>
      </c>
      <c r="E663">
        <v>28</v>
      </c>
      <c r="F663" t="s">
        <v>5762</v>
      </c>
      <c r="G663">
        <v>9344631035</v>
      </c>
      <c r="H663" t="s">
        <v>4521</v>
      </c>
      <c r="I663" t="s">
        <v>4522</v>
      </c>
      <c r="J663" t="s">
        <v>4376</v>
      </c>
      <c r="K663">
        <v>2.6</v>
      </c>
      <c r="M663">
        <v>16</v>
      </c>
      <c r="N663" t="s">
        <v>4377</v>
      </c>
      <c r="O663" t="s">
        <v>4383</v>
      </c>
      <c r="P663" s="1">
        <v>45856</v>
      </c>
      <c r="Q663" t="str">
        <f t="shared" si="40"/>
        <v>10+ Years</v>
      </c>
      <c r="R663" t="str">
        <f>IF(Table7[[#This Row],[Age]]&lt;=25,"20-25",IF(Table7[[#This Row],[Age]]&lt;=30,"26-30",IF(Table7[[#This Row],[Age]]&lt;=35,"31-35","36+")))</f>
        <v>26-30</v>
      </c>
      <c r="S663" t="str">
        <f t="shared" si="41"/>
        <v>July</v>
      </c>
      <c r="T663" s="2" t="str">
        <f t="shared" si="42"/>
        <v>Q3</v>
      </c>
      <c r="U663" s="2">
        <f t="shared" si="43"/>
        <v>2025</v>
      </c>
    </row>
    <row r="664" spans="1:21" x14ac:dyDescent="0.3">
      <c r="A664" t="s">
        <v>315</v>
      </c>
      <c r="B664" t="s">
        <v>5051</v>
      </c>
      <c r="C664" t="s">
        <v>5763</v>
      </c>
      <c r="D664" t="s">
        <v>4372</v>
      </c>
      <c r="E664">
        <v>27</v>
      </c>
      <c r="F664" t="s">
        <v>5764</v>
      </c>
      <c r="G664">
        <v>9379159503</v>
      </c>
      <c r="H664" t="s">
        <v>4473</v>
      </c>
      <c r="I664" t="s">
        <v>4473</v>
      </c>
      <c r="K664">
        <v>10.6</v>
      </c>
      <c r="L664">
        <v>19</v>
      </c>
      <c r="M664">
        <v>24</v>
      </c>
      <c r="N664" t="s">
        <v>4494</v>
      </c>
      <c r="O664" t="s">
        <v>4369</v>
      </c>
      <c r="P664" s="1">
        <v>45894</v>
      </c>
      <c r="Q664" t="str">
        <f t="shared" si="40"/>
        <v>10+ Years</v>
      </c>
      <c r="R664" t="str">
        <f>IF(Table7[[#This Row],[Age]]&lt;=25,"20-25",IF(Table7[[#This Row],[Age]]&lt;=30,"26-30",IF(Table7[[#This Row],[Age]]&lt;=35,"31-35","36+")))</f>
        <v>26-30</v>
      </c>
      <c r="S664" t="str">
        <f t="shared" si="41"/>
        <v>August</v>
      </c>
      <c r="T664" s="2" t="str">
        <f t="shared" si="42"/>
        <v>Q3</v>
      </c>
      <c r="U664" s="2">
        <f t="shared" si="43"/>
        <v>2025</v>
      </c>
    </row>
    <row r="665" spans="1:21" x14ac:dyDescent="0.3">
      <c r="A665" t="s">
        <v>550</v>
      </c>
      <c r="B665" t="s">
        <v>4648</v>
      </c>
      <c r="C665" t="s">
        <v>5765</v>
      </c>
      <c r="D665" t="s">
        <v>4363</v>
      </c>
      <c r="E665">
        <v>30</v>
      </c>
      <c r="F665" t="s">
        <v>5766</v>
      </c>
      <c r="G665">
        <v>9102299670</v>
      </c>
      <c r="H665" t="s">
        <v>4445</v>
      </c>
      <c r="I665" t="s">
        <v>4396</v>
      </c>
      <c r="J665" t="s">
        <v>4367</v>
      </c>
      <c r="K665">
        <v>3.4</v>
      </c>
      <c r="L665">
        <v>7.2</v>
      </c>
      <c r="M665">
        <v>8.3000000000000007</v>
      </c>
      <c r="N665" t="s">
        <v>4390</v>
      </c>
      <c r="O665" t="s">
        <v>4391</v>
      </c>
      <c r="P665" s="1">
        <v>45917</v>
      </c>
      <c r="Q665" t="str">
        <f t="shared" si="40"/>
        <v>10+ Years</v>
      </c>
      <c r="R665" t="str">
        <f>IF(Table7[[#This Row],[Age]]&lt;=25,"20-25",IF(Table7[[#This Row],[Age]]&lt;=30,"26-30",IF(Table7[[#This Row],[Age]]&lt;=35,"31-35","36+")))</f>
        <v>26-30</v>
      </c>
      <c r="S665" t="str">
        <f t="shared" si="41"/>
        <v>September</v>
      </c>
      <c r="T665" s="2" t="str">
        <f t="shared" si="42"/>
        <v>Q3</v>
      </c>
      <c r="U665" s="2">
        <f t="shared" si="43"/>
        <v>2025</v>
      </c>
    </row>
    <row r="666" spans="1:21" x14ac:dyDescent="0.3">
      <c r="A666" t="s">
        <v>1374</v>
      </c>
      <c r="B666" t="s">
        <v>5531</v>
      </c>
      <c r="C666" t="s">
        <v>5767</v>
      </c>
      <c r="D666" t="s">
        <v>4372</v>
      </c>
      <c r="E666">
        <v>33</v>
      </c>
      <c r="F666" t="s">
        <v>5768</v>
      </c>
      <c r="G666">
        <v>9473497520</v>
      </c>
      <c r="H666" t="s">
        <v>4374</v>
      </c>
      <c r="I666" t="s">
        <v>4375</v>
      </c>
      <c r="J666" t="s">
        <v>4482</v>
      </c>
      <c r="K666">
        <v>5</v>
      </c>
      <c r="L666">
        <v>9.1</v>
      </c>
      <c r="M666">
        <v>12.3</v>
      </c>
      <c r="N666" t="s">
        <v>4406</v>
      </c>
      <c r="O666" t="s">
        <v>4383</v>
      </c>
      <c r="P666" s="1">
        <v>45716</v>
      </c>
      <c r="Q666" t="str">
        <f t="shared" si="40"/>
        <v>10+ Years</v>
      </c>
      <c r="R666" t="str">
        <f>IF(Table7[[#This Row],[Age]]&lt;=25,"20-25",IF(Table7[[#This Row],[Age]]&lt;=30,"26-30",IF(Table7[[#This Row],[Age]]&lt;=35,"31-35","36+")))</f>
        <v>31-35</v>
      </c>
      <c r="S666" t="str">
        <f t="shared" si="41"/>
        <v>February</v>
      </c>
      <c r="T666" s="2" t="str">
        <f t="shared" si="42"/>
        <v>Q1</v>
      </c>
      <c r="U666" s="2">
        <f t="shared" si="43"/>
        <v>2025</v>
      </c>
    </row>
    <row r="667" spans="1:21" x14ac:dyDescent="0.3">
      <c r="A667" t="s">
        <v>697</v>
      </c>
      <c r="B667" t="s">
        <v>5769</v>
      </c>
      <c r="C667" t="s">
        <v>4980</v>
      </c>
      <c r="D667" t="s">
        <v>4372</v>
      </c>
      <c r="E667">
        <v>29</v>
      </c>
      <c r="F667" t="s">
        <v>5770</v>
      </c>
      <c r="G667">
        <v>9324967128</v>
      </c>
      <c r="H667" t="s">
        <v>4365</v>
      </c>
      <c r="I667" t="s">
        <v>4366</v>
      </c>
      <c r="J667" t="s">
        <v>4446</v>
      </c>
      <c r="K667">
        <v>6.1</v>
      </c>
      <c r="L667">
        <v>15.6</v>
      </c>
      <c r="M667">
        <v>19.3</v>
      </c>
      <c r="N667" t="s">
        <v>4368</v>
      </c>
      <c r="O667" t="s">
        <v>4383</v>
      </c>
      <c r="P667" s="1">
        <v>45946</v>
      </c>
      <c r="Q667" t="str">
        <f t="shared" si="40"/>
        <v>10+ Years</v>
      </c>
      <c r="R667" t="str">
        <f>IF(Table7[[#This Row],[Age]]&lt;=25,"20-25",IF(Table7[[#This Row],[Age]]&lt;=30,"26-30",IF(Table7[[#This Row],[Age]]&lt;=35,"31-35","36+")))</f>
        <v>26-30</v>
      </c>
      <c r="S667" t="str">
        <f t="shared" si="41"/>
        <v>October</v>
      </c>
      <c r="T667" s="2" t="str">
        <f t="shared" si="42"/>
        <v>Q4</v>
      </c>
      <c r="U667" s="2">
        <f t="shared" si="43"/>
        <v>2025</v>
      </c>
    </row>
    <row r="668" spans="1:21" x14ac:dyDescent="0.3">
      <c r="A668" t="s">
        <v>1733</v>
      </c>
      <c r="B668" t="s">
        <v>4901</v>
      </c>
      <c r="C668" t="s">
        <v>5771</v>
      </c>
      <c r="D668" t="s">
        <v>4372</v>
      </c>
      <c r="E668">
        <v>36</v>
      </c>
      <c r="F668" t="s">
        <v>5772</v>
      </c>
      <c r="G668">
        <v>9190682393</v>
      </c>
      <c r="H668" t="s">
        <v>4521</v>
      </c>
      <c r="I668" t="s">
        <v>4522</v>
      </c>
      <c r="J668" t="s">
        <v>4618</v>
      </c>
      <c r="K668">
        <v>4.3</v>
      </c>
      <c r="L668">
        <v>9</v>
      </c>
      <c r="M668">
        <v>11.2</v>
      </c>
      <c r="N668" t="s">
        <v>4406</v>
      </c>
      <c r="O668" t="s">
        <v>4456</v>
      </c>
      <c r="P668" s="1">
        <v>45930</v>
      </c>
      <c r="Q668" t="str">
        <f t="shared" si="40"/>
        <v>10+ Years</v>
      </c>
      <c r="R668" t="str">
        <f>IF(Table7[[#This Row],[Age]]&lt;=25,"20-25",IF(Table7[[#This Row],[Age]]&lt;=30,"26-30",IF(Table7[[#This Row],[Age]]&lt;=35,"31-35","36+")))</f>
        <v>36+</v>
      </c>
      <c r="S668" t="str">
        <f t="shared" si="41"/>
        <v>September</v>
      </c>
      <c r="T668" s="2" t="str">
        <f t="shared" si="42"/>
        <v>Q3</v>
      </c>
      <c r="U668" s="2">
        <f t="shared" si="43"/>
        <v>2025</v>
      </c>
    </row>
    <row r="669" spans="1:21" x14ac:dyDescent="0.3">
      <c r="A669" t="s">
        <v>1511</v>
      </c>
      <c r="B669" t="s">
        <v>5361</v>
      </c>
      <c r="C669" t="s">
        <v>5773</v>
      </c>
      <c r="D669" t="s">
        <v>4363</v>
      </c>
      <c r="E669">
        <v>31</v>
      </c>
      <c r="F669" t="s">
        <v>5774</v>
      </c>
      <c r="G669">
        <v>9452656667</v>
      </c>
      <c r="H669" t="s">
        <v>4395</v>
      </c>
      <c r="I669" t="s">
        <v>4396</v>
      </c>
      <c r="J669" t="s">
        <v>4446</v>
      </c>
      <c r="K669">
        <v>4.7</v>
      </c>
      <c r="L669">
        <v>13</v>
      </c>
      <c r="M669">
        <v>16</v>
      </c>
      <c r="N669" t="s">
        <v>4390</v>
      </c>
      <c r="O669" t="s">
        <v>4419</v>
      </c>
      <c r="P669" s="1">
        <v>45842</v>
      </c>
      <c r="Q669" t="str">
        <f t="shared" si="40"/>
        <v>10+ Years</v>
      </c>
      <c r="R669" t="str">
        <f>IF(Table7[[#This Row],[Age]]&lt;=25,"20-25",IF(Table7[[#This Row],[Age]]&lt;=30,"26-30",IF(Table7[[#This Row],[Age]]&lt;=35,"31-35","36+")))</f>
        <v>31-35</v>
      </c>
      <c r="S669" t="str">
        <f t="shared" si="41"/>
        <v>July</v>
      </c>
      <c r="T669" s="2" t="str">
        <f t="shared" si="42"/>
        <v>Q3</v>
      </c>
      <c r="U669" s="2">
        <f t="shared" si="43"/>
        <v>2025</v>
      </c>
    </row>
    <row r="670" spans="1:21" x14ac:dyDescent="0.3">
      <c r="A670" t="s">
        <v>1107</v>
      </c>
      <c r="B670" t="s">
        <v>5110</v>
      </c>
      <c r="C670" t="s">
        <v>4504</v>
      </c>
      <c r="D670" t="s">
        <v>4372</v>
      </c>
      <c r="E670">
        <v>30</v>
      </c>
      <c r="F670" t="s">
        <v>5775</v>
      </c>
      <c r="G670">
        <v>9273927726</v>
      </c>
      <c r="H670" t="s">
        <v>4395</v>
      </c>
      <c r="I670" t="s">
        <v>4396</v>
      </c>
      <c r="J670" t="s">
        <v>4367</v>
      </c>
      <c r="K670">
        <v>1.3</v>
      </c>
      <c r="L670">
        <v>3.3</v>
      </c>
      <c r="M670">
        <v>4.3</v>
      </c>
      <c r="N670" t="s">
        <v>4390</v>
      </c>
      <c r="O670" t="s">
        <v>4369</v>
      </c>
      <c r="P670" s="1">
        <v>45746</v>
      </c>
      <c r="Q670" t="str">
        <f t="shared" si="40"/>
        <v>10+ Years</v>
      </c>
      <c r="R670" t="str">
        <f>IF(Table7[[#This Row],[Age]]&lt;=25,"20-25",IF(Table7[[#This Row],[Age]]&lt;=30,"26-30",IF(Table7[[#This Row],[Age]]&lt;=35,"31-35","36+")))</f>
        <v>26-30</v>
      </c>
      <c r="S670" t="str">
        <f t="shared" si="41"/>
        <v>March</v>
      </c>
      <c r="T670" s="2" t="str">
        <f t="shared" si="42"/>
        <v>Q1</v>
      </c>
      <c r="U670" s="2">
        <f t="shared" si="43"/>
        <v>2025</v>
      </c>
    </row>
    <row r="671" spans="1:21" x14ac:dyDescent="0.3">
      <c r="A671" t="s">
        <v>1348</v>
      </c>
      <c r="B671" t="s">
        <v>5543</v>
      </c>
      <c r="C671" t="s">
        <v>5776</v>
      </c>
      <c r="D671" t="s">
        <v>4363</v>
      </c>
      <c r="E671">
        <v>30</v>
      </c>
      <c r="F671" t="s">
        <v>5777</v>
      </c>
      <c r="G671">
        <v>9276734200</v>
      </c>
      <c r="H671" t="s">
        <v>4506</v>
      </c>
      <c r="I671" t="s">
        <v>4507</v>
      </c>
      <c r="J671" t="s">
        <v>4450</v>
      </c>
      <c r="K671">
        <v>1</v>
      </c>
      <c r="L671">
        <v>5.0999999999999996</v>
      </c>
      <c r="M671">
        <v>7.1</v>
      </c>
      <c r="N671" t="s">
        <v>4406</v>
      </c>
      <c r="O671" t="s">
        <v>4391</v>
      </c>
      <c r="P671" s="1">
        <v>45822</v>
      </c>
      <c r="Q671" t="str">
        <f t="shared" si="40"/>
        <v>10+ Years</v>
      </c>
      <c r="R671" t="str">
        <f>IF(Table7[[#This Row],[Age]]&lt;=25,"20-25",IF(Table7[[#This Row],[Age]]&lt;=30,"26-30",IF(Table7[[#This Row],[Age]]&lt;=35,"31-35","36+")))</f>
        <v>26-30</v>
      </c>
      <c r="S671" t="str">
        <f t="shared" si="41"/>
        <v>June</v>
      </c>
      <c r="T671" s="2" t="str">
        <f t="shared" si="42"/>
        <v>Q2</v>
      </c>
      <c r="U671" s="2">
        <f t="shared" si="43"/>
        <v>2025</v>
      </c>
    </row>
    <row r="672" spans="1:21" x14ac:dyDescent="0.3">
      <c r="A672" t="s">
        <v>3522</v>
      </c>
      <c r="B672" t="s">
        <v>4578</v>
      </c>
      <c r="C672" t="s">
        <v>5778</v>
      </c>
      <c r="D672" t="s">
        <v>4363</v>
      </c>
      <c r="E672">
        <v>21</v>
      </c>
      <c r="F672" t="s">
        <v>5779</v>
      </c>
      <c r="G672">
        <v>9145287227</v>
      </c>
      <c r="H672" t="s">
        <v>4491</v>
      </c>
      <c r="I672" t="s">
        <v>4491</v>
      </c>
      <c r="J672" t="s">
        <v>4376</v>
      </c>
      <c r="K672">
        <v>0.1</v>
      </c>
      <c r="L672">
        <v>2.5</v>
      </c>
      <c r="M672">
        <v>3.5</v>
      </c>
      <c r="N672" t="s">
        <v>4390</v>
      </c>
      <c r="O672" t="s">
        <v>4369</v>
      </c>
      <c r="P672" s="1">
        <v>45747</v>
      </c>
      <c r="Q672" t="str">
        <f t="shared" si="40"/>
        <v>10+ Years</v>
      </c>
      <c r="R672" t="str">
        <f>IF(Table7[[#This Row],[Age]]&lt;=25,"20-25",IF(Table7[[#This Row],[Age]]&lt;=30,"26-30",IF(Table7[[#This Row],[Age]]&lt;=35,"31-35","36+")))</f>
        <v>20-25</v>
      </c>
      <c r="S672" t="str">
        <f t="shared" si="41"/>
        <v>March</v>
      </c>
      <c r="T672" s="2" t="str">
        <f t="shared" si="42"/>
        <v>Q1</v>
      </c>
      <c r="U672" s="2">
        <f t="shared" si="43"/>
        <v>2025</v>
      </c>
    </row>
    <row r="673" spans="1:21" x14ac:dyDescent="0.3">
      <c r="A673" t="s">
        <v>929</v>
      </c>
      <c r="B673" t="s">
        <v>5780</v>
      </c>
      <c r="C673" t="s">
        <v>4600</v>
      </c>
      <c r="D673" t="s">
        <v>4363</v>
      </c>
      <c r="E673">
        <v>32</v>
      </c>
      <c r="F673" t="s">
        <v>5781</v>
      </c>
      <c r="G673">
        <v>9971084232</v>
      </c>
      <c r="H673" t="s">
        <v>4395</v>
      </c>
      <c r="I673" t="s">
        <v>4396</v>
      </c>
      <c r="J673" t="s">
        <v>4415</v>
      </c>
      <c r="K673">
        <v>0.4</v>
      </c>
      <c r="L673">
        <v>2.5</v>
      </c>
      <c r="M673">
        <v>3.4</v>
      </c>
      <c r="N673" t="s">
        <v>4377</v>
      </c>
      <c r="O673" t="s">
        <v>4456</v>
      </c>
      <c r="P673" s="1">
        <v>45818</v>
      </c>
      <c r="Q673" t="str">
        <f t="shared" si="40"/>
        <v>10+ Years</v>
      </c>
      <c r="R673" t="str">
        <f>IF(Table7[[#This Row],[Age]]&lt;=25,"20-25",IF(Table7[[#This Row],[Age]]&lt;=30,"26-30",IF(Table7[[#This Row],[Age]]&lt;=35,"31-35","36+")))</f>
        <v>31-35</v>
      </c>
      <c r="S673" t="str">
        <f t="shared" si="41"/>
        <v>June</v>
      </c>
      <c r="T673" s="2" t="str">
        <f t="shared" si="42"/>
        <v>Q2</v>
      </c>
      <c r="U673" s="2">
        <f t="shared" si="43"/>
        <v>2025</v>
      </c>
    </row>
    <row r="674" spans="1:21" x14ac:dyDescent="0.3">
      <c r="A674" t="s">
        <v>3895</v>
      </c>
      <c r="B674" t="s">
        <v>5559</v>
      </c>
      <c r="C674" t="s">
        <v>5053</v>
      </c>
      <c r="D674" t="s">
        <v>4372</v>
      </c>
      <c r="E674">
        <v>31</v>
      </c>
      <c r="F674" t="s">
        <v>5782</v>
      </c>
      <c r="G674">
        <v>9243894095</v>
      </c>
      <c r="H674" t="s">
        <v>4404</v>
      </c>
      <c r="I674" t="s">
        <v>4405</v>
      </c>
      <c r="J674" t="s">
        <v>4415</v>
      </c>
      <c r="K674">
        <v>3</v>
      </c>
      <c r="L674">
        <v>5.3</v>
      </c>
      <c r="M674">
        <v>7</v>
      </c>
      <c r="O674" t="s">
        <v>4391</v>
      </c>
      <c r="P674" s="1">
        <v>46005</v>
      </c>
      <c r="Q674" t="str">
        <f t="shared" si="40"/>
        <v>10+ Years</v>
      </c>
      <c r="R674" t="str">
        <f>IF(Table7[[#This Row],[Age]]&lt;=25,"20-25",IF(Table7[[#This Row],[Age]]&lt;=30,"26-30",IF(Table7[[#This Row],[Age]]&lt;=35,"31-35","36+")))</f>
        <v>31-35</v>
      </c>
      <c r="S674" t="str">
        <f t="shared" si="41"/>
        <v>December</v>
      </c>
      <c r="T674" s="2" t="str">
        <f t="shared" si="42"/>
        <v>Q4</v>
      </c>
      <c r="U674" s="2">
        <f t="shared" si="43"/>
        <v>2025</v>
      </c>
    </row>
    <row r="675" spans="1:21" x14ac:dyDescent="0.3">
      <c r="A675" t="s">
        <v>3587</v>
      </c>
      <c r="B675" t="s">
        <v>4664</v>
      </c>
      <c r="C675" t="s">
        <v>4440</v>
      </c>
      <c r="D675" t="s">
        <v>4372</v>
      </c>
      <c r="E675">
        <v>32</v>
      </c>
      <c r="F675" t="s">
        <v>5783</v>
      </c>
      <c r="G675">
        <v>9945572943</v>
      </c>
      <c r="H675" t="s">
        <v>4473</v>
      </c>
      <c r="I675" t="s">
        <v>4473</v>
      </c>
      <c r="J675" t="s">
        <v>4450</v>
      </c>
      <c r="K675">
        <v>0.1</v>
      </c>
      <c r="L675">
        <v>8.9</v>
      </c>
      <c r="M675">
        <v>12.4</v>
      </c>
      <c r="N675" t="s">
        <v>4390</v>
      </c>
      <c r="O675" t="s">
        <v>4400</v>
      </c>
      <c r="P675" s="1">
        <v>45821</v>
      </c>
      <c r="Q675" t="str">
        <f t="shared" si="40"/>
        <v>10+ Years</v>
      </c>
      <c r="R675" t="str">
        <f>IF(Table7[[#This Row],[Age]]&lt;=25,"20-25",IF(Table7[[#This Row],[Age]]&lt;=30,"26-30",IF(Table7[[#This Row],[Age]]&lt;=35,"31-35","36+")))</f>
        <v>31-35</v>
      </c>
      <c r="S675" t="str">
        <f t="shared" si="41"/>
        <v>June</v>
      </c>
      <c r="T675" s="2" t="str">
        <f t="shared" si="42"/>
        <v>Q2</v>
      </c>
      <c r="U675" s="2">
        <f t="shared" si="43"/>
        <v>2025</v>
      </c>
    </row>
    <row r="676" spans="1:21" x14ac:dyDescent="0.3">
      <c r="A676" t="s">
        <v>297</v>
      </c>
      <c r="B676" t="s">
        <v>5669</v>
      </c>
      <c r="C676" t="s">
        <v>5784</v>
      </c>
      <c r="D676" t="s">
        <v>4363</v>
      </c>
      <c r="E676">
        <v>22</v>
      </c>
      <c r="F676" t="s">
        <v>5785</v>
      </c>
      <c r="G676">
        <v>9490858564</v>
      </c>
      <c r="H676" t="s">
        <v>4491</v>
      </c>
      <c r="I676" t="s">
        <v>4491</v>
      </c>
      <c r="J676" t="s">
        <v>4415</v>
      </c>
      <c r="K676">
        <v>7.3</v>
      </c>
      <c r="L676">
        <v>12.6</v>
      </c>
      <c r="M676">
        <v>18.100000000000001</v>
      </c>
      <c r="N676" t="s">
        <v>4377</v>
      </c>
      <c r="O676" t="s">
        <v>4456</v>
      </c>
      <c r="P676" s="1">
        <v>45712</v>
      </c>
      <c r="Q676" t="str">
        <f t="shared" si="40"/>
        <v>10+ Years</v>
      </c>
      <c r="R676" t="str">
        <f>IF(Table7[[#This Row],[Age]]&lt;=25,"20-25",IF(Table7[[#This Row],[Age]]&lt;=30,"26-30",IF(Table7[[#This Row],[Age]]&lt;=35,"31-35","36+")))</f>
        <v>20-25</v>
      </c>
      <c r="S676" t="str">
        <f t="shared" si="41"/>
        <v>February</v>
      </c>
      <c r="T676" s="2" t="str">
        <f t="shared" si="42"/>
        <v>Q1</v>
      </c>
      <c r="U676" s="2">
        <f t="shared" si="43"/>
        <v>2025</v>
      </c>
    </row>
    <row r="677" spans="1:21" x14ac:dyDescent="0.3">
      <c r="A677" t="s">
        <v>475</v>
      </c>
      <c r="B677" t="s">
        <v>5225</v>
      </c>
      <c r="C677" t="s">
        <v>4492</v>
      </c>
      <c r="D677" t="s">
        <v>4372</v>
      </c>
      <c r="E677">
        <v>28</v>
      </c>
      <c r="F677" t="s">
        <v>5786</v>
      </c>
      <c r="G677">
        <v>9135641484</v>
      </c>
      <c r="H677" t="s">
        <v>4521</v>
      </c>
      <c r="I677" t="s">
        <v>4522</v>
      </c>
      <c r="J677" t="s">
        <v>4450</v>
      </c>
      <c r="K677">
        <v>4.5999999999999996</v>
      </c>
      <c r="L677">
        <v>7.9</v>
      </c>
      <c r="M677">
        <v>11.4</v>
      </c>
      <c r="N677" t="s">
        <v>4390</v>
      </c>
      <c r="O677" t="s">
        <v>4369</v>
      </c>
      <c r="P677" s="1">
        <v>45693</v>
      </c>
      <c r="Q677" t="str">
        <f t="shared" si="40"/>
        <v>10+ Years</v>
      </c>
      <c r="R677" t="str">
        <f>IF(Table7[[#This Row],[Age]]&lt;=25,"20-25",IF(Table7[[#This Row],[Age]]&lt;=30,"26-30",IF(Table7[[#This Row],[Age]]&lt;=35,"31-35","36+")))</f>
        <v>26-30</v>
      </c>
      <c r="S677" t="str">
        <f t="shared" si="41"/>
        <v>February</v>
      </c>
      <c r="T677" s="2" t="str">
        <f t="shared" si="42"/>
        <v>Q1</v>
      </c>
      <c r="U677" s="2">
        <f t="shared" si="43"/>
        <v>2025</v>
      </c>
    </row>
    <row r="678" spans="1:21" x14ac:dyDescent="0.3">
      <c r="A678" t="s">
        <v>2226</v>
      </c>
      <c r="B678" t="s">
        <v>4568</v>
      </c>
      <c r="C678" t="s">
        <v>4526</v>
      </c>
      <c r="D678" t="s">
        <v>4372</v>
      </c>
      <c r="E678">
        <v>30</v>
      </c>
      <c r="F678" t="s">
        <v>5787</v>
      </c>
      <c r="G678">
        <v>9125089547</v>
      </c>
      <c r="H678" t="s">
        <v>4410</v>
      </c>
      <c r="I678" t="s">
        <v>4411</v>
      </c>
      <c r="J678" t="s">
        <v>4376</v>
      </c>
      <c r="K678">
        <v>5</v>
      </c>
      <c r="L678">
        <v>14.4</v>
      </c>
      <c r="M678">
        <v>17.2</v>
      </c>
      <c r="N678" t="s">
        <v>4406</v>
      </c>
      <c r="O678" t="s">
        <v>4400</v>
      </c>
      <c r="P678" s="1">
        <v>45890</v>
      </c>
      <c r="Q678" t="str">
        <f t="shared" si="40"/>
        <v>10+ Years</v>
      </c>
      <c r="R678" t="str">
        <f>IF(Table7[[#This Row],[Age]]&lt;=25,"20-25",IF(Table7[[#This Row],[Age]]&lt;=30,"26-30",IF(Table7[[#This Row],[Age]]&lt;=35,"31-35","36+")))</f>
        <v>26-30</v>
      </c>
      <c r="S678" t="str">
        <f t="shared" si="41"/>
        <v>August</v>
      </c>
      <c r="T678" s="2" t="str">
        <f t="shared" si="42"/>
        <v>Q3</v>
      </c>
      <c r="U678" s="2">
        <f t="shared" si="43"/>
        <v>2025</v>
      </c>
    </row>
    <row r="679" spans="1:21" x14ac:dyDescent="0.3">
      <c r="A679" t="s">
        <v>1804</v>
      </c>
      <c r="B679" t="s">
        <v>4565</v>
      </c>
      <c r="C679" t="s">
        <v>4371</v>
      </c>
      <c r="D679" t="s">
        <v>4372</v>
      </c>
      <c r="E679">
        <v>25</v>
      </c>
      <c r="F679" t="s">
        <v>5788</v>
      </c>
      <c r="G679">
        <v>9318009325</v>
      </c>
      <c r="H679" t="s">
        <v>4476</v>
      </c>
      <c r="I679" t="s">
        <v>4477</v>
      </c>
      <c r="J679" t="s">
        <v>4450</v>
      </c>
      <c r="K679">
        <v>1</v>
      </c>
      <c r="M679">
        <v>4.7</v>
      </c>
      <c r="N679" t="s">
        <v>4406</v>
      </c>
      <c r="O679" t="s">
        <v>4391</v>
      </c>
      <c r="P679" s="1">
        <v>45691</v>
      </c>
      <c r="Q679" t="str">
        <f t="shared" si="40"/>
        <v>10+ Years</v>
      </c>
      <c r="R679" t="str">
        <f>IF(Table7[[#This Row],[Age]]&lt;=25,"20-25",IF(Table7[[#This Row],[Age]]&lt;=30,"26-30",IF(Table7[[#This Row],[Age]]&lt;=35,"31-35","36+")))</f>
        <v>20-25</v>
      </c>
      <c r="S679" t="str">
        <f t="shared" si="41"/>
        <v>February</v>
      </c>
      <c r="T679" s="2" t="str">
        <f t="shared" si="42"/>
        <v>Q1</v>
      </c>
      <c r="U679" s="2">
        <f t="shared" si="43"/>
        <v>2025</v>
      </c>
    </row>
    <row r="680" spans="1:21" x14ac:dyDescent="0.3">
      <c r="A680" t="s">
        <v>1459</v>
      </c>
      <c r="B680" t="s">
        <v>4622</v>
      </c>
      <c r="C680" t="s">
        <v>5038</v>
      </c>
      <c r="D680" t="s">
        <v>4363</v>
      </c>
      <c r="E680">
        <v>26</v>
      </c>
      <c r="F680" t="s">
        <v>5789</v>
      </c>
      <c r="G680">
        <v>9770176299</v>
      </c>
      <c r="H680" t="s">
        <v>4404</v>
      </c>
      <c r="I680" t="s">
        <v>4405</v>
      </c>
      <c r="J680" t="s">
        <v>4367</v>
      </c>
      <c r="K680">
        <v>1.6</v>
      </c>
      <c r="L680">
        <v>3.1</v>
      </c>
      <c r="M680">
        <v>3.6</v>
      </c>
      <c r="N680" t="s">
        <v>4368</v>
      </c>
      <c r="O680" t="s">
        <v>4369</v>
      </c>
      <c r="P680" s="1">
        <v>45702</v>
      </c>
      <c r="Q680" t="str">
        <f t="shared" si="40"/>
        <v>10+ Years</v>
      </c>
      <c r="R680" t="str">
        <f>IF(Table7[[#This Row],[Age]]&lt;=25,"20-25",IF(Table7[[#This Row],[Age]]&lt;=30,"26-30",IF(Table7[[#This Row],[Age]]&lt;=35,"31-35","36+")))</f>
        <v>26-30</v>
      </c>
      <c r="S680" t="str">
        <f t="shared" si="41"/>
        <v>February</v>
      </c>
      <c r="T680" s="2" t="str">
        <f t="shared" si="42"/>
        <v>Q1</v>
      </c>
      <c r="U680" s="2">
        <f t="shared" si="43"/>
        <v>2025</v>
      </c>
    </row>
    <row r="681" spans="1:21" x14ac:dyDescent="0.3">
      <c r="A681" t="s">
        <v>2158</v>
      </c>
      <c r="B681" t="s">
        <v>5476</v>
      </c>
      <c r="C681" t="s">
        <v>4719</v>
      </c>
      <c r="D681" t="s">
        <v>4363</v>
      </c>
      <c r="E681">
        <v>26</v>
      </c>
      <c r="F681" t="s">
        <v>5790</v>
      </c>
      <c r="G681">
        <v>9747373623</v>
      </c>
      <c r="H681" t="s">
        <v>4473</v>
      </c>
      <c r="I681" t="s">
        <v>4473</v>
      </c>
      <c r="J681" t="s">
        <v>4618</v>
      </c>
      <c r="K681">
        <v>6.9</v>
      </c>
      <c r="L681">
        <v>16.8</v>
      </c>
      <c r="M681">
        <v>21.9</v>
      </c>
      <c r="N681" t="s">
        <v>4406</v>
      </c>
      <c r="O681" t="s">
        <v>4369</v>
      </c>
      <c r="P681" s="1">
        <v>45804</v>
      </c>
      <c r="Q681" t="str">
        <f t="shared" si="40"/>
        <v>10+ Years</v>
      </c>
      <c r="R681" t="str">
        <f>IF(Table7[[#This Row],[Age]]&lt;=25,"20-25",IF(Table7[[#This Row],[Age]]&lt;=30,"26-30",IF(Table7[[#This Row],[Age]]&lt;=35,"31-35","36+")))</f>
        <v>26-30</v>
      </c>
      <c r="S681" t="str">
        <f t="shared" si="41"/>
        <v>May</v>
      </c>
      <c r="T681" s="2" t="str">
        <f t="shared" si="42"/>
        <v>Q2</v>
      </c>
      <c r="U681" s="2">
        <f t="shared" si="43"/>
        <v>2025</v>
      </c>
    </row>
    <row r="682" spans="1:21" x14ac:dyDescent="0.3">
      <c r="A682" t="s">
        <v>5791</v>
      </c>
      <c r="B682" t="s">
        <v>5792</v>
      </c>
      <c r="C682" t="s">
        <v>5062</v>
      </c>
      <c r="D682" t="s">
        <v>4372</v>
      </c>
      <c r="E682">
        <v>32</v>
      </c>
      <c r="F682" t="s">
        <v>5793</v>
      </c>
      <c r="G682">
        <v>9810013440</v>
      </c>
      <c r="H682" t="s">
        <v>4374</v>
      </c>
      <c r="I682" t="s">
        <v>4375</v>
      </c>
      <c r="J682" t="s">
        <v>4415</v>
      </c>
      <c r="K682">
        <v>2.8</v>
      </c>
      <c r="L682">
        <v>10.6</v>
      </c>
      <c r="M682">
        <v>14</v>
      </c>
      <c r="N682" t="s">
        <v>4377</v>
      </c>
      <c r="O682" t="s">
        <v>4391</v>
      </c>
      <c r="P682" s="1">
        <v>45935</v>
      </c>
      <c r="Q682" t="str">
        <f t="shared" si="40"/>
        <v>10+ Years</v>
      </c>
      <c r="R682" t="str">
        <f>IF(Table7[[#This Row],[Age]]&lt;=25,"20-25",IF(Table7[[#This Row],[Age]]&lt;=30,"26-30",IF(Table7[[#This Row],[Age]]&lt;=35,"31-35","36+")))</f>
        <v>31-35</v>
      </c>
      <c r="S682" t="str">
        <f t="shared" si="41"/>
        <v>October</v>
      </c>
      <c r="T682" s="2" t="str">
        <f t="shared" si="42"/>
        <v>Q4</v>
      </c>
      <c r="U682" s="2">
        <f t="shared" si="43"/>
        <v>2025</v>
      </c>
    </row>
    <row r="683" spans="1:21" x14ac:dyDescent="0.3">
      <c r="A683" t="s">
        <v>1879</v>
      </c>
      <c r="B683" t="s">
        <v>5794</v>
      </c>
      <c r="C683" t="s">
        <v>5795</v>
      </c>
      <c r="D683" t="s">
        <v>4372</v>
      </c>
      <c r="E683">
        <v>24</v>
      </c>
      <c r="F683" t="s">
        <v>5796</v>
      </c>
      <c r="G683">
        <v>9990691819</v>
      </c>
      <c r="H683" t="s">
        <v>4365</v>
      </c>
      <c r="I683" t="s">
        <v>4366</v>
      </c>
      <c r="J683" t="s">
        <v>4450</v>
      </c>
      <c r="K683">
        <v>4.7</v>
      </c>
      <c r="L683">
        <v>15.7</v>
      </c>
      <c r="M683">
        <v>18.7</v>
      </c>
      <c r="N683" t="s">
        <v>4368</v>
      </c>
      <c r="O683" t="s">
        <v>4419</v>
      </c>
      <c r="P683" s="1">
        <v>45919</v>
      </c>
      <c r="Q683" t="str">
        <f t="shared" si="40"/>
        <v>10+ Years</v>
      </c>
      <c r="R683" t="str">
        <f>IF(Table7[[#This Row],[Age]]&lt;=25,"20-25",IF(Table7[[#This Row],[Age]]&lt;=30,"26-30",IF(Table7[[#This Row],[Age]]&lt;=35,"31-35","36+")))</f>
        <v>20-25</v>
      </c>
      <c r="S683" t="str">
        <f t="shared" si="41"/>
        <v>September</v>
      </c>
      <c r="T683" s="2" t="str">
        <f t="shared" si="42"/>
        <v>Q3</v>
      </c>
      <c r="U683" s="2">
        <f t="shared" si="43"/>
        <v>2025</v>
      </c>
    </row>
    <row r="684" spans="1:21" x14ac:dyDescent="0.3">
      <c r="A684" t="s">
        <v>443</v>
      </c>
      <c r="B684" t="s">
        <v>4547</v>
      </c>
      <c r="C684" t="s">
        <v>5516</v>
      </c>
      <c r="D684" t="s">
        <v>4372</v>
      </c>
      <c r="E684">
        <v>33</v>
      </c>
      <c r="F684" t="s">
        <v>5797</v>
      </c>
      <c r="G684">
        <v>9428152006</v>
      </c>
      <c r="H684" t="s">
        <v>4381</v>
      </c>
      <c r="I684" t="s">
        <v>4382</v>
      </c>
      <c r="J684" t="s">
        <v>4367</v>
      </c>
      <c r="K684">
        <v>8.1</v>
      </c>
      <c r="L684">
        <v>14.3</v>
      </c>
      <c r="M684">
        <v>16.5</v>
      </c>
      <c r="O684" t="s">
        <v>4400</v>
      </c>
      <c r="P684" s="1">
        <v>45894</v>
      </c>
      <c r="Q684" t="str">
        <f t="shared" si="40"/>
        <v>10+ Years</v>
      </c>
      <c r="R684" t="str">
        <f>IF(Table7[[#This Row],[Age]]&lt;=25,"20-25",IF(Table7[[#This Row],[Age]]&lt;=30,"26-30",IF(Table7[[#This Row],[Age]]&lt;=35,"31-35","36+")))</f>
        <v>31-35</v>
      </c>
      <c r="S684" t="str">
        <f t="shared" si="41"/>
        <v>August</v>
      </c>
      <c r="T684" s="2" t="str">
        <f t="shared" si="42"/>
        <v>Q3</v>
      </c>
      <c r="U684" s="2">
        <f t="shared" si="43"/>
        <v>2025</v>
      </c>
    </row>
    <row r="685" spans="1:21" x14ac:dyDescent="0.3">
      <c r="A685" t="s">
        <v>5798</v>
      </c>
      <c r="B685" t="s">
        <v>4563</v>
      </c>
      <c r="C685" t="s">
        <v>5290</v>
      </c>
      <c r="D685" t="s">
        <v>4372</v>
      </c>
      <c r="E685">
        <v>25</v>
      </c>
      <c r="F685" t="s">
        <v>5799</v>
      </c>
      <c r="G685">
        <v>9620461650</v>
      </c>
      <c r="H685" t="s">
        <v>4410</v>
      </c>
      <c r="I685" t="s">
        <v>4411</v>
      </c>
      <c r="J685" t="s">
        <v>4376</v>
      </c>
      <c r="K685">
        <v>0.8</v>
      </c>
      <c r="L685">
        <v>14.7</v>
      </c>
      <c r="M685">
        <v>20.2</v>
      </c>
      <c r="N685" t="s">
        <v>4377</v>
      </c>
      <c r="O685" t="s">
        <v>4456</v>
      </c>
      <c r="P685" s="1">
        <v>45863</v>
      </c>
      <c r="Q685" t="str">
        <f t="shared" si="40"/>
        <v>10+ Years</v>
      </c>
      <c r="R685" t="str">
        <f>IF(Table7[[#This Row],[Age]]&lt;=25,"20-25",IF(Table7[[#This Row],[Age]]&lt;=30,"26-30",IF(Table7[[#This Row],[Age]]&lt;=35,"31-35","36+")))</f>
        <v>20-25</v>
      </c>
      <c r="S685" t="str">
        <f t="shared" si="41"/>
        <v>July</v>
      </c>
      <c r="T685" s="2" t="str">
        <f t="shared" si="42"/>
        <v>Q3</v>
      </c>
      <c r="U685" s="2">
        <f t="shared" si="43"/>
        <v>2025</v>
      </c>
    </row>
    <row r="686" spans="1:21" x14ac:dyDescent="0.3">
      <c r="A686" t="s">
        <v>5800</v>
      </c>
      <c r="B686" t="s">
        <v>5801</v>
      </c>
      <c r="C686" t="s">
        <v>5057</v>
      </c>
      <c r="D686" t="s">
        <v>4372</v>
      </c>
      <c r="E686">
        <v>38</v>
      </c>
      <c r="F686" t="s">
        <v>5802</v>
      </c>
      <c r="G686">
        <v>9632834239</v>
      </c>
      <c r="H686" t="s">
        <v>4404</v>
      </c>
      <c r="I686" t="s">
        <v>4405</v>
      </c>
      <c r="J686" t="s">
        <v>4450</v>
      </c>
      <c r="K686">
        <v>5.7</v>
      </c>
      <c r="L686">
        <v>11</v>
      </c>
      <c r="M686">
        <v>15.7</v>
      </c>
      <c r="N686" t="s">
        <v>4368</v>
      </c>
      <c r="O686" t="s">
        <v>4400</v>
      </c>
      <c r="P686" s="1">
        <v>45875</v>
      </c>
      <c r="Q686" t="str">
        <f t="shared" si="40"/>
        <v>10+ Years</v>
      </c>
      <c r="R686" t="str">
        <f>IF(Table7[[#This Row],[Age]]&lt;=25,"20-25",IF(Table7[[#This Row],[Age]]&lt;=30,"26-30",IF(Table7[[#This Row],[Age]]&lt;=35,"31-35","36+")))</f>
        <v>36+</v>
      </c>
      <c r="S686" t="str">
        <f t="shared" si="41"/>
        <v>August</v>
      </c>
      <c r="T686" s="2" t="str">
        <f t="shared" si="42"/>
        <v>Q3</v>
      </c>
      <c r="U686" s="2">
        <f t="shared" si="43"/>
        <v>2025</v>
      </c>
    </row>
    <row r="687" spans="1:21" x14ac:dyDescent="0.3">
      <c r="A687" t="s">
        <v>2326</v>
      </c>
      <c r="B687" t="s">
        <v>4731</v>
      </c>
      <c r="C687" t="s">
        <v>5803</v>
      </c>
      <c r="D687" t="s">
        <v>4363</v>
      </c>
      <c r="E687">
        <v>32</v>
      </c>
      <c r="F687" t="s">
        <v>5804</v>
      </c>
      <c r="G687">
        <v>9644181702</v>
      </c>
      <c r="H687" t="s">
        <v>4365</v>
      </c>
      <c r="I687" t="s">
        <v>4366</v>
      </c>
      <c r="J687" t="s">
        <v>4389</v>
      </c>
      <c r="K687">
        <v>11.5</v>
      </c>
      <c r="L687">
        <v>16.5</v>
      </c>
      <c r="M687">
        <v>19.600000000000001</v>
      </c>
      <c r="N687" t="s">
        <v>4390</v>
      </c>
      <c r="O687" t="s">
        <v>4391</v>
      </c>
      <c r="P687" s="1">
        <v>45706</v>
      </c>
      <c r="Q687" t="str">
        <f t="shared" si="40"/>
        <v>10+ Years</v>
      </c>
      <c r="R687" t="str">
        <f>IF(Table7[[#This Row],[Age]]&lt;=25,"20-25",IF(Table7[[#This Row],[Age]]&lt;=30,"26-30",IF(Table7[[#This Row],[Age]]&lt;=35,"31-35","36+")))</f>
        <v>31-35</v>
      </c>
      <c r="S687" t="str">
        <f t="shared" si="41"/>
        <v>February</v>
      </c>
      <c r="T687" s="2" t="str">
        <f t="shared" si="42"/>
        <v>Q1</v>
      </c>
      <c r="U687" s="2">
        <f t="shared" si="43"/>
        <v>2025</v>
      </c>
    </row>
    <row r="688" spans="1:21" x14ac:dyDescent="0.3">
      <c r="A688" t="s">
        <v>3428</v>
      </c>
      <c r="B688" t="s">
        <v>4582</v>
      </c>
      <c r="C688" t="s">
        <v>4480</v>
      </c>
      <c r="D688" t="s">
        <v>4372</v>
      </c>
      <c r="E688">
        <v>35</v>
      </c>
      <c r="F688" t="s">
        <v>5805</v>
      </c>
      <c r="G688">
        <v>9782481197</v>
      </c>
      <c r="H688" t="s">
        <v>4445</v>
      </c>
      <c r="I688" t="s">
        <v>4396</v>
      </c>
      <c r="J688" t="s">
        <v>4415</v>
      </c>
      <c r="K688">
        <v>1</v>
      </c>
      <c r="L688">
        <v>8.1</v>
      </c>
      <c r="M688">
        <v>10.1</v>
      </c>
      <c r="N688" t="s">
        <v>4390</v>
      </c>
      <c r="O688" t="s">
        <v>4369</v>
      </c>
      <c r="P688" s="1">
        <v>45881</v>
      </c>
      <c r="Q688" t="str">
        <f t="shared" si="40"/>
        <v>10+ Years</v>
      </c>
      <c r="R688" t="str">
        <f>IF(Table7[[#This Row],[Age]]&lt;=25,"20-25",IF(Table7[[#This Row],[Age]]&lt;=30,"26-30",IF(Table7[[#This Row],[Age]]&lt;=35,"31-35","36+")))</f>
        <v>31-35</v>
      </c>
      <c r="S688" t="str">
        <f t="shared" si="41"/>
        <v>August</v>
      </c>
      <c r="T688" s="2" t="str">
        <f t="shared" si="42"/>
        <v>Q3</v>
      </c>
      <c r="U688" s="2">
        <f t="shared" si="43"/>
        <v>2025</v>
      </c>
    </row>
    <row r="689" spans="1:21" x14ac:dyDescent="0.3">
      <c r="A689" t="s">
        <v>5806</v>
      </c>
      <c r="B689" t="s">
        <v>5281</v>
      </c>
      <c r="C689" t="s">
        <v>5084</v>
      </c>
      <c r="D689" t="s">
        <v>4363</v>
      </c>
      <c r="E689">
        <v>27</v>
      </c>
      <c r="F689" t="s">
        <v>5807</v>
      </c>
      <c r="G689">
        <v>9372649044</v>
      </c>
      <c r="H689" t="s">
        <v>4473</v>
      </c>
      <c r="I689" t="s">
        <v>4473</v>
      </c>
      <c r="J689" t="s">
        <v>4446</v>
      </c>
      <c r="K689">
        <v>5.9</v>
      </c>
      <c r="L689">
        <v>11</v>
      </c>
      <c r="M689">
        <v>14.3</v>
      </c>
      <c r="N689" t="s">
        <v>4390</v>
      </c>
      <c r="O689" t="s">
        <v>4383</v>
      </c>
      <c r="P689" s="1">
        <v>45722</v>
      </c>
      <c r="Q689" t="str">
        <f t="shared" si="40"/>
        <v>10+ Years</v>
      </c>
      <c r="R689" t="str">
        <f>IF(Table7[[#This Row],[Age]]&lt;=25,"20-25",IF(Table7[[#This Row],[Age]]&lt;=30,"26-30",IF(Table7[[#This Row],[Age]]&lt;=35,"31-35","36+")))</f>
        <v>26-30</v>
      </c>
      <c r="S689" t="str">
        <f t="shared" si="41"/>
        <v>March</v>
      </c>
      <c r="T689" s="2" t="str">
        <f t="shared" si="42"/>
        <v>Q1</v>
      </c>
      <c r="U689" s="2">
        <f t="shared" si="43"/>
        <v>2025</v>
      </c>
    </row>
    <row r="690" spans="1:21" x14ac:dyDescent="0.3">
      <c r="A690" t="s">
        <v>902</v>
      </c>
      <c r="B690" t="s">
        <v>5808</v>
      </c>
      <c r="C690" t="s">
        <v>5809</v>
      </c>
      <c r="D690" t="s">
        <v>4363</v>
      </c>
      <c r="E690">
        <v>35</v>
      </c>
      <c r="F690" t="s">
        <v>5810</v>
      </c>
      <c r="G690">
        <v>9413595724</v>
      </c>
      <c r="H690" t="s">
        <v>4395</v>
      </c>
      <c r="I690" t="s">
        <v>4396</v>
      </c>
      <c r="J690" t="s">
        <v>4446</v>
      </c>
      <c r="K690">
        <v>3.5</v>
      </c>
      <c r="M690">
        <v>12</v>
      </c>
      <c r="O690" t="s">
        <v>4400</v>
      </c>
      <c r="P690" s="1">
        <v>45881</v>
      </c>
      <c r="Q690" t="str">
        <f t="shared" si="40"/>
        <v>10+ Years</v>
      </c>
      <c r="R690" t="str">
        <f>IF(Table7[[#This Row],[Age]]&lt;=25,"20-25",IF(Table7[[#This Row],[Age]]&lt;=30,"26-30",IF(Table7[[#This Row],[Age]]&lt;=35,"31-35","36+")))</f>
        <v>31-35</v>
      </c>
      <c r="S690" t="str">
        <f t="shared" si="41"/>
        <v>August</v>
      </c>
      <c r="T690" s="2" t="str">
        <f t="shared" si="42"/>
        <v>Q3</v>
      </c>
      <c r="U690" s="2">
        <f t="shared" si="43"/>
        <v>2025</v>
      </c>
    </row>
    <row r="691" spans="1:21" x14ac:dyDescent="0.3">
      <c r="A691" t="s">
        <v>449</v>
      </c>
      <c r="B691" t="s">
        <v>5502</v>
      </c>
      <c r="C691" t="s">
        <v>4532</v>
      </c>
      <c r="D691" t="s">
        <v>4363</v>
      </c>
      <c r="E691">
        <v>34</v>
      </c>
      <c r="F691" t="s">
        <v>5811</v>
      </c>
      <c r="G691">
        <v>9569000304</v>
      </c>
      <c r="H691" t="s">
        <v>4365</v>
      </c>
      <c r="I691" t="s">
        <v>4366</v>
      </c>
      <c r="J691" t="s">
        <v>4446</v>
      </c>
      <c r="K691">
        <v>0.1</v>
      </c>
      <c r="L691">
        <v>10.7</v>
      </c>
      <c r="M691">
        <v>12.5</v>
      </c>
      <c r="N691" t="s">
        <v>4368</v>
      </c>
      <c r="O691" t="s">
        <v>4485</v>
      </c>
      <c r="P691" s="1">
        <v>45820</v>
      </c>
      <c r="Q691" t="str">
        <f t="shared" si="40"/>
        <v>10+ Years</v>
      </c>
      <c r="R691" t="str">
        <f>IF(Table7[[#This Row],[Age]]&lt;=25,"20-25",IF(Table7[[#This Row],[Age]]&lt;=30,"26-30",IF(Table7[[#This Row],[Age]]&lt;=35,"31-35","36+")))</f>
        <v>31-35</v>
      </c>
      <c r="S691" t="str">
        <f t="shared" si="41"/>
        <v>June</v>
      </c>
      <c r="T691" s="2" t="str">
        <f t="shared" si="42"/>
        <v>Q2</v>
      </c>
      <c r="U691" s="2">
        <f t="shared" si="43"/>
        <v>2025</v>
      </c>
    </row>
    <row r="692" spans="1:21" x14ac:dyDescent="0.3">
      <c r="A692" t="s">
        <v>3059</v>
      </c>
      <c r="B692" t="s">
        <v>4436</v>
      </c>
      <c r="C692" t="s">
        <v>5812</v>
      </c>
      <c r="D692" t="s">
        <v>4372</v>
      </c>
      <c r="E692">
        <v>24</v>
      </c>
      <c r="F692" t="s">
        <v>5813</v>
      </c>
      <c r="G692">
        <v>9516602593</v>
      </c>
      <c r="H692" t="s">
        <v>4454</v>
      </c>
      <c r="I692" t="s">
        <v>4455</v>
      </c>
      <c r="J692" t="s">
        <v>4367</v>
      </c>
      <c r="K692">
        <v>2</v>
      </c>
      <c r="L692">
        <v>8.8000000000000007</v>
      </c>
      <c r="M692">
        <v>10.4</v>
      </c>
      <c r="N692" t="s">
        <v>4390</v>
      </c>
      <c r="O692" t="s">
        <v>4369</v>
      </c>
      <c r="P692" s="1">
        <v>45901</v>
      </c>
      <c r="Q692" t="str">
        <f t="shared" si="40"/>
        <v>10+ Years</v>
      </c>
      <c r="R692" t="str">
        <f>IF(Table7[[#This Row],[Age]]&lt;=25,"20-25",IF(Table7[[#This Row],[Age]]&lt;=30,"26-30",IF(Table7[[#This Row],[Age]]&lt;=35,"31-35","36+")))</f>
        <v>20-25</v>
      </c>
      <c r="S692" t="str">
        <f t="shared" si="41"/>
        <v>September</v>
      </c>
      <c r="T692" s="2" t="str">
        <f t="shared" si="42"/>
        <v>Q3</v>
      </c>
      <c r="U692" s="2">
        <f t="shared" si="43"/>
        <v>2025</v>
      </c>
    </row>
    <row r="693" spans="1:21" x14ac:dyDescent="0.3">
      <c r="A693" t="s">
        <v>2569</v>
      </c>
      <c r="B693" t="s">
        <v>5814</v>
      </c>
      <c r="C693" t="s">
        <v>4908</v>
      </c>
      <c r="D693" t="s">
        <v>4363</v>
      </c>
      <c r="E693">
        <v>25</v>
      </c>
      <c r="F693" t="s">
        <v>5815</v>
      </c>
      <c r="G693">
        <v>9572093283</v>
      </c>
      <c r="H693" t="s">
        <v>4395</v>
      </c>
      <c r="I693" t="s">
        <v>4396</v>
      </c>
      <c r="J693" t="s">
        <v>4415</v>
      </c>
      <c r="K693">
        <v>7.5</v>
      </c>
      <c r="L693">
        <v>10.9</v>
      </c>
      <c r="M693">
        <v>15.2</v>
      </c>
      <c r="N693" t="s">
        <v>4406</v>
      </c>
      <c r="O693" t="s">
        <v>4485</v>
      </c>
      <c r="P693" s="1">
        <v>45760</v>
      </c>
      <c r="Q693" t="str">
        <f t="shared" si="40"/>
        <v>10+ Years</v>
      </c>
      <c r="R693" t="str">
        <f>IF(Table7[[#This Row],[Age]]&lt;=25,"20-25",IF(Table7[[#This Row],[Age]]&lt;=30,"26-30",IF(Table7[[#This Row],[Age]]&lt;=35,"31-35","36+")))</f>
        <v>20-25</v>
      </c>
      <c r="S693" t="str">
        <f t="shared" si="41"/>
        <v>April</v>
      </c>
      <c r="T693" s="2" t="str">
        <f t="shared" si="42"/>
        <v>Q2</v>
      </c>
      <c r="U693" s="2">
        <f t="shared" si="43"/>
        <v>2025</v>
      </c>
    </row>
    <row r="694" spans="1:21" x14ac:dyDescent="0.3">
      <c r="A694" t="s">
        <v>1017</v>
      </c>
      <c r="B694" t="s">
        <v>5816</v>
      </c>
      <c r="C694" t="s">
        <v>4434</v>
      </c>
      <c r="D694" t="s">
        <v>4372</v>
      </c>
      <c r="E694">
        <v>32</v>
      </c>
      <c r="F694" t="s">
        <v>5817</v>
      </c>
      <c r="G694">
        <v>9793674796</v>
      </c>
      <c r="H694" t="s">
        <v>4521</v>
      </c>
      <c r="I694" t="s">
        <v>4522</v>
      </c>
      <c r="J694" t="s">
        <v>4367</v>
      </c>
      <c r="K694">
        <v>6.5</v>
      </c>
      <c r="L694">
        <v>11.8</v>
      </c>
      <c r="M694">
        <v>14.9</v>
      </c>
      <c r="N694" t="s">
        <v>4377</v>
      </c>
      <c r="O694" t="s">
        <v>4419</v>
      </c>
      <c r="P694" s="1">
        <v>45980</v>
      </c>
      <c r="Q694" t="str">
        <f t="shared" si="40"/>
        <v>10+ Years</v>
      </c>
      <c r="R694" t="str">
        <f>IF(Table7[[#This Row],[Age]]&lt;=25,"20-25",IF(Table7[[#This Row],[Age]]&lt;=30,"26-30",IF(Table7[[#This Row],[Age]]&lt;=35,"31-35","36+")))</f>
        <v>31-35</v>
      </c>
      <c r="S694" t="str">
        <f t="shared" si="41"/>
        <v>November</v>
      </c>
      <c r="T694" s="2" t="str">
        <f t="shared" si="42"/>
        <v>Q4</v>
      </c>
      <c r="U694" s="2">
        <f t="shared" si="43"/>
        <v>2025</v>
      </c>
    </row>
    <row r="695" spans="1:21" x14ac:dyDescent="0.3">
      <c r="A695" t="s">
        <v>5818</v>
      </c>
      <c r="B695" t="s">
        <v>4528</v>
      </c>
      <c r="C695" t="s">
        <v>4480</v>
      </c>
      <c r="D695" t="s">
        <v>4363</v>
      </c>
      <c r="E695">
        <v>27</v>
      </c>
      <c r="F695" t="s">
        <v>5819</v>
      </c>
      <c r="G695">
        <v>9715078127</v>
      </c>
      <c r="H695" t="s">
        <v>4395</v>
      </c>
      <c r="I695" t="s">
        <v>4396</v>
      </c>
      <c r="J695" t="s">
        <v>4376</v>
      </c>
      <c r="K695">
        <v>1.1000000000000001</v>
      </c>
      <c r="L695">
        <v>9.1</v>
      </c>
      <c r="M695">
        <v>11.3</v>
      </c>
      <c r="N695" t="s">
        <v>4390</v>
      </c>
      <c r="O695" t="s">
        <v>4369</v>
      </c>
      <c r="P695" s="1">
        <v>45987</v>
      </c>
      <c r="Q695" t="str">
        <f t="shared" si="40"/>
        <v>10+ Years</v>
      </c>
      <c r="R695" t="str">
        <f>IF(Table7[[#This Row],[Age]]&lt;=25,"20-25",IF(Table7[[#This Row],[Age]]&lt;=30,"26-30",IF(Table7[[#This Row],[Age]]&lt;=35,"31-35","36+")))</f>
        <v>26-30</v>
      </c>
      <c r="S695" t="str">
        <f t="shared" si="41"/>
        <v>November</v>
      </c>
      <c r="T695" s="2" t="str">
        <f t="shared" si="42"/>
        <v>Q4</v>
      </c>
      <c r="U695" s="2">
        <f t="shared" si="43"/>
        <v>2025</v>
      </c>
    </row>
    <row r="696" spans="1:21" x14ac:dyDescent="0.3">
      <c r="A696" t="s">
        <v>552</v>
      </c>
      <c r="B696" t="s">
        <v>5049</v>
      </c>
      <c r="C696" t="s">
        <v>4996</v>
      </c>
      <c r="D696" t="s">
        <v>4372</v>
      </c>
      <c r="E696">
        <v>30</v>
      </c>
      <c r="F696" t="s">
        <v>5820</v>
      </c>
      <c r="G696">
        <v>9264697678</v>
      </c>
      <c r="H696" t="s">
        <v>4454</v>
      </c>
      <c r="I696" t="s">
        <v>4455</v>
      </c>
      <c r="K696">
        <v>12.1</v>
      </c>
      <c r="L696">
        <v>18.600000000000001</v>
      </c>
      <c r="M696">
        <v>25.3</v>
      </c>
      <c r="N696" t="s">
        <v>4406</v>
      </c>
      <c r="O696" t="s">
        <v>4400</v>
      </c>
      <c r="P696" s="1">
        <v>45683</v>
      </c>
      <c r="Q696" t="str">
        <f t="shared" si="40"/>
        <v>10+ Years</v>
      </c>
      <c r="R696" t="str">
        <f>IF(Table7[[#This Row],[Age]]&lt;=25,"20-25",IF(Table7[[#This Row],[Age]]&lt;=30,"26-30",IF(Table7[[#This Row],[Age]]&lt;=35,"31-35","36+")))</f>
        <v>26-30</v>
      </c>
      <c r="S696" t="str">
        <f t="shared" si="41"/>
        <v>January</v>
      </c>
      <c r="T696" s="2" t="str">
        <f t="shared" si="42"/>
        <v>Q1</v>
      </c>
      <c r="U696" s="2">
        <f t="shared" si="43"/>
        <v>2025</v>
      </c>
    </row>
    <row r="697" spans="1:21" x14ac:dyDescent="0.3">
      <c r="A697" t="s">
        <v>2938</v>
      </c>
      <c r="B697" t="s">
        <v>4582</v>
      </c>
      <c r="C697" t="s">
        <v>5821</v>
      </c>
      <c r="D697" t="s">
        <v>4372</v>
      </c>
      <c r="E697">
        <v>26</v>
      </c>
      <c r="F697" t="s">
        <v>5822</v>
      </c>
      <c r="G697">
        <v>9190263417</v>
      </c>
      <c r="H697" t="s">
        <v>4454</v>
      </c>
      <c r="I697" t="s">
        <v>4455</v>
      </c>
      <c r="J697" t="s">
        <v>4432</v>
      </c>
      <c r="K697">
        <v>1.9</v>
      </c>
      <c r="L697">
        <v>4.8</v>
      </c>
      <c r="M697">
        <v>5.5</v>
      </c>
      <c r="O697" t="s">
        <v>4369</v>
      </c>
      <c r="P697" s="1">
        <v>45811</v>
      </c>
      <c r="Q697" t="str">
        <f t="shared" si="40"/>
        <v>10+ Years</v>
      </c>
      <c r="R697" t="str">
        <f>IF(Table7[[#This Row],[Age]]&lt;=25,"20-25",IF(Table7[[#This Row],[Age]]&lt;=30,"26-30",IF(Table7[[#This Row],[Age]]&lt;=35,"31-35","36+")))</f>
        <v>26-30</v>
      </c>
      <c r="S697" t="str">
        <f t="shared" si="41"/>
        <v>June</v>
      </c>
      <c r="T697" s="2" t="str">
        <f t="shared" si="42"/>
        <v>Q2</v>
      </c>
      <c r="U697" s="2">
        <f t="shared" si="43"/>
        <v>2025</v>
      </c>
    </row>
    <row r="698" spans="1:21" x14ac:dyDescent="0.3">
      <c r="A698" t="s">
        <v>26</v>
      </c>
      <c r="B698" t="s">
        <v>5153</v>
      </c>
      <c r="C698" t="s">
        <v>5159</v>
      </c>
      <c r="D698" t="s">
        <v>4363</v>
      </c>
      <c r="E698">
        <v>28</v>
      </c>
      <c r="F698" t="s">
        <v>5823</v>
      </c>
      <c r="G698">
        <v>9498944657</v>
      </c>
      <c r="H698" t="s">
        <v>4365</v>
      </c>
      <c r="I698" t="s">
        <v>4366</v>
      </c>
      <c r="J698" t="s">
        <v>4389</v>
      </c>
      <c r="K698">
        <v>0.7</v>
      </c>
      <c r="L698">
        <v>4.5</v>
      </c>
      <c r="M698">
        <v>6.1</v>
      </c>
      <c r="N698" t="s">
        <v>4406</v>
      </c>
      <c r="O698" t="s">
        <v>4369</v>
      </c>
      <c r="P698" s="1">
        <v>45662</v>
      </c>
      <c r="Q698" t="str">
        <f t="shared" si="40"/>
        <v>10+ Years</v>
      </c>
      <c r="R698" t="str">
        <f>IF(Table7[[#This Row],[Age]]&lt;=25,"20-25",IF(Table7[[#This Row],[Age]]&lt;=30,"26-30",IF(Table7[[#This Row],[Age]]&lt;=35,"31-35","36+")))</f>
        <v>26-30</v>
      </c>
      <c r="S698" t="str">
        <f t="shared" si="41"/>
        <v>January</v>
      </c>
      <c r="T698" s="2" t="str">
        <f t="shared" si="42"/>
        <v>Q1</v>
      </c>
      <c r="U698" s="2">
        <f t="shared" si="43"/>
        <v>2025</v>
      </c>
    </row>
    <row r="699" spans="1:21" x14ac:dyDescent="0.3">
      <c r="A699" t="s">
        <v>855</v>
      </c>
      <c r="B699" t="s">
        <v>4741</v>
      </c>
      <c r="C699" t="s">
        <v>5038</v>
      </c>
      <c r="D699" t="s">
        <v>4372</v>
      </c>
      <c r="E699">
        <v>24</v>
      </c>
      <c r="F699" t="s">
        <v>5824</v>
      </c>
      <c r="G699">
        <v>9216114416</v>
      </c>
      <c r="H699" t="s">
        <v>4491</v>
      </c>
      <c r="I699" t="s">
        <v>4491</v>
      </c>
      <c r="J699" t="s">
        <v>4389</v>
      </c>
      <c r="K699">
        <v>5.8</v>
      </c>
      <c r="L699">
        <v>12.4</v>
      </c>
      <c r="M699">
        <v>17.100000000000001</v>
      </c>
      <c r="N699" t="s">
        <v>4494</v>
      </c>
      <c r="O699" t="s">
        <v>4369</v>
      </c>
      <c r="P699" s="1">
        <v>45676</v>
      </c>
      <c r="Q699" t="str">
        <f t="shared" si="40"/>
        <v>10+ Years</v>
      </c>
      <c r="R699" t="str">
        <f>IF(Table7[[#This Row],[Age]]&lt;=25,"20-25",IF(Table7[[#This Row],[Age]]&lt;=30,"26-30",IF(Table7[[#This Row],[Age]]&lt;=35,"31-35","36+")))</f>
        <v>20-25</v>
      </c>
      <c r="S699" t="str">
        <f t="shared" si="41"/>
        <v>January</v>
      </c>
      <c r="T699" s="2" t="str">
        <f t="shared" si="42"/>
        <v>Q1</v>
      </c>
      <c r="U699" s="2">
        <f t="shared" si="43"/>
        <v>2025</v>
      </c>
    </row>
    <row r="700" spans="1:21" x14ac:dyDescent="0.3">
      <c r="A700" t="s">
        <v>1168</v>
      </c>
      <c r="B700" t="s">
        <v>4796</v>
      </c>
      <c r="C700" t="s">
        <v>5825</v>
      </c>
      <c r="D700" t="s">
        <v>4372</v>
      </c>
      <c r="E700">
        <v>32</v>
      </c>
      <c r="F700" t="s">
        <v>5826</v>
      </c>
      <c r="G700">
        <v>9542113410</v>
      </c>
      <c r="H700" t="s">
        <v>4395</v>
      </c>
      <c r="I700" t="s">
        <v>4396</v>
      </c>
      <c r="J700" t="s">
        <v>4450</v>
      </c>
      <c r="K700">
        <v>2.2999999999999998</v>
      </c>
      <c r="L700">
        <v>14.1</v>
      </c>
      <c r="M700">
        <v>17.600000000000001</v>
      </c>
      <c r="N700" t="s">
        <v>4368</v>
      </c>
      <c r="O700" t="s">
        <v>4369</v>
      </c>
      <c r="P700" s="1">
        <v>45920</v>
      </c>
      <c r="Q700" t="str">
        <f t="shared" si="40"/>
        <v>10+ Years</v>
      </c>
      <c r="R700" t="str">
        <f>IF(Table7[[#This Row],[Age]]&lt;=25,"20-25",IF(Table7[[#This Row],[Age]]&lt;=30,"26-30",IF(Table7[[#This Row],[Age]]&lt;=35,"31-35","36+")))</f>
        <v>31-35</v>
      </c>
      <c r="S700" t="str">
        <f t="shared" si="41"/>
        <v>September</v>
      </c>
      <c r="T700" s="2" t="str">
        <f t="shared" si="42"/>
        <v>Q3</v>
      </c>
      <c r="U700" s="2">
        <f t="shared" si="43"/>
        <v>2025</v>
      </c>
    </row>
    <row r="701" spans="1:21" x14ac:dyDescent="0.3">
      <c r="A701" t="s">
        <v>376</v>
      </c>
      <c r="B701" t="s">
        <v>5827</v>
      </c>
      <c r="C701" t="s">
        <v>4398</v>
      </c>
      <c r="D701" t="s">
        <v>4363</v>
      </c>
      <c r="E701">
        <v>33</v>
      </c>
      <c r="F701" t="s">
        <v>5828</v>
      </c>
      <c r="G701">
        <v>9569318168</v>
      </c>
      <c r="H701" t="s">
        <v>4521</v>
      </c>
      <c r="I701" t="s">
        <v>4522</v>
      </c>
      <c r="J701" t="s">
        <v>4389</v>
      </c>
      <c r="K701">
        <v>2</v>
      </c>
      <c r="L701">
        <v>7.2</v>
      </c>
      <c r="M701">
        <v>10</v>
      </c>
      <c r="N701" t="s">
        <v>4390</v>
      </c>
      <c r="O701" t="s">
        <v>4369</v>
      </c>
      <c r="P701" s="1">
        <v>45866</v>
      </c>
      <c r="Q701" t="str">
        <f t="shared" si="40"/>
        <v>10+ Years</v>
      </c>
      <c r="R701" t="str">
        <f>IF(Table7[[#This Row],[Age]]&lt;=25,"20-25",IF(Table7[[#This Row],[Age]]&lt;=30,"26-30",IF(Table7[[#This Row],[Age]]&lt;=35,"31-35","36+")))</f>
        <v>31-35</v>
      </c>
      <c r="S701" t="str">
        <f t="shared" si="41"/>
        <v>July</v>
      </c>
      <c r="T701" s="2" t="str">
        <f t="shared" si="42"/>
        <v>Q3</v>
      </c>
      <c r="U701" s="2">
        <f t="shared" si="43"/>
        <v>2025</v>
      </c>
    </row>
    <row r="702" spans="1:21" x14ac:dyDescent="0.3">
      <c r="A702" t="s">
        <v>2144</v>
      </c>
      <c r="B702" t="s">
        <v>5829</v>
      </c>
      <c r="C702" t="s">
        <v>5188</v>
      </c>
      <c r="D702" t="s">
        <v>4363</v>
      </c>
      <c r="E702">
        <v>28</v>
      </c>
      <c r="F702" t="s">
        <v>5830</v>
      </c>
      <c r="G702">
        <v>9326663249</v>
      </c>
      <c r="H702" t="s">
        <v>4395</v>
      </c>
      <c r="I702" t="s">
        <v>4396</v>
      </c>
      <c r="J702" t="s">
        <v>4367</v>
      </c>
      <c r="K702">
        <v>2.2000000000000002</v>
      </c>
      <c r="L702">
        <v>9.6</v>
      </c>
      <c r="M702">
        <v>11.4</v>
      </c>
      <c r="N702" t="s">
        <v>4494</v>
      </c>
      <c r="O702" t="s">
        <v>4485</v>
      </c>
      <c r="P702" s="1">
        <v>45943</v>
      </c>
      <c r="Q702" t="str">
        <f t="shared" si="40"/>
        <v>10+ Years</v>
      </c>
      <c r="R702" t="str">
        <f>IF(Table7[[#This Row],[Age]]&lt;=25,"20-25",IF(Table7[[#This Row],[Age]]&lt;=30,"26-30",IF(Table7[[#This Row],[Age]]&lt;=35,"31-35","36+")))</f>
        <v>26-30</v>
      </c>
      <c r="S702" t="str">
        <f t="shared" si="41"/>
        <v>October</v>
      </c>
      <c r="T702" s="2" t="str">
        <f t="shared" si="42"/>
        <v>Q4</v>
      </c>
      <c r="U702" s="2">
        <f t="shared" si="43"/>
        <v>2025</v>
      </c>
    </row>
    <row r="703" spans="1:21" x14ac:dyDescent="0.3">
      <c r="A703" t="s">
        <v>795</v>
      </c>
      <c r="B703" t="s">
        <v>5172</v>
      </c>
      <c r="C703" t="s">
        <v>5825</v>
      </c>
      <c r="D703" t="s">
        <v>4372</v>
      </c>
      <c r="E703">
        <v>34</v>
      </c>
      <c r="F703" t="s">
        <v>5831</v>
      </c>
      <c r="G703">
        <v>9185740454</v>
      </c>
      <c r="H703" t="s">
        <v>4395</v>
      </c>
      <c r="I703" t="s">
        <v>4396</v>
      </c>
      <c r="J703" t="s">
        <v>4482</v>
      </c>
      <c r="K703">
        <v>8.5</v>
      </c>
      <c r="L703">
        <v>16.8</v>
      </c>
      <c r="M703">
        <v>23.7</v>
      </c>
      <c r="N703" t="s">
        <v>4494</v>
      </c>
      <c r="O703" t="s">
        <v>4369</v>
      </c>
      <c r="P703" s="1">
        <v>45979</v>
      </c>
      <c r="Q703" t="str">
        <f t="shared" si="40"/>
        <v>10+ Years</v>
      </c>
      <c r="R703" t="str">
        <f>IF(Table7[[#This Row],[Age]]&lt;=25,"20-25",IF(Table7[[#This Row],[Age]]&lt;=30,"26-30",IF(Table7[[#This Row],[Age]]&lt;=35,"31-35","36+")))</f>
        <v>31-35</v>
      </c>
      <c r="S703" t="str">
        <f t="shared" si="41"/>
        <v>November</v>
      </c>
      <c r="T703" s="2" t="str">
        <f t="shared" si="42"/>
        <v>Q4</v>
      </c>
      <c r="U703" s="2">
        <f t="shared" si="43"/>
        <v>2025</v>
      </c>
    </row>
    <row r="704" spans="1:21" x14ac:dyDescent="0.3">
      <c r="A704" t="s">
        <v>533</v>
      </c>
      <c r="B704" t="s">
        <v>5832</v>
      </c>
      <c r="C704" t="s">
        <v>5833</v>
      </c>
      <c r="D704" t="s">
        <v>4372</v>
      </c>
      <c r="E704">
        <v>32</v>
      </c>
      <c r="F704" t="s">
        <v>5834</v>
      </c>
      <c r="G704">
        <v>9306837126</v>
      </c>
      <c r="H704" t="s">
        <v>4491</v>
      </c>
      <c r="I704" t="s">
        <v>4491</v>
      </c>
      <c r="J704" t="s">
        <v>4446</v>
      </c>
      <c r="K704">
        <v>3.2</v>
      </c>
      <c r="L704">
        <v>13.9</v>
      </c>
      <c r="M704">
        <v>19.600000000000001</v>
      </c>
      <c r="N704" t="s">
        <v>4390</v>
      </c>
      <c r="O704" t="s">
        <v>4383</v>
      </c>
      <c r="P704" s="1">
        <v>45762</v>
      </c>
      <c r="Q704" t="str">
        <f t="shared" si="40"/>
        <v>10+ Years</v>
      </c>
      <c r="R704" t="str">
        <f>IF(Table7[[#This Row],[Age]]&lt;=25,"20-25",IF(Table7[[#This Row],[Age]]&lt;=30,"26-30",IF(Table7[[#This Row],[Age]]&lt;=35,"31-35","36+")))</f>
        <v>31-35</v>
      </c>
      <c r="S704" t="str">
        <f t="shared" si="41"/>
        <v>April</v>
      </c>
      <c r="T704" s="2" t="str">
        <f t="shared" si="42"/>
        <v>Q2</v>
      </c>
      <c r="U704" s="2">
        <f t="shared" si="43"/>
        <v>2025</v>
      </c>
    </row>
    <row r="705" spans="1:21" x14ac:dyDescent="0.3">
      <c r="A705" t="s">
        <v>654</v>
      </c>
      <c r="B705" t="s">
        <v>5361</v>
      </c>
      <c r="C705" t="s">
        <v>5835</v>
      </c>
      <c r="D705" t="s">
        <v>4372</v>
      </c>
      <c r="E705">
        <v>34</v>
      </c>
      <c r="F705" t="s">
        <v>5836</v>
      </c>
      <c r="G705">
        <v>9805178959</v>
      </c>
      <c r="H705" t="s">
        <v>4410</v>
      </c>
      <c r="I705" t="s">
        <v>4411</v>
      </c>
      <c r="J705" t="s">
        <v>4376</v>
      </c>
      <c r="K705">
        <v>12</v>
      </c>
      <c r="L705">
        <v>20.399999999999999</v>
      </c>
      <c r="M705">
        <v>23</v>
      </c>
      <c r="N705" t="s">
        <v>4390</v>
      </c>
      <c r="O705" t="s">
        <v>4391</v>
      </c>
      <c r="P705" s="1">
        <v>45963</v>
      </c>
      <c r="Q705" t="str">
        <f t="shared" si="40"/>
        <v>10+ Years</v>
      </c>
      <c r="R705" t="str">
        <f>IF(Table7[[#This Row],[Age]]&lt;=25,"20-25",IF(Table7[[#This Row],[Age]]&lt;=30,"26-30",IF(Table7[[#This Row],[Age]]&lt;=35,"31-35","36+")))</f>
        <v>31-35</v>
      </c>
      <c r="S705" t="str">
        <f t="shared" si="41"/>
        <v>November</v>
      </c>
      <c r="T705" s="2" t="str">
        <f t="shared" si="42"/>
        <v>Q4</v>
      </c>
      <c r="U705" s="2">
        <f t="shared" si="43"/>
        <v>2025</v>
      </c>
    </row>
    <row r="706" spans="1:21" x14ac:dyDescent="0.3">
      <c r="A706" t="s">
        <v>954</v>
      </c>
      <c r="B706" t="s">
        <v>4793</v>
      </c>
      <c r="C706" t="s">
        <v>4807</v>
      </c>
      <c r="D706" t="s">
        <v>4372</v>
      </c>
      <c r="E706">
        <v>27</v>
      </c>
      <c r="F706" t="s">
        <v>5837</v>
      </c>
      <c r="G706">
        <v>9237621508</v>
      </c>
      <c r="H706" t="s">
        <v>4410</v>
      </c>
      <c r="I706" t="s">
        <v>4411</v>
      </c>
      <c r="J706" t="s">
        <v>4389</v>
      </c>
      <c r="K706">
        <v>6.4</v>
      </c>
      <c r="L706">
        <v>10.7</v>
      </c>
      <c r="M706">
        <v>13</v>
      </c>
      <c r="N706" t="s">
        <v>4377</v>
      </c>
      <c r="O706" t="s">
        <v>4391</v>
      </c>
      <c r="P706" s="1">
        <v>45937</v>
      </c>
      <c r="Q706" t="str">
        <f t="shared" ref="Q706:Q769" si="44">IF(P706&lt;=2,"0-2 Years",IF(P706&lt;=5,"3-5 Years",IF(P706&lt;=10,"6-10 Years","10+ Years")))</f>
        <v>10+ Years</v>
      </c>
      <c r="R706" t="str">
        <f>IF(Table7[[#This Row],[Age]]&lt;=25,"20-25",IF(Table7[[#This Row],[Age]]&lt;=30,"26-30",IF(Table7[[#This Row],[Age]]&lt;=35,"31-35","36+")))</f>
        <v>26-30</v>
      </c>
      <c r="S706" t="str">
        <f t="shared" ref="S706:S769" si="45">TEXT(P706,"mmmm")</f>
        <v>October</v>
      </c>
      <c r="T706" s="2" t="str">
        <f t="shared" ref="T706:T769" si="46">"Q"&amp;ROUNDUP(MONTH(P706)/3,0)</f>
        <v>Q4</v>
      </c>
      <c r="U706" s="2">
        <f t="shared" ref="U706:U769" si="47">YEAR(P706)</f>
        <v>2025</v>
      </c>
    </row>
    <row r="707" spans="1:21" x14ac:dyDescent="0.3">
      <c r="A707" t="s">
        <v>3923</v>
      </c>
      <c r="B707" t="s">
        <v>5509</v>
      </c>
      <c r="C707" t="s">
        <v>5330</v>
      </c>
      <c r="D707" t="s">
        <v>4363</v>
      </c>
      <c r="E707">
        <v>24</v>
      </c>
      <c r="F707" t="s">
        <v>5838</v>
      </c>
      <c r="G707">
        <v>9224097435</v>
      </c>
      <c r="H707" t="s">
        <v>4445</v>
      </c>
      <c r="I707" t="s">
        <v>4396</v>
      </c>
      <c r="J707" t="s">
        <v>4389</v>
      </c>
      <c r="K707">
        <v>0.3</v>
      </c>
      <c r="L707">
        <v>6.3</v>
      </c>
      <c r="M707">
        <v>7.2</v>
      </c>
      <c r="N707" t="s">
        <v>4494</v>
      </c>
      <c r="O707" t="s">
        <v>4369</v>
      </c>
      <c r="P707" s="1">
        <v>45846</v>
      </c>
      <c r="Q707" t="str">
        <f t="shared" si="44"/>
        <v>10+ Years</v>
      </c>
      <c r="R707" t="str">
        <f>IF(Table7[[#This Row],[Age]]&lt;=25,"20-25",IF(Table7[[#This Row],[Age]]&lt;=30,"26-30",IF(Table7[[#This Row],[Age]]&lt;=35,"31-35","36+")))</f>
        <v>20-25</v>
      </c>
      <c r="S707" t="str">
        <f t="shared" si="45"/>
        <v>July</v>
      </c>
      <c r="T707" s="2" t="str">
        <f t="shared" si="46"/>
        <v>Q3</v>
      </c>
      <c r="U707" s="2">
        <f t="shared" si="47"/>
        <v>2025</v>
      </c>
    </row>
    <row r="708" spans="1:21" x14ac:dyDescent="0.3">
      <c r="A708" t="s">
        <v>3563</v>
      </c>
      <c r="B708" t="s">
        <v>4609</v>
      </c>
      <c r="C708" t="s">
        <v>4642</v>
      </c>
      <c r="D708" t="s">
        <v>4363</v>
      </c>
      <c r="E708">
        <v>35</v>
      </c>
      <c r="F708" t="s">
        <v>5839</v>
      </c>
      <c r="G708">
        <v>9524079354</v>
      </c>
      <c r="H708" t="s">
        <v>4395</v>
      </c>
      <c r="I708" t="s">
        <v>4396</v>
      </c>
      <c r="J708" t="s">
        <v>4415</v>
      </c>
      <c r="K708">
        <v>7</v>
      </c>
      <c r="L708">
        <v>14.7</v>
      </c>
      <c r="M708">
        <v>18.5</v>
      </c>
      <c r="N708" t="s">
        <v>4406</v>
      </c>
      <c r="O708" t="s">
        <v>4383</v>
      </c>
      <c r="P708" s="1">
        <v>45811</v>
      </c>
      <c r="Q708" t="str">
        <f t="shared" si="44"/>
        <v>10+ Years</v>
      </c>
      <c r="R708" t="str">
        <f>IF(Table7[[#This Row],[Age]]&lt;=25,"20-25",IF(Table7[[#This Row],[Age]]&lt;=30,"26-30",IF(Table7[[#This Row],[Age]]&lt;=35,"31-35","36+")))</f>
        <v>31-35</v>
      </c>
      <c r="S708" t="str">
        <f t="shared" si="45"/>
        <v>June</v>
      </c>
      <c r="T708" s="2" t="str">
        <f t="shared" si="46"/>
        <v>Q2</v>
      </c>
      <c r="U708" s="2">
        <f t="shared" si="47"/>
        <v>2025</v>
      </c>
    </row>
    <row r="709" spans="1:21" x14ac:dyDescent="0.3">
      <c r="A709" t="s">
        <v>3530</v>
      </c>
      <c r="B709" t="s">
        <v>4566</v>
      </c>
      <c r="C709" t="s">
        <v>5366</v>
      </c>
      <c r="D709" t="s">
        <v>4372</v>
      </c>
      <c r="E709">
        <v>21</v>
      </c>
      <c r="F709" t="s">
        <v>5840</v>
      </c>
      <c r="G709">
        <v>9511344128</v>
      </c>
      <c r="H709" t="s">
        <v>4445</v>
      </c>
      <c r="I709" t="s">
        <v>4396</v>
      </c>
      <c r="J709" t="s">
        <v>4415</v>
      </c>
      <c r="K709">
        <v>4.3</v>
      </c>
      <c r="L709">
        <v>17.600000000000001</v>
      </c>
      <c r="M709">
        <v>21</v>
      </c>
      <c r="N709" t="s">
        <v>4494</v>
      </c>
      <c r="O709" t="s">
        <v>4391</v>
      </c>
      <c r="P709" s="1">
        <v>45988</v>
      </c>
      <c r="Q709" t="str">
        <f t="shared" si="44"/>
        <v>10+ Years</v>
      </c>
      <c r="R709" t="str">
        <f>IF(Table7[[#This Row],[Age]]&lt;=25,"20-25",IF(Table7[[#This Row],[Age]]&lt;=30,"26-30",IF(Table7[[#This Row],[Age]]&lt;=35,"31-35","36+")))</f>
        <v>20-25</v>
      </c>
      <c r="S709" t="str">
        <f t="shared" si="45"/>
        <v>November</v>
      </c>
      <c r="T709" s="2" t="str">
        <f t="shared" si="46"/>
        <v>Q4</v>
      </c>
      <c r="U709" s="2">
        <f t="shared" si="47"/>
        <v>2025</v>
      </c>
    </row>
    <row r="710" spans="1:21" x14ac:dyDescent="0.3">
      <c r="A710" t="s">
        <v>2474</v>
      </c>
      <c r="B710" t="s">
        <v>5841</v>
      </c>
      <c r="C710" t="s">
        <v>5842</v>
      </c>
      <c r="D710" t="s">
        <v>4363</v>
      </c>
      <c r="E710">
        <v>27</v>
      </c>
      <c r="F710" t="s">
        <v>5843</v>
      </c>
      <c r="G710">
        <v>9522179404</v>
      </c>
      <c r="H710" t="s">
        <v>4374</v>
      </c>
      <c r="I710" t="s">
        <v>4375</v>
      </c>
      <c r="J710" t="s">
        <v>4389</v>
      </c>
      <c r="K710">
        <v>0.3</v>
      </c>
      <c r="L710">
        <v>2.7</v>
      </c>
      <c r="M710">
        <v>3.3</v>
      </c>
      <c r="N710" t="s">
        <v>4406</v>
      </c>
      <c r="O710" t="s">
        <v>4369</v>
      </c>
      <c r="P710" s="1">
        <v>45887</v>
      </c>
      <c r="Q710" t="str">
        <f t="shared" si="44"/>
        <v>10+ Years</v>
      </c>
      <c r="R710" t="str">
        <f>IF(Table7[[#This Row],[Age]]&lt;=25,"20-25",IF(Table7[[#This Row],[Age]]&lt;=30,"26-30",IF(Table7[[#This Row],[Age]]&lt;=35,"31-35","36+")))</f>
        <v>26-30</v>
      </c>
      <c r="S710" t="str">
        <f t="shared" si="45"/>
        <v>August</v>
      </c>
      <c r="T710" s="2" t="str">
        <f t="shared" si="46"/>
        <v>Q3</v>
      </c>
      <c r="U710" s="2">
        <f t="shared" si="47"/>
        <v>2025</v>
      </c>
    </row>
    <row r="711" spans="1:21" x14ac:dyDescent="0.3">
      <c r="A711" t="s">
        <v>3087</v>
      </c>
      <c r="B711" t="s">
        <v>5361</v>
      </c>
      <c r="C711" t="s">
        <v>5844</v>
      </c>
      <c r="D711" t="s">
        <v>4372</v>
      </c>
      <c r="E711">
        <v>30</v>
      </c>
      <c r="F711" t="s">
        <v>5845</v>
      </c>
      <c r="G711">
        <v>9264736599</v>
      </c>
      <c r="H711" t="s">
        <v>4491</v>
      </c>
      <c r="I711" t="s">
        <v>4491</v>
      </c>
      <c r="J711" t="s">
        <v>4482</v>
      </c>
      <c r="K711">
        <v>5.3</v>
      </c>
      <c r="L711">
        <v>7.3</v>
      </c>
      <c r="M711">
        <v>9.6</v>
      </c>
      <c r="N711" t="s">
        <v>4390</v>
      </c>
      <c r="O711" t="s">
        <v>4383</v>
      </c>
      <c r="P711" s="1">
        <v>45745</v>
      </c>
      <c r="Q711" t="str">
        <f t="shared" si="44"/>
        <v>10+ Years</v>
      </c>
      <c r="R711" t="str">
        <f>IF(Table7[[#This Row],[Age]]&lt;=25,"20-25",IF(Table7[[#This Row],[Age]]&lt;=30,"26-30",IF(Table7[[#This Row],[Age]]&lt;=35,"31-35","36+")))</f>
        <v>26-30</v>
      </c>
      <c r="S711" t="str">
        <f t="shared" si="45"/>
        <v>March</v>
      </c>
      <c r="T711" s="2" t="str">
        <f t="shared" si="46"/>
        <v>Q1</v>
      </c>
      <c r="U711" s="2">
        <f t="shared" si="47"/>
        <v>2025</v>
      </c>
    </row>
    <row r="712" spans="1:21" x14ac:dyDescent="0.3">
      <c r="A712" t="s">
        <v>3489</v>
      </c>
      <c r="B712" t="s">
        <v>5087</v>
      </c>
      <c r="C712" t="s">
        <v>5236</v>
      </c>
      <c r="D712" t="s">
        <v>4372</v>
      </c>
      <c r="E712">
        <v>32</v>
      </c>
      <c r="F712" t="s">
        <v>5846</v>
      </c>
      <c r="G712">
        <v>9999799885</v>
      </c>
      <c r="H712" t="s">
        <v>4365</v>
      </c>
      <c r="I712" t="s">
        <v>4366</v>
      </c>
      <c r="K712">
        <v>6</v>
      </c>
      <c r="L712">
        <v>10.5</v>
      </c>
      <c r="M712">
        <v>11.8</v>
      </c>
      <c r="N712" t="s">
        <v>4406</v>
      </c>
      <c r="O712" t="s">
        <v>4383</v>
      </c>
      <c r="P712" s="1">
        <v>45997</v>
      </c>
      <c r="Q712" t="str">
        <f t="shared" si="44"/>
        <v>10+ Years</v>
      </c>
      <c r="R712" t="str">
        <f>IF(Table7[[#This Row],[Age]]&lt;=25,"20-25",IF(Table7[[#This Row],[Age]]&lt;=30,"26-30",IF(Table7[[#This Row],[Age]]&lt;=35,"31-35","36+")))</f>
        <v>31-35</v>
      </c>
      <c r="S712" t="str">
        <f t="shared" si="45"/>
        <v>December</v>
      </c>
      <c r="T712" s="2" t="str">
        <f t="shared" si="46"/>
        <v>Q4</v>
      </c>
      <c r="U712" s="2">
        <f t="shared" si="47"/>
        <v>2025</v>
      </c>
    </row>
    <row r="713" spans="1:21" x14ac:dyDescent="0.3">
      <c r="A713" t="s">
        <v>5847</v>
      </c>
      <c r="B713" t="s">
        <v>5467</v>
      </c>
      <c r="C713" t="s">
        <v>4480</v>
      </c>
      <c r="D713" t="s">
        <v>4363</v>
      </c>
      <c r="E713">
        <v>27</v>
      </c>
      <c r="F713" t="s">
        <v>5848</v>
      </c>
      <c r="G713">
        <v>9729349177</v>
      </c>
      <c r="H713" t="s">
        <v>4491</v>
      </c>
      <c r="I713" t="s">
        <v>4491</v>
      </c>
      <c r="J713" t="s">
        <v>4389</v>
      </c>
      <c r="K713">
        <v>16.399999999999999</v>
      </c>
      <c r="L713">
        <v>27.2</v>
      </c>
      <c r="M713">
        <v>31</v>
      </c>
      <c r="N713" t="s">
        <v>4377</v>
      </c>
      <c r="O713" t="s">
        <v>4369</v>
      </c>
      <c r="P713" s="1">
        <v>45812</v>
      </c>
      <c r="Q713" t="str">
        <f t="shared" si="44"/>
        <v>10+ Years</v>
      </c>
      <c r="R713" t="str">
        <f>IF(Table7[[#This Row],[Age]]&lt;=25,"20-25",IF(Table7[[#This Row],[Age]]&lt;=30,"26-30",IF(Table7[[#This Row],[Age]]&lt;=35,"31-35","36+")))</f>
        <v>26-30</v>
      </c>
      <c r="S713" t="str">
        <f t="shared" si="45"/>
        <v>June</v>
      </c>
      <c r="T713" s="2" t="str">
        <f t="shared" si="46"/>
        <v>Q2</v>
      </c>
      <c r="U713" s="2">
        <f t="shared" si="47"/>
        <v>2025</v>
      </c>
    </row>
    <row r="714" spans="1:21" x14ac:dyDescent="0.3">
      <c r="A714" t="s">
        <v>2931</v>
      </c>
      <c r="B714" t="s">
        <v>5740</v>
      </c>
      <c r="C714" t="s">
        <v>5849</v>
      </c>
      <c r="D714" t="s">
        <v>4372</v>
      </c>
      <c r="E714">
        <v>25</v>
      </c>
      <c r="F714" t="s">
        <v>5850</v>
      </c>
      <c r="G714">
        <v>9970387898</v>
      </c>
      <c r="H714" t="s">
        <v>4381</v>
      </c>
      <c r="I714" t="s">
        <v>4382</v>
      </c>
      <c r="J714" t="s">
        <v>4482</v>
      </c>
      <c r="K714">
        <v>11.6</v>
      </c>
      <c r="L714">
        <v>19.2</v>
      </c>
      <c r="M714">
        <v>26.6</v>
      </c>
      <c r="N714" t="s">
        <v>4406</v>
      </c>
      <c r="O714" t="s">
        <v>4369</v>
      </c>
      <c r="P714" s="1">
        <v>45915</v>
      </c>
      <c r="Q714" t="str">
        <f t="shared" si="44"/>
        <v>10+ Years</v>
      </c>
      <c r="R714" t="str">
        <f>IF(Table7[[#This Row],[Age]]&lt;=25,"20-25",IF(Table7[[#This Row],[Age]]&lt;=30,"26-30",IF(Table7[[#This Row],[Age]]&lt;=35,"31-35","36+")))</f>
        <v>20-25</v>
      </c>
      <c r="S714" t="str">
        <f t="shared" si="45"/>
        <v>September</v>
      </c>
      <c r="T714" s="2" t="str">
        <f t="shared" si="46"/>
        <v>Q3</v>
      </c>
      <c r="U714" s="2">
        <f t="shared" si="47"/>
        <v>2025</v>
      </c>
    </row>
    <row r="715" spans="1:21" x14ac:dyDescent="0.3">
      <c r="A715" t="s">
        <v>439</v>
      </c>
      <c r="B715" t="s">
        <v>5225</v>
      </c>
      <c r="C715" t="s">
        <v>5584</v>
      </c>
      <c r="D715" t="s">
        <v>4372</v>
      </c>
      <c r="E715">
        <v>32</v>
      </c>
      <c r="F715" t="s">
        <v>5851</v>
      </c>
      <c r="G715">
        <v>9975216016</v>
      </c>
      <c r="H715" t="s">
        <v>4445</v>
      </c>
      <c r="I715" t="s">
        <v>4396</v>
      </c>
      <c r="K715">
        <v>1.2</v>
      </c>
      <c r="L715">
        <v>6.6</v>
      </c>
      <c r="M715">
        <v>8.6999999999999993</v>
      </c>
      <c r="N715" t="s">
        <v>4406</v>
      </c>
      <c r="O715" t="s">
        <v>4391</v>
      </c>
      <c r="P715" s="1">
        <v>45871</v>
      </c>
      <c r="Q715" t="str">
        <f t="shared" si="44"/>
        <v>10+ Years</v>
      </c>
      <c r="R715" t="str">
        <f>IF(Table7[[#This Row],[Age]]&lt;=25,"20-25",IF(Table7[[#This Row],[Age]]&lt;=30,"26-30",IF(Table7[[#This Row],[Age]]&lt;=35,"31-35","36+")))</f>
        <v>31-35</v>
      </c>
      <c r="S715" t="str">
        <f t="shared" si="45"/>
        <v>August</v>
      </c>
      <c r="T715" s="2" t="str">
        <f t="shared" si="46"/>
        <v>Q3</v>
      </c>
      <c r="U715" s="2">
        <f t="shared" si="47"/>
        <v>2025</v>
      </c>
    </row>
    <row r="716" spans="1:21" x14ac:dyDescent="0.3">
      <c r="A716" t="s">
        <v>5852</v>
      </c>
      <c r="B716" t="s">
        <v>4778</v>
      </c>
      <c r="C716" t="s">
        <v>4486</v>
      </c>
      <c r="D716" t="s">
        <v>4372</v>
      </c>
      <c r="E716">
        <v>33</v>
      </c>
      <c r="F716" t="s">
        <v>5853</v>
      </c>
      <c r="G716">
        <v>9358751726</v>
      </c>
      <c r="H716" t="s">
        <v>4476</v>
      </c>
      <c r="I716" t="s">
        <v>4477</v>
      </c>
      <c r="J716" t="s">
        <v>4446</v>
      </c>
      <c r="K716">
        <v>0.2</v>
      </c>
      <c r="L716">
        <v>6.6</v>
      </c>
      <c r="M716">
        <v>7.5</v>
      </c>
      <c r="N716" t="s">
        <v>4390</v>
      </c>
      <c r="O716" t="s">
        <v>4369</v>
      </c>
      <c r="P716" s="1">
        <v>45994</v>
      </c>
      <c r="Q716" t="str">
        <f t="shared" si="44"/>
        <v>10+ Years</v>
      </c>
      <c r="R716" t="str">
        <f>IF(Table7[[#This Row],[Age]]&lt;=25,"20-25",IF(Table7[[#This Row],[Age]]&lt;=30,"26-30",IF(Table7[[#This Row],[Age]]&lt;=35,"31-35","36+")))</f>
        <v>31-35</v>
      </c>
      <c r="S716" t="str">
        <f t="shared" si="45"/>
        <v>December</v>
      </c>
      <c r="T716" s="2" t="str">
        <f t="shared" si="46"/>
        <v>Q4</v>
      </c>
      <c r="U716" s="2">
        <f t="shared" si="47"/>
        <v>2025</v>
      </c>
    </row>
    <row r="717" spans="1:21" x14ac:dyDescent="0.3">
      <c r="A717" t="s">
        <v>396</v>
      </c>
      <c r="B717" t="s">
        <v>4668</v>
      </c>
      <c r="C717" t="s">
        <v>5032</v>
      </c>
      <c r="D717" t="s">
        <v>4372</v>
      </c>
      <c r="E717">
        <v>24</v>
      </c>
      <c r="F717" t="s">
        <v>5854</v>
      </c>
      <c r="G717">
        <v>9162707844</v>
      </c>
      <c r="H717" t="s">
        <v>4506</v>
      </c>
      <c r="I717" t="s">
        <v>4507</v>
      </c>
      <c r="J717" t="s">
        <v>4367</v>
      </c>
      <c r="K717">
        <v>3</v>
      </c>
      <c r="L717">
        <v>8.5</v>
      </c>
      <c r="M717">
        <v>10.7</v>
      </c>
      <c r="N717" t="s">
        <v>4390</v>
      </c>
      <c r="O717" t="s">
        <v>4369</v>
      </c>
      <c r="P717" s="1">
        <v>45800</v>
      </c>
      <c r="Q717" t="str">
        <f t="shared" si="44"/>
        <v>10+ Years</v>
      </c>
      <c r="R717" t="str">
        <f>IF(Table7[[#This Row],[Age]]&lt;=25,"20-25",IF(Table7[[#This Row],[Age]]&lt;=30,"26-30",IF(Table7[[#This Row],[Age]]&lt;=35,"31-35","36+")))</f>
        <v>20-25</v>
      </c>
      <c r="S717" t="str">
        <f t="shared" si="45"/>
        <v>May</v>
      </c>
      <c r="T717" s="2" t="str">
        <f t="shared" si="46"/>
        <v>Q2</v>
      </c>
      <c r="U717" s="2">
        <f t="shared" si="47"/>
        <v>2025</v>
      </c>
    </row>
    <row r="718" spans="1:21" x14ac:dyDescent="0.3">
      <c r="A718" t="s">
        <v>2255</v>
      </c>
      <c r="B718" t="s">
        <v>4725</v>
      </c>
      <c r="C718" t="s">
        <v>5536</v>
      </c>
      <c r="D718" t="s">
        <v>4363</v>
      </c>
      <c r="E718">
        <v>38</v>
      </c>
      <c r="F718" t="s">
        <v>5855</v>
      </c>
      <c r="G718">
        <v>9300410583</v>
      </c>
      <c r="H718" t="s">
        <v>4521</v>
      </c>
      <c r="I718" t="s">
        <v>4522</v>
      </c>
      <c r="J718" t="s">
        <v>4415</v>
      </c>
      <c r="K718">
        <v>0.7</v>
      </c>
      <c r="L718">
        <v>10.4</v>
      </c>
      <c r="M718">
        <v>12.6</v>
      </c>
      <c r="N718" t="s">
        <v>4390</v>
      </c>
      <c r="O718" t="s">
        <v>4391</v>
      </c>
      <c r="P718" s="1">
        <v>45798</v>
      </c>
      <c r="Q718" t="str">
        <f t="shared" si="44"/>
        <v>10+ Years</v>
      </c>
      <c r="R718" t="str">
        <f>IF(Table7[[#This Row],[Age]]&lt;=25,"20-25",IF(Table7[[#This Row],[Age]]&lt;=30,"26-30",IF(Table7[[#This Row],[Age]]&lt;=35,"31-35","36+")))</f>
        <v>36+</v>
      </c>
      <c r="S718" t="str">
        <f t="shared" si="45"/>
        <v>May</v>
      </c>
      <c r="T718" s="2" t="str">
        <f t="shared" si="46"/>
        <v>Q2</v>
      </c>
      <c r="U718" s="2">
        <f t="shared" si="47"/>
        <v>2025</v>
      </c>
    </row>
    <row r="719" spans="1:21" x14ac:dyDescent="0.3">
      <c r="A719" t="s">
        <v>1959</v>
      </c>
      <c r="B719" t="s">
        <v>4725</v>
      </c>
      <c r="C719" t="s">
        <v>5856</v>
      </c>
      <c r="D719" t="s">
        <v>4363</v>
      </c>
      <c r="E719">
        <v>36</v>
      </c>
      <c r="F719" t="s">
        <v>5857</v>
      </c>
      <c r="G719">
        <v>9191863147</v>
      </c>
      <c r="H719" t="s">
        <v>4445</v>
      </c>
      <c r="I719" t="s">
        <v>4396</v>
      </c>
      <c r="J719" t="s">
        <v>4446</v>
      </c>
      <c r="K719">
        <v>1.2</v>
      </c>
      <c r="L719">
        <v>2.5</v>
      </c>
      <c r="M719">
        <v>3.2</v>
      </c>
      <c r="N719" t="s">
        <v>4368</v>
      </c>
      <c r="O719" t="s">
        <v>4369</v>
      </c>
      <c r="P719" s="1">
        <v>45918</v>
      </c>
      <c r="Q719" t="str">
        <f t="shared" si="44"/>
        <v>10+ Years</v>
      </c>
      <c r="R719" t="str">
        <f>IF(Table7[[#This Row],[Age]]&lt;=25,"20-25",IF(Table7[[#This Row],[Age]]&lt;=30,"26-30",IF(Table7[[#This Row],[Age]]&lt;=35,"31-35","36+")))</f>
        <v>36+</v>
      </c>
      <c r="S719" t="str">
        <f t="shared" si="45"/>
        <v>September</v>
      </c>
      <c r="T719" s="2" t="str">
        <f t="shared" si="46"/>
        <v>Q3</v>
      </c>
      <c r="U719" s="2">
        <f t="shared" si="47"/>
        <v>2025</v>
      </c>
    </row>
    <row r="720" spans="1:21" x14ac:dyDescent="0.3">
      <c r="A720" t="s">
        <v>225</v>
      </c>
      <c r="B720" t="s">
        <v>4401</v>
      </c>
      <c r="C720" t="s">
        <v>5142</v>
      </c>
      <c r="D720" t="s">
        <v>4363</v>
      </c>
      <c r="E720">
        <v>28</v>
      </c>
      <c r="F720" t="s">
        <v>5858</v>
      </c>
      <c r="G720">
        <v>9872564134</v>
      </c>
      <c r="H720" t="s">
        <v>4454</v>
      </c>
      <c r="I720" t="s">
        <v>4455</v>
      </c>
      <c r="J720" t="s">
        <v>4482</v>
      </c>
      <c r="K720">
        <v>2.2999999999999998</v>
      </c>
      <c r="L720">
        <v>14.4</v>
      </c>
      <c r="M720">
        <v>18.100000000000001</v>
      </c>
      <c r="N720" t="s">
        <v>4377</v>
      </c>
      <c r="O720" t="s">
        <v>4369</v>
      </c>
      <c r="P720" s="1">
        <v>45964</v>
      </c>
      <c r="Q720" t="str">
        <f t="shared" si="44"/>
        <v>10+ Years</v>
      </c>
      <c r="R720" t="str">
        <f>IF(Table7[[#This Row],[Age]]&lt;=25,"20-25",IF(Table7[[#This Row],[Age]]&lt;=30,"26-30",IF(Table7[[#This Row],[Age]]&lt;=35,"31-35","36+")))</f>
        <v>26-30</v>
      </c>
      <c r="S720" t="str">
        <f t="shared" si="45"/>
        <v>November</v>
      </c>
      <c r="T720" s="2" t="str">
        <f t="shared" si="46"/>
        <v>Q4</v>
      </c>
      <c r="U720" s="2">
        <f t="shared" si="47"/>
        <v>2025</v>
      </c>
    </row>
    <row r="721" spans="1:21" x14ac:dyDescent="0.3">
      <c r="A721" t="s">
        <v>437</v>
      </c>
      <c r="B721" t="s">
        <v>4566</v>
      </c>
      <c r="C721" t="s">
        <v>4452</v>
      </c>
      <c r="D721" t="s">
        <v>4363</v>
      </c>
      <c r="E721">
        <v>31</v>
      </c>
      <c r="F721" t="s">
        <v>5859</v>
      </c>
      <c r="G721">
        <v>9599428042</v>
      </c>
      <c r="H721" t="s">
        <v>4454</v>
      </c>
      <c r="I721" t="s">
        <v>4455</v>
      </c>
      <c r="J721" t="s">
        <v>4450</v>
      </c>
      <c r="K721">
        <v>1</v>
      </c>
      <c r="L721">
        <v>7.5</v>
      </c>
      <c r="M721">
        <v>10.5</v>
      </c>
      <c r="N721" t="s">
        <v>4377</v>
      </c>
      <c r="O721" t="s">
        <v>4369</v>
      </c>
      <c r="P721" s="1">
        <v>45938</v>
      </c>
      <c r="Q721" t="str">
        <f t="shared" si="44"/>
        <v>10+ Years</v>
      </c>
      <c r="R721" t="str">
        <f>IF(Table7[[#This Row],[Age]]&lt;=25,"20-25",IF(Table7[[#This Row],[Age]]&lt;=30,"26-30",IF(Table7[[#This Row],[Age]]&lt;=35,"31-35","36+")))</f>
        <v>31-35</v>
      </c>
      <c r="S721" t="str">
        <f t="shared" si="45"/>
        <v>October</v>
      </c>
      <c r="T721" s="2" t="str">
        <f t="shared" si="46"/>
        <v>Q4</v>
      </c>
      <c r="U721" s="2">
        <f t="shared" si="47"/>
        <v>2025</v>
      </c>
    </row>
    <row r="722" spans="1:21" x14ac:dyDescent="0.3">
      <c r="A722" t="s">
        <v>1980</v>
      </c>
      <c r="B722" t="s">
        <v>5376</v>
      </c>
      <c r="C722" t="s">
        <v>5038</v>
      </c>
      <c r="D722" t="s">
        <v>4363</v>
      </c>
      <c r="E722">
        <v>22</v>
      </c>
      <c r="F722" t="s">
        <v>5860</v>
      </c>
      <c r="G722">
        <v>9116350774</v>
      </c>
      <c r="H722" t="s">
        <v>4445</v>
      </c>
      <c r="I722" t="s">
        <v>4396</v>
      </c>
      <c r="J722" t="s">
        <v>4432</v>
      </c>
      <c r="K722">
        <v>0.3</v>
      </c>
      <c r="L722">
        <v>13.5</v>
      </c>
      <c r="M722">
        <v>18.3</v>
      </c>
      <c r="N722" t="s">
        <v>4390</v>
      </c>
      <c r="O722" t="s">
        <v>4456</v>
      </c>
      <c r="P722" s="1">
        <v>45757</v>
      </c>
      <c r="Q722" t="str">
        <f t="shared" si="44"/>
        <v>10+ Years</v>
      </c>
      <c r="R722" t="str">
        <f>IF(Table7[[#This Row],[Age]]&lt;=25,"20-25",IF(Table7[[#This Row],[Age]]&lt;=30,"26-30",IF(Table7[[#This Row],[Age]]&lt;=35,"31-35","36+")))</f>
        <v>20-25</v>
      </c>
      <c r="S722" t="str">
        <f t="shared" si="45"/>
        <v>April</v>
      </c>
      <c r="T722" s="2" t="str">
        <f t="shared" si="46"/>
        <v>Q2</v>
      </c>
      <c r="U722" s="2">
        <f t="shared" si="47"/>
        <v>2025</v>
      </c>
    </row>
    <row r="723" spans="1:21" x14ac:dyDescent="0.3">
      <c r="A723" t="s">
        <v>3909</v>
      </c>
      <c r="B723" t="s">
        <v>5640</v>
      </c>
      <c r="C723" t="s">
        <v>5338</v>
      </c>
      <c r="D723" t="s">
        <v>4372</v>
      </c>
      <c r="E723">
        <v>24</v>
      </c>
      <c r="F723" t="s">
        <v>5861</v>
      </c>
      <c r="G723">
        <v>9866204211</v>
      </c>
      <c r="H723" t="s">
        <v>4395</v>
      </c>
      <c r="I723" t="s">
        <v>4396</v>
      </c>
      <c r="J723" t="s">
        <v>4367</v>
      </c>
      <c r="K723">
        <v>10.4</v>
      </c>
      <c r="L723">
        <v>18.3</v>
      </c>
      <c r="M723">
        <v>24.5</v>
      </c>
      <c r="N723" t="s">
        <v>4406</v>
      </c>
      <c r="O723" t="s">
        <v>4391</v>
      </c>
      <c r="P723" s="1">
        <v>45990</v>
      </c>
      <c r="Q723" t="str">
        <f t="shared" si="44"/>
        <v>10+ Years</v>
      </c>
      <c r="R723" t="str">
        <f>IF(Table7[[#This Row],[Age]]&lt;=25,"20-25",IF(Table7[[#This Row],[Age]]&lt;=30,"26-30",IF(Table7[[#This Row],[Age]]&lt;=35,"31-35","36+")))</f>
        <v>20-25</v>
      </c>
      <c r="S723" t="str">
        <f t="shared" si="45"/>
        <v>November</v>
      </c>
      <c r="T723" s="2" t="str">
        <f t="shared" si="46"/>
        <v>Q4</v>
      </c>
      <c r="U723" s="2">
        <f t="shared" si="47"/>
        <v>2025</v>
      </c>
    </row>
    <row r="724" spans="1:21" x14ac:dyDescent="0.3">
      <c r="A724" t="s">
        <v>800</v>
      </c>
      <c r="B724" t="s">
        <v>4523</v>
      </c>
      <c r="C724" t="s">
        <v>4608</v>
      </c>
      <c r="D724" t="s">
        <v>4372</v>
      </c>
      <c r="E724">
        <v>29</v>
      </c>
      <c r="F724" t="s">
        <v>5862</v>
      </c>
      <c r="G724">
        <v>9146305658</v>
      </c>
      <c r="H724" t="s">
        <v>4387</v>
      </c>
      <c r="I724" t="s">
        <v>4388</v>
      </c>
      <c r="J724" t="s">
        <v>4367</v>
      </c>
      <c r="K724">
        <v>4.7</v>
      </c>
      <c r="L724">
        <v>14</v>
      </c>
      <c r="M724">
        <v>20.100000000000001</v>
      </c>
      <c r="N724" t="s">
        <v>4390</v>
      </c>
      <c r="O724" t="s">
        <v>4391</v>
      </c>
      <c r="P724" s="1">
        <v>45849</v>
      </c>
      <c r="Q724" t="str">
        <f t="shared" si="44"/>
        <v>10+ Years</v>
      </c>
      <c r="R724" t="str">
        <f>IF(Table7[[#This Row],[Age]]&lt;=25,"20-25",IF(Table7[[#This Row],[Age]]&lt;=30,"26-30",IF(Table7[[#This Row],[Age]]&lt;=35,"31-35","36+")))</f>
        <v>26-30</v>
      </c>
      <c r="S724" t="str">
        <f t="shared" si="45"/>
        <v>July</v>
      </c>
      <c r="T724" s="2" t="str">
        <f t="shared" si="46"/>
        <v>Q3</v>
      </c>
      <c r="U724" s="2">
        <f t="shared" si="47"/>
        <v>2025</v>
      </c>
    </row>
    <row r="725" spans="1:21" x14ac:dyDescent="0.3">
      <c r="A725" t="s">
        <v>1467</v>
      </c>
      <c r="B725" t="s">
        <v>4725</v>
      </c>
      <c r="C725" t="s">
        <v>4583</v>
      </c>
      <c r="D725" t="s">
        <v>4363</v>
      </c>
      <c r="E725">
        <v>28</v>
      </c>
      <c r="F725" t="s">
        <v>5863</v>
      </c>
      <c r="G725">
        <v>9895034621</v>
      </c>
      <c r="H725" t="s">
        <v>4395</v>
      </c>
      <c r="I725" t="s">
        <v>4396</v>
      </c>
      <c r="J725" t="s">
        <v>4432</v>
      </c>
      <c r="K725">
        <v>6.9</v>
      </c>
      <c r="L725">
        <v>21.4</v>
      </c>
      <c r="M725">
        <v>28.6</v>
      </c>
      <c r="N725" t="s">
        <v>4390</v>
      </c>
      <c r="O725" t="s">
        <v>4391</v>
      </c>
      <c r="P725" s="1">
        <v>45857</v>
      </c>
      <c r="Q725" t="str">
        <f t="shared" si="44"/>
        <v>10+ Years</v>
      </c>
      <c r="R725" t="str">
        <f>IF(Table7[[#This Row],[Age]]&lt;=25,"20-25",IF(Table7[[#This Row],[Age]]&lt;=30,"26-30",IF(Table7[[#This Row],[Age]]&lt;=35,"31-35","36+")))</f>
        <v>26-30</v>
      </c>
      <c r="S725" t="str">
        <f t="shared" si="45"/>
        <v>July</v>
      </c>
      <c r="T725" s="2" t="str">
        <f t="shared" si="46"/>
        <v>Q3</v>
      </c>
      <c r="U725" s="2">
        <f t="shared" si="47"/>
        <v>2025</v>
      </c>
    </row>
    <row r="726" spans="1:21" x14ac:dyDescent="0.3">
      <c r="A726" t="s">
        <v>527</v>
      </c>
      <c r="B726" t="s">
        <v>5864</v>
      </c>
      <c r="C726" t="s">
        <v>5536</v>
      </c>
      <c r="D726" t="s">
        <v>4363</v>
      </c>
      <c r="E726">
        <v>30</v>
      </c>
      <c r="F726" t="s">
        <v>5865</v>
      </c>
      <c r="G726">
        <v>9934748548</v>
      </c>
      <c r="H726" t="s">
        <v>4476</v>
      </c>
      <c r="I726" t="s">
        <v>4477</v>
      </c>
      <c r="J726" t="s">
        <v>4608</v>
      </c>
      <c r="K726">
        <v>0.6</v>
      </c>
      <c r="M726">
        <v>15.4</v>
      </c>
      <c r="N726" t="s">
        <v>4377</v>
      </c>
      <c r="O726" t="s">
        <v>4369</v>
      </c>
      <c r="P726" s="1">
        <v>45696</v>
      </c>
      <c r="Q726" t="str">
        <f t="shared" si="44"/>
        <v>10+ Years</v>
      </c>
      <c r="R726" t="str">
        <f>IF(Table7[[#This Row],[Age]]&lt;=25,"20-25",IF(Table7[[#This Row],[Age]]&lt;=30,"26-30",IF(Table7[[#This Row],[Age]]&lt;=35,"31-35","36+")))</f>
        <v>26-30</v>
      </c>
      <c r="S726" t="str">
        <f t="shared" si="45"/>
        <v>February</v>
      </c>
      <c r="T726" s="2" t="str">
        <f t="shared" si="46"/>
        <v>Q1</v>
      </c>
      <c r="U726" s="2">
        <f t="shared" si="47"/>
        <v>2025</v>
      </c>
    </row>
    <row r="727" spans="1:21" x14ac:dyDescent="0.3">
      <c r="A727" t="s">
        <v>2951</v>
      </c>
      <c r="B727" t="s">
        <v>4566</v>
      </c>
      <c r="C727" t="s">
        <v>5866</v>
      </c>
      <c r="D727" t="s">
        <v>4363</v>
      </c>
      <c r="E727">
        <v>31</v>
      </c>
      <c r="F727" t="s">
        <v>5867</v>
      </c>
      <c r="G727">
        <v>9994839197</v>
      </c>
      <c r="H727" t="s">
        <v>4476</v>
      </c>
      <c r="I727" t="s">
        <v>4477</v>
      </c>
      <c r="J727" t="s">
        <v>4446</v>
      </c>
      <c r="K727">
        <v>1.3</v>
      </c>
      <c r="L727">
        <v>13.3</v>
      </c>
      <c r="M727">
        <v>16.100000000000001</v>
      </c>
      <c r="N727" t="s">
        <v>4377</v>
      </c>
      <c r="O727" t="s">
        <v>4391</v>
      </c>
      <c r="P727" s="1">
        <v>45817</v>
      </c>
      <c r="Q727" t="str">
        <f t="shared" si="44"/>
        <v>10+ Years</v>
      </c>
      <c r="R727" t="str">
        <f>IF(Table7[[#This Row],[Age]]&lt;=25,"20-25",IF(Table7[[#This Row],[Age]]&lt;=30,"26-30",IF(Table7[[#This Row],[Age]]&lt;=35,"31-35","36+")))</f>
        <v>31-35</v>
      </c>
      <c r="S727" t="str">
        <f t="shared" si="45"/>
        <v>June</v>
      </c>
      <c r="T727" s="2" t="str">
        <f t="shared" si="46"/>
        <v>Q2</v>
      </c>
      <c r="U727" s="2">
        <f t="shared" si="47"/>
        <v>2025</v>
      </c>
    </row>
    <row r="728" spans="1:21" x14ac:dyDescent="0.3">
      <c r="A728" t="s">
        <v>1238</v>
      </c>
      <c r="B728" t="s">
        <v>4841</v>
      </c>
      <c r="C728" t="s">
        <v>5868</v>
      </c>
      <c r="D728" t="s">
        <v>4363</v>
      </c>
      <c r="E728">
        <v>31</v>
      </c>
      <c r="F728" t="s">
        <v>5869</v>
      </c>
      <c r="G728">
        <v>9686148893</v>
      </c>
      <c r="H728" t="s">
        <v>4395</v>
      </c>
      <c r="I728" t="s">
        <v>4396</v>
      </c>
      <c r="J728" t="s">
        <v>4367</v>
      </c>
      <c r="K728">
        <v>0.3</v>
      </c>
      <c r="L728">
        <v>13.2</v>
      </c>
      <c r="M728">
        <v>15.2</v>
      </c>
      <c r="N728" t="s">
        <v>4377</v>
      </c>
      <c r="O728" t="s">
        <v>4383</v>
      </c>
      <c r="P728" s="1">
        <v>45902</v>
      </c>
      <c r="Q728" t="str">
        <f t="shared" si="44"/>
        <v>10+ Years</v>
      </c>
      <c r="R728" t="str">
        <f>IF(Table7[[#This Row],[Age]]&lt;=25,"20-25",IF(Table7[[#This Row],[Age]]&lt;=30,"26-30",IF(Table7[[#This Row],[Age]]&lt;=35,"31-35","36+")))</f>
        <v>31-35</v>
      </c>
      <c r="S728" t="str">
        <f t="shared" si="45"/>
        <v>September</v>
      </c>
      <c r="T728" s="2" t="str">
        <f t="shared" si="46"/>
        <v>Q3</v>
      </c>
      <c r="U728" s="2">
        <f t="shared" si="47"/>
        <v>2025</v>
      </c>
    </row>
    <row r="729" spans="1:21" x14ac:dyDescent="0.3">
      <c r="A729" t="s">
        <v>332</v>
      </c>
      <c r="B729" t="s">
        <v>4760</v>
      </c>
      <c r="C729" t="s">
        <v>5870</v>
      </c>
      <c r="D729" t="s">
        <v>4372</v>
      </c>
      <c r="E729">
        <v>39</v>
      </c>
      <c r="F729" t="s">
        <v>5871</v>
      </c>
      <c r="G729">
        <v>9663301805</v>
      </c>
      <c r="H729" t="s">
        <v>4395</v>
      </c>
      <c r="I729" t="s">
        <v>4396</v>
      </c>
      <c r="J729" t="s">
        <v>4367</v>
      </c>
      <c r="K729">
        <v>2.8</v>
      </c>
      <c r="L729">
        <v>5.7</v>
      </c>
      <c r="M729">
        <v>7.4</v>
      </c>
      <c r="N729" t="s">
        <v>4494</v>
      </c>
      <c r="O729" t="s">
        <v>4400</v>
      </c>
      <c r="P729" s="1">
        <v>45805</v>
      </c>
      <c r="Q729" t="str">
        <f t="shared" si="44"/>
        <v>10+ Years</v>
      </c>
      <c r="R729" t="str">
        <f>IF(Table7[[#This Row],[Age]]&lt;=25,"20-25",IF(Table7[[#This Row],[Age]]&lt;=30,"26-30",IF(Table7[[#This Row],[Age]]&lt;=35,"31-35","36+")))</f>
        <v>36+</v>
      </c>
      <c r="S729" t="str">
        <f t="shared" si="45"/>
        <v>May</v>
      </c>
      <c r="T729" s="2" t="str">
        <f t="shared" si="46"/>
        <v>Q2</v>
      </c>
      <c r="U729" s="2">
        <f t="shared" si="47"/>
        <v>2025</v>
      </c>
    </row>
    <row r="730" spans="1:21" x14ac:dyDescent="0.3">
      <c r="A730" t="s">
        <v>194</v>
      </c>
      <c r="B730" t="s">
        <v>4654</v>
      </c>
      <c r="C730" t="s">
        <v>5872</v>
      </c>
      <c r="D730" t="s">
        <v>4372</v>
      </c>
      <c r="E730">
        <v>22</v>
      </c>
      <c r="F730" t="s">
        <v>5873</v>
      </c>
      <c r="G730">
        <v>9321137405</v>
      </c>
      <c r="H730" t="s">
        <v>4381</v>
      </c>
      <c r="I730" t="s">
        <v>4382</v>
      </c>
      <c r="J730" t="s">
        <v>4450</v>
      </c>
      <c r="K730">
        <v>0.6</v>
      </c>
      <c r="L730">
        <v>6.3</v>
      </c>
      <c r="M730">
        <v>9</v>
      </c>
      <c r="N730" t="s">
        <v>4368</v>
      </c>
      <c r="O730" t="s">
        <v>4391</v>
      </c>
      <c r="P730" s="1">
        <v>45883</v>
      </c>
      <c r="Q730" t="str">
        <f t="shared" si="44"/>
        <v>10+ Years</v>
      </c>
      <c r="R730" t="str">
        <f>IF(Table7[[#This Row],[Age]]&lt;=25,"20-25",IF(Table7[[#This Row],[Age]]&lt;=30,"26-30",IF(Table7[[#This Row],[Age]]&lt;=35,"31-35","36+")))</f>
        <v>20-25</v>
      </c>
      <c r="S730" t="str">
        <f t="shared" si="45"/>
        <v>August</v>
      </c>
      <c r="T730" s="2" t="str">
        <f t="shared" si="46"/>
        <v>Q3</v>
      </c>
      <c r="U730" s="2">
        <f t="shared" si="47"/>
        <v>2025</v>
      </c>
    </row>
    <row r="731" spans="1:21" x14ac:dyDescent="0.3">
      <c r="A731" t="s">
        <v>3754</v>
      </c>
      <c r="B731" t="s">
        <v>5308</v>
      </c>
      <c r="C731" t="s">
        <v>4591</v>
      </c>
      <c r="D731" t="s">
        <v>4363</v>
      </c>
      <c r="E731">
        <v>24</v>
      </c>
      <c r="F731" t="s">
        <v>5874</v>
      </c>
      <c r="G731">
        <v>9944346861</v>
      </c>
      <c r="H731" t="s">
        <v>4410</v>
      </c>
      <c r="I731" t="s">
        <v>4411</v>
      </c>
      <c r="K731">
        <v>2.5</v>
      </c>
      <c r="M731">
        <v>13.2</v>
      </c>
      <c r="N731" t="s">
        <v>4390</v>
      </c>
      <c r="O731" t="s">
        <v>4369</v>
      </c>
      <c r="P731" s="1">
        <v>45961</v>
      </c>
      <c r="Q731" t="str">
        <f t="shared" si="44"/>
        <v>10+ Years</v>
      </c>
      <c r="R731" t="str">
        <f>IF(Table7[[#This Row],[Age]]&lt;=25,"20-25",IF(Table7[[#This Row],[Age]]&lt;=30,"26-30",IF(Table7[[#This Row],[Age]]&lt;=35,"31-35","36+")))</f>
        <v>20-25</v>
      </c>
      <c r="S731" t="str">
        <f t="shared" si="45"/>
        <v>October</v>
      </c>
      <c r="T731" s="2" t="str">
        <f t="shared" si="46"/>
        <v>Q4</v>
      </c>
      <c r="U731" s="2">
        <f t="shared" si="47"/>
        <v>2025</v>
      </c>
    </row>
    <row r="732" spans="1:21" x14ac:dyDescent="0.3">
      <c r="A732" t="s">
        <v>2085</v>
      </c>
      <c r="B732" t="s">
        <v>4784</v>
      </c>
      <c r="C732" t="s">
        <v>5635</v>
      </c>
      <c r="D732" t="s">
        <v>4372</v>
      </c>
      <c r="E732">
        <v>30</v>
      </c>
      <c r="F732" t="s">
        <v>5875</v>
      </c>
      <c r="G732">
        <v>9550447056</v>
      </c>
      <c r="H732" t="s">
        <v>4521</v>
      </c>
      <c r="I732" t="s">
        <v>4522</v>
      </c>
      <c r="J732" t="s">
        <v>4389</v>
      </c>
      <c r="K732">
        <v>1.1000000000000001</v>
      </c>
      <c r="L732">
        <v>7.8</v>
      </c>
      <c r="M732">
        <v>9</v>
      </c>
      <c r="N732" t="s">
        <v>4390</v>
      </c>
      <c r="O732" t="s">
        <v>4369</v>
      </c>
      <c r="P732" s="1">
        <v>45687</v>
      </c>
      <c r="Q732" t="str">
        <f t="shared" si="44"/>
        <v>10+ Years</v>
      </c>
      <c r="R732" t="str">
        <f>IF(Table7[[#This Row],[Age]]&lt;=25,"20-25",IF(Table7[[#This Row],[Age]]&lt;=30,"26-30",IF(Table7[[#This Row],[Age]]&lt;=35,"31-35","36+")))</f>
        <v>26-30</v>
      </c>
      <c r="S732" t="str">
        <f t="shared" si="45"/>
        <v>January</v>
      </c>
      <c r="T732" s="2" t="str">
        <f t="shared" si="46"/>
        <v>Q1</v>
      </c>
      <c r="U732" s="2">
        <f t="shared" si="47"/>
        <v>2025</v>
      </c>
    </row>
    <row r="733" spans="1:21" x14ac:dyDescent="0.3">
      <c r="A733" t="s">
        <v>2245</v>
      </c>
      <c r="B733" t="s">
        <v>4378</v>
      </c>
      <c r="C733" t="s">
        <v>4434</v>
      </c>
      <c r="D733" t="s">
        <v>4372</v>
      </c>
      <c r="E733">
        <v>23</v>
      </c>
      <c r="F733" t="s">
        <v>5876</v>
      </c>
      <c r="G733">
        <v>9233795934</v>
      </c>
      <c r="H733" t="s">
        <v>4473</v>
      </c>
      <c r="I733" t="s">
        <v>4473</v>
      </c>
      <c r="K733">
        <v>0.4</v>
      </c>
      <c r="L733">
        <v>7.5</v>
      </c>
      <c r="M733">
        <v>8.5</v>
      </c>
      <c r="N733" t="s">
        <v>4390</v>
      </c>
      <c r="O733" t="s">
        <v>4400</v>
      </c>
      <c r="P733" s="1">
        <v>46014</v>
      </c>
      <c r="Q733" t="str">
        <f t="shared" si="44"/>
        <v>10+ Years</v>
      </c>
      <c r="R733" t="str">
        <f>IF(Table7[[#This Row],[Age]]&lt;=25,"20-25",IF(Table7[[#This Row],[Age]]&lt;=30,"26-30",IF(Table7[[#This Row],[Age]]&lt;=35,"31-35","36+")))</f>
        <v>20-25</v>
      </c>
      <c r="S733" t="str">
        <f t="shared" si="45"/>
        <v>December</v>
      </c>
      <c r="T733" s="2" t="str">
        <f t="shared" si="46"/>
        <v>Q4</v>
      </c>
      <c r="U733" s="2">
        <f t="shared" si="47"/>
        <v>2025</v>
      </c>
    </row>
    <row r="734" spans="1:21" x14ac:dyDescent="0.3">
      <c r="A734" t="s">
        <v>435</v>
      </c>
      <c r="B734" t="s">
        <v>4457</v>
      </c>
      <c r="C734" t="s">
        <v>5877</v>
      </c>
      <c r="D734" t="s">
        <v>4372</v>
      </c>
      <c r="E734">
        <v>28</v>
      </c>
      <c r="F734" t="s">
        <v>5878</v>
      </c>
      <c r="G734">
        <v>9972797914</v>
      </c>
      <c r="H734" t="s">
        <v>4381</v>
      </c>
      <c r="I734" t="s">
        <v>4382</v>
      </c>
      <c r="J734" t="s">
        <v>4367</v>
      </c>
      <c r="K734">
        <v>2.7</v>
      </c>
      <c r="L734">
        <v>10.7</v>
      </c>
      <c r="M734">
        <v>13.9</v>
      </c>
      <c r="N734" t="s">
        <v>4368</v>
      </c>
      <c r="O734" t="s">
        <v>4391</v>
      </c>
      <c r="P734" s="1">
        <v>45755</v>
      </c>
      <c r="Q734" t="str">
        <f t="shared" si="44"/>
        <v>10+ Years</v>
      </c>
      <c r="R734" t="str">
        <f>IF(Table7[[#This Row],[Age]]&lt;=25,"20-25",IF(Table7[[#This Row],[Age]]&lt;=30,"26-30",IF(Table7[[#This Row],[Age]]&lt;=35,"31-35","36+")))</f>
        <v>26-30</v>
      </c>
      <c r="S734" t="str">
        <f t="shared" si="45"/>
        <v>April</v>
      </c>
      <c r="T734" s="2" t="str">
        <f t="shared" si="46"/>
        <v>Q2</v>
      </c>
      <c r="U734" s="2">
        <f t="shared" si="47"/>
        <v>2025</v>
      </c>
    </row>
    <row r="735" spans="1:21" x14ac:dyDescent="0.3">
      <c r="A735" t="s">
        <v>3146</v>
      </c>
      <c r="B735" t="s">
        <v>5879</v>
      </c>
      <c r="C735" t="s">
        <v>5880</v>
      </c>
      <c r="D735" t="s">
        <v>4372</v>
      </c>
      <c r="E735">
        <v>30</v>
      </c>
      <c r="F735" t="s">
        <v>5881</v>
      </c>
      <c r="G735">
        <v>9943948675</v>
      </c>
      <c r="H735" t="s">
        <v>4473</v>
      </c>
      <c r="I735" t="s">
        <v>4473</v>
      </c>
      <c r="J735" t="s">
        <v>4389</v>
      </c>
      <c r="K735">
        <v>0.9</v>
      </c>
      <c r="L735">
        <v>3.4</v>
      </c>
      <c r="M735">
        <v>4.2</v>
      </c>
      <c r="N735" t="s">
        <v>4390</v>
      </c>
      <c r="O735" t="s">
        <v>4369</v>
      </c>
      <c r="P735" s="1">
        <v>45806</v>
      </c>
      <c r="Q735" t="str">
        <f t="shared" si="44"/>
        <v>10+ Years</v>
      </c>
      <c r="R735" t="str">
        <f>IF(Table7[[#This Row],[Age]]&lt;=25,"20-25",IF(Table7[[#This Row],[Age]]&lt;=30,"26-30",IF(Table7[[#This Row],[Age]]&lt;=35,"31-35","36+")))</f>
        <v>26-30</v>
      </c>
      <c r="S735" t="str">
        <f t="shared" si="45"/>
        <v>May</v>
      </c>
      <c r="T735" s="2" t="str">
        <f t="shared" si="46"/>
        <v>Q2</v>
      </c>
      <c r="U735" s="2">
        <f t="shared" si="47"/>
        <v>2025</v>
      </c>
    </row>
    <row r="736" spans="1:21" x14ac:dyDescent="0.3">
      <c r="A736" t="s">
        <v>3941</v>
      </c>
      <c r="B736" t="s">
        <v>4573</v>
      </c>
      <c r="C736" t="s">
        <v>5882</v>
      </c>
      <c r="D736" t="s">
        <v>4363</v>
      </c>
      <c r="E736">
        <v>31</v>
      </c>
      <c r="F736" t="s">
        <v>5883</v>
      </c>
      <c r="G736">
        <v>9150904228</v>
      </c>
      <c r="H736" t="s">
        <v>4387</v>
      </c>
      <c r="I736" t="s">
        <v>4388</v>
      </c>
      <c r="J736" t="s">
        <v>4415</v>
      </c>
      <c r="K736">
        <v>1.3</v>
      </c>
      <c r="L736">
        <v>6.6</v>
      </c>
      <c r="M736">
        <v>8.5</v>
      </c>
      <c r="N736" t="s">
        <v>4406</v>
      </c>
      <c r="O736" t="s">
        <v>4369</v>
      </c>
      <c r="P736" s="1">
        <v>45988</v>
      </c>
      <c r="Q736" t="str">
        <f t="shared" si="44"/>
        <v>10+ Years</v>
      </c>
      <c r="R736" t="str">
        <f>IF(Table7[[#This Row],[Age]]&lt;=25,"20-25",IF(Table7[[#This Row],[Age]]&lt;=30,"26-30",IF(Table7[[#This Row],[Age]]&lt;=35,"31-35","36+")))</f>
        <v>31-35</v>
      </c>
      <c r="S736" t="str">
        <f t="shared" si="45"/>
        <v>November</v>
      </c>
      <c r="T736" s="2" t="str">
        <f t="shared" si="46"/>
        <v>Q4</v>
      </c>
      <c r="U736" s="2">
        <f t="shared" si="47"/>
        <v>2025</v>
      </c>
    </row>
    <row r="737" spans="1:21" x14ac:dyDescent="0.3">
      <c r="A737" t="s">
        <v>3423</v>
      </c>
      <c r="B737" t="s">
        <v>4606</v>
      </c>
      <c r="C737" t="s">
        <v>5222</v>
      </c>
      <c r="D737" t="s">
        <v>4372</v>
      </c>
      <c r="E737">
        <v>27</v>
      </c>
      <c r="F737" t="s">
        <v>5884</v>
      </c>
      <c r="G737">
        <v>9561770614</v>
      </c>
      <c r="H737" t="s">
        <v>4473</v>
      </c>
      <c r="I737" t="s">
        <v>4473</v>
      </c>
      <c r="J737" t="s">
        <v>4376</v>
      </c>
      <c r="K737">
        <v>0.6</v>
      </c>
      <c r="L737">
        <v>9.5</v>
      </c>
      <c r="M737">
        <v>12</v>
      </c>
      <c r="N737" t="s">
        <v>4390</v>
      </c>
      <c r="O737" t="s">
        <v>4383</v>
      </c>
      <c r="P737" s="1">
        <v>45714</v>
      </c>
      <c r="Q737" t="str">
        <f t="shared" si="44"/>
        <v>10+ Years</v>
      </c>
      <c r="R737" t="str">
        <f>IF(Table7[[#This Row],[Age]]&lt;=25,"20-25",IF(Table7[[#This Row],[Age]]&lt;=30,"26-30",IF(Table7[[#This Row],[Age]]&lt;=35,"31-35","36+")))</f>
        <v>26-30</v>
      </c>
      <c r="S737" t="str">
        <f t="shared" si="45"/>
        <v>February</v>
      </c>
      <c r="T737" s="2" t="str">
        <f t="shared" si="46"/>
        <v>Q1</v>
      </c>
      <c r="U737" s="2">
        <f t="shared" si="47"/>
        <v>2025</v>
      </c>
    </row>
    <row r="738" spans="1:21" x14ac:dyDescent="0.3">
      <c r="A738" t="s">
        <v>2203</v>
      </c>
      <c r="B738" t="s">
        <v>4566</v>
      </c>
      <c r="C738" t="s">
        <v>5448</v>
      </c>
      <c r="D738" t="s">
        <v>4363</v>
      </c>
      <c r="E738">
        <v>21</v>
      </c>
      <c r="F738" t="s">
        <v>5885</v>
      </c>
      <c r="G738">
        <v>9968625469</v>
      </c>
      <c r="H738" t="s">
        <v>4445</v>
      </c>
      <c r="I738" t="s">
        <v>4396</v>
      </c>
      <c r="J738" t="s">
        <v>4432</v>
      </c>
      <c r="K738">
        <v>1.6</v>
      </c>
      <c r="L738">
        <v>11.3</v>
      </c>
      <c r="M738">
        <v>15.2</v>
      </c>
      <c r="N738" t="s">
        <v>4377</v>
      </c>
      <c r="O738" t="s">
        <v>4369</v>
      </c>
      <c r="P738" s="1">
        <v>45727</v>
      </c>
      <c r="Q738" t="str">
        <f t="shared" si="44"/>
        <v>10+ Years</v>
      </c>
      <c r="R738" t="str">
        <f>IF(Table7[[#This Row],[Age]]&lt;=25,"20-25",IF(Table7[[#This Row],[Age]]&lt;=30,"26-30",IF(Table7[[#This Row],[Age]]&lt;=35,"31-35","36+")))</f>
        <v>20-25</v>
      </c>
      <c r="S738" t="str">
        <f t="shared" si="45"/>
        <v>March</v>
      </c>
      <c r="T738" s="2" t="str">
        <f t="shared" si="46"/>
        <v>Q1</v>
      </c>
      <c r="U738" s="2">
        <f t="shared" si="47"/>
        <v>2025</v>
      </c>
    </row>
    <row r="739" spans="1:21" x14ac:dyDescent="0.3">
      <c r="A739" t="s">
        <v>311</v>
      </c>
      <c r="B739" t="s">
        <v>5886</v>
      </c>
      <c r="C739" t="s">
        <v>4362</v>
      </c>
      <c r="D739" t="s">
        <v>4372</v>
      </c>
      <c r="E739">
        <v>29</v>
      </c>
      <c r="F739" t="s">
        <v>5887</v>
      </c>
      <c r="G739">
        <v>9458993036</v>
      </c>
      <c r="H739" t="s">
        <v>4365</v>
      </c>
      <c r="I739" t="s">
        <v>4366</v>
      </c>
      <c r="J739" t="s">
        <v>4450</v>
      </c>
      <c r="K739">
        <v>1.2</v>
      </c>
      <c r="L739">
        <v>4.8</v>
      </c>
      <c r="M739">
        <v>7</v>
      </c>
      <c r="N739" t="s">
        <v>4390</v>
      </c>
      <c r="O739" t="s">
        <v>4400</v>
      </c>
      <c r="P739" s="1">
        <v>45981</v>
      </c>
      <c r="Q739" t="str">
        <f t="shared" si="44"/>
        <v>10+ Years</v>
      </c>
      <c r="R739" t="str">
        <f>IF(Table7[[#This Row],[Age]]&lt;=25,"20-25",IF(Table7[[#This Row],[Age]]&lt;=30,"26-30",IF(Table7[[#This Row],[Age]]&lt;=35,"31-35","36+")))</f>
        <v>26-30</v>
      </c>
      <c r="S739" t="str">
        <f t="shared" si="45"/>
        <v>November</v>
      </c>
      <c r="T739" s="2" t="str">
        <f t="shared" si="46"/>
        <v>Q4</v>
      </c>
      <c r="U739" s="2">
        <f t="shared" si="47"/>
        <v>2025</v>
      </c>
    </row>
    <row r="740" spans="1:21" x14ac:dyDescent="0.3">
      <c r="A740" t="s">
        <v>1318</v>
      </c>
      <c r="B740" t="s">
        <v>4784</v>
      </c>
      <c r="C740" t="s">
        <v>5888</v>
      </c>
      <c r="D740" t="s">
        <v>4363</v>
      </c>
      <c r="E740">
        <v>23</v>
      </c>
      <c r="F740" t="s">
        <v>5889</v>
      </c>
      <c r="G740">
        <v>9287354276</v>
      </c>
      <c r="H740" t="s">
        <v>4491</v>
      </c>
      <c r="I740" t="s">
        <v>4491</v>
      </c>
      <c r="J740" t="s">
        <v>4367</v>
      </c>
      <c r="K740">
        <v>1.8</v>
      </c>
      <c r="L740">
        <v>10.9</v>
      </c>
      <c r="M740">
        <v>13.8</v>
      </c>
      <c r="N740" t="s">
        <v>4406</v>
      </c>
      <c r="O740" t="s">
        <v>4391</v>
      </c>
      <c r="P740" s="1">
        <v>45868</v>
      </c>
      <c r="Q740" t="str">
        <f t="shared" si="44"/>
        <v>10+ Years</v>
      </c>
      <c r="R740" t="str">
        <f>IF(Table7[[#This Row],[Age]]&lt;=25,"20-25",IF(Table7[[#This Row],[Age]]&lt;=30,"26-30",IF(Table7[[#This Row],[Age]]&lt;=35,"31-35","36+")))</f>
        <v>20-25</v>
      </c>
      <c r="S740" t="str">
        <f t="shared" si="45"/>
        <v>July</v>
      </c>
      <c r="T740" s="2" t="str">
        <f t="shared" si="46"/>
        <v>Q3</v>
      </c>
      <c r="U740" s="2">
        <f t="shared" si="47"/>
        <v>2025</v>
      </c>
    </row>
    <row r="741" spans="1:21" x14ac:dyDescent="0.3">
      <c r="A741" t="s">
        <v>2683</v>
      </c>
      <c r="B741" t="s">
        <v>4668</v>
      </c>
      <c r="C741" t="s">
        <v>4408</v>
      </c>
      <c r="D741" t="s">
        <v>4372</v>
      </c>
      <c r="E741">
        <v>38</v>
      </c>
      <c r="F741" t="s">
        <v>5890</v>
      </c>
      <c r="G741">
        <v>9544142604</v>
      </c>
      <c r="H741" t="s">
        <v>4365</v>
      </c>
      <c r="I741" t="s">
        <v>4366</v>
      </c>
      <c r="J741" t="s">
        <v>4446</v>
      </c>
      <c r="K741">
        <v>0.7</v>
      </c>
      <c r="L741">
        <v>9.4</v>
      </c>
      <c r="M741">
        <v>12.9</v>
      </c>
      <c r="N741" t="s">
        <v>4390</v>
      </c>
      <c r="O741" t="s">
        <v>4369</v>
      </c>
      <c r="P741" s="1">
        <v>45814</v>
      </c>
      <c r="Q741" t="str">
        <f t="shared" si="44"/>
        <v>10+ Years</v>
      </c>
      <c r="R741" t="str">
        <f>IF(Table7[[#This Row],[Age]]&lt;=25,"20-25",IF(Table7[[#This Row],[Age]]&lt;=30,"26-30",IF(Table7[[#This Row],[Age]]&lt;=35,"31-35","36+")))</f>
        <v>36+</v>
      </c>
      <c r="S741" t="str">
        <f t="shared" si="45"/>
        <v>June</v>
      </c>
      <c r="T741" s="2" t="str">
        <f t="shared" si="46"/>
        <v>Q2</v>
      </c>
      <c r="U741" s="2">
        <f t="shared" si="47"/>
        <v>2025</v>
      </c>
    </row>
    <row r="742" spans="1:21" x14ac:dyDescent="0.3">
      <c r="A742" t="s">
        <v>541</v>
      </c>
      <c r="B742" t="s">
        <v>5069</v>
      </c>
      <c r="C742" t="s">
        <v>4697</v>
      </c>
      <c r="D742" t="s">
        <v>4363</v>
      </c>
      <c r="E742">
        <v>32</v>
      </c>
      <c r="F742" t="s">
        <v>5891</v>
      </c>
      <c r="G742">
        <v>9524213205</v>
      </c>
      <c r="H742" t="s">
        <v>4410</v>
      </c>
      <c r="I742" t="s">
        <v>4411</v>
      </c>
      <c r="J742" t="s">
        <v>4376</v>
      </c>
      <c r="K742">
        <v>4</v>
      </c>
      <c r="M742">
        <v>13.3</v>
      </c>
      <c r="N742" t="s">
        <v>4368</v>
      </c>
      <c r="O742" t="s">
        <v>4383</v>
      </c>
      <c r="P742" s="1">
        <v>45878</v>
      </c>
      <c r="Q742" t="str">
        <f t="shared" si="44"/>
        <v>10+ Years</v>
      </c>
      <c r="R742" t="str">
        <f>IF(Table7[[#This Row],[Age]]&lt;=25,"20-25",IF(Table7[[#This Row],[Age]]&lt;=30,"26-30",IF(Table7[[#This Row],[Age]]&lt;=35,"31-35","36+")))</f>
        <v>31-35</v>
      </c>
      <c r="S742" t="str">
        <f t="shared" si="45"/>
        <v>August</v>
      </c>
      <c r="T742" s="2" t="str">
        <f t="shared" si="46"/>
        <v>Q3</v>
      </c>
      <c r="U742" s="2">
        <f t="shared" si="47"/>
        <v>2025</v>
      </c>
    </row>
    <row r="743" spans="1:21" x14ac:dyDescent="0.3">
      <c r="A743" t="s">
        <v>263</v>
      </c>
      <c r="B743" t="s">
        <v>5289</v>
      </c>
      <c r="C743" t="s">
        <v>5892</v>
      </c>
      <c r="D743" t="s">
        <v>4372</v>
      </c>
      <c r="E743">
        <v>33</v>
      </c>
      <c r="F743" t="s">
        <v>5893</v>
      </c>
      <c r="G743">
        <v>9112930072</v>
      </c>
      <c r="H743" t="s">
        <v>4410</v>
      </c>
      <c r="I743" t="s">
        <v>4411</v>
      </c>
      <c r="J743" t="s">
        <v>4367</v>
      </c>
      <c r="K743">
        <v>3.5</v>
      </c>
      <c r="L743">
        <v>9.5</v>
      </c>
      <c r="M743">
        <v>10.8</v>
      </c>
      <c r="N743" t="s">
        <v>4390</v>
      </c>
      <c r="O743" t="s">
        <v>4400</v>
      </c>
      <c r="P743" s="1">
        <v>46015</v>
      </c>
      <c r="Q743" t="str">
        <f t="shared" si="44"/>
        <v>10+ Years</v>
      </c>
      <c r="R743" t="str">
        <f>IF(Table7[[#This Row],[Age]]&lt;=25,"20-25",IF(Table7[[#This Row],[Age]]&lt;=30,"26-30",IF(Table7[[#This Row],[Age]]&lt;=35,"31-35","36+")))</f>
        <v>31-35</v>
      </c>
      <c r="S743" t="str">
        <f t="shared" si="45"/>
        <v>December</v>
      </c>
      <c r="T743" s="2" t="str">
        <f t="shared" si="46"/>
        <v>Q4</v>
      </c>
      <c r="U743" s="2">
        <f t="shared" si="47"/>
        <v>2025</v>
      </c>
    </row>
    <row r="744" spans="1:21" x14ac:dyDescent="0.3">
      <c r="A744" t="s">
        <v>940</v>
      </c>
      <c r="B744" t="s">
        <v>4565</v>
      </c>
      <c r="C744" t="s">
        <v>5894</v>
      </c>
      <c r="D744" t="s">
        <v>4372</v>
      </c>
      <c r="E744">
        <v>30</v>
      </c>
      <c r="F744" t="s">
        <v>5895</v>
      </c>
      <c r="G744">
        <v>9998670688</v>
      </c>
      <c r="H744" t="s">
        <v>4445</v>
      </c>
      <c r="I744" t="s">
        <v>4396</v>
      </c>
      <c r="J744" t="s">
        <v>4376</v>
      </c>
      <c r="K744">
        <v>1</v>
      </c>
      <c r="L744">
        <v>10.1</v>
      </c>
      <c r="M744">
        <v>13.2</v>
      </c>
      <c r="N744" t="s">
        <v>4406</v>
      </c>
      <c r="O744" t="s">
        <v>4391</v>
      </c>
      <c r="P744" s="1">
        <v>45791</v>
      </c>
      <c r="Q744" t="str">
        <f t="shared" si="44"/>
        <v>10+ Years</v>
      </c>
      <c r="R744" t="str">
        <f>IF(Table7[[#This Row],[Age]]&lt;=25,"20-25",IF(Table7[[#This Row],[Age]]&lt;=30,"26-30",IF(Table7[[#This Row],[Age]]&lt;=35,"31-35","36+")))</f>
        <v>26-30</v>
      </c>
      <c r="S744" t="str">
        <f t="shared" si="45"/>
        <v>May</v>
      </c>
      <c r="T744" s="2" t="str">
        <f t="shared" si="46"/>
        <v>Q2</v>
      </c>
      <c r="U744" s="2">
        <f t="shared" si="47"/>
        <v>2025</v>
      </c>
    </row>
    <row r="745" spans="1:21" x14ac:dyDescent="0.3">
      <c r="A745" t="s">
        <v>666</v>
      </c>
      <c r="B745" t="s">
        <v>5034</v>
      </c>
      <c r="C745" t="s">
        <v>4606</v>
      </c>
      <c r="D745" t="s">
        <v>4372</v>
      </c>
      <c r="E745">
        <v>25</v>
      </c>
      <c r="F745" t="s">
        <v>5896</v>
      </c>
      <c r="G745">
        <v>9636538049</v>
      </c>
      <c r="H745" t="s">
        <v>4374</v>
      </c>
      <c r="I745" t="s">
        <v>4375</v>
      </c>
      <c r="J745" t="s">
        <v>4376</v>
      </c>
      <c r="K745">
        <v>4.7</v>
      </c>
      <c r="L745">
        <v>11.7</v>
      </c>
      <c r="M745">
        <v>13.5</v>
      </c>
      <c r="N745" t="s">
        <v>4406</v>
      </c>
      <c r="O745" t="s">
        <v>4456</v>
      </c>
      <c r="P745" s="1">
        <v>45912</v>
      </c>
      <c r="Q745" t="str">
        <f t="shared" si="44"/>
        <v>10+ Years</v>
      </c>
      <c r="R745" t="str">
        <f>IF(Table7[[#This Row],[Age]]&lt;=25,"20-25",IF(Table7[[#This Row],[Age]]&lt;=30,"26-30",IF(Table7[[#This Row],[Age]]&lt;=35,"31-35","36+")))</f>
        <v>20-25</v>
      </c>
      <c r="S745" t="str">
        <f t="shared" si="45"/>
        <v>September</v>
      </c>
      <c r="T745" s="2" t="str">
        <f t="shared" si="46"/>
        <v>Q3</v>
      </c>
      <c r="U745" s="2">
        <f t="shared" si="47"/>
        <v>2025</v>
      </c>
    </row>
    <row r="746" spans="1:21" x14ac:dyDescent="0.3">
      <c r="A746" t="s">
        <v>3559</v>
      </c>
      <c r="B746" t="s">
        <v>4654</v>
      </c>
      <c r="C746" t="s">
        <v>5897</v>
      </c>
      <c r="D746" t="s">
        <v>4363</v>
      </c>
      <c r="E746">
        <v>23</v>
      </c>
      <c r="F746" t="s">
        <v>5898</v>
      </c>
      <c r="G746">
        <v>9742287558</v>
      </c>
      <c r="H746" t="s">
        <v>4410</v>
      </c>
      <c r="I746" t="s">
        <v>4411</v>
      </c>
      <c r="J746" t="s">
        <v>4367</v>
      </c>
      <c r="K746">
        <v>3.6</v>
      </c>
      <c r="L746">
        <v>12.9</v>
      </c>
      <c r="M746">
        <v>17</v>
      </c>
      <c r="N746" t="s">
        <v>4377</v>
      </c>
      <c r="O746" t="s">
        <v>4419</v>
      </c>
      <c r="P746" s="1">
        <v>45813</v>
      </c>
      <c r="Q746" t="str">
        <f t="shared" si="44"/>
        <v>10+ Years</v>
      </c>
      <c r="R746" t="str">
        <f>IF(Table7[[#This Row],[Age]]&lt;=25,"20-25",IF(Table7[[#This Row],[Age]]&lt;=30,"26-30",IF(Table7[[#This Row],[Age]]&lt;=35,"31-35","36+")))</f>
        <v>20-25</v>
      </c>
      <c r="S746" t="str">
        <f t="shared" si="45"/>
        <v>June</v>
      </c>
      <c r="T746" s="2" t="str">
        <f t="shared" si="46"/>
        <v>Q2</v>
      </c>
      <c r="U746" s="2">
        <f t="shared" si="47"/>
        <v>2025</v>
      </c>
    </row>
    <row r="747" spans="1:21" x14ac:dyDescent="0.3">
      <c r="A747" t="s">
        <v>2751</v>
      </c>
      <c r="B747" t="s">
        <v>4514</v>
      </c>
      <c r="C747" t="s">
        <v>5899</v>
      </c>
      <c r="D747" t="s">
        <v>4372</v>
      </c>
      <c r="E747">
        <v>22</v>
      </c>
      <c r="F747" t="s">
        <v>5900</v>
      </c>
      <c r="G747">
        <v>9814057504</v>
      </c>
      <c r="H747" t="s">
        <v>4521</v>
      </c>
      <c r="I747" t="s">
        <v>4522</v>
      </c>
      <c r="J747" t="s">
        <v>4432</v>
      </c>
      <c r="K747">
        <v>20</v>
      </c>
      <c r="L747">
        <v>23</v>
      </c>
      <c r="M747">
        <v>32.700000000000003</v>
      </c>
      <c r="N747" t="s">
        <v>4377</v>
      </c>
      <c r="O747" t="s">
        <v>4485</v>
      </c>
      <c r="P747" s="1">
        <v>45784</v>
      </c>
      <c r="Q747" t="str">
        <f t="shared" si="44"/>
        <v>10+ Years</v>
      </c>
      <c r="R747" t="str">
        <f>IF(Table7[[#This Row],[Age]]&lt;=25,"20-25",IF(Table7[[#This Row],[Age]]&lt;=30,"26-30",IF(Table7[[#This Row],[Age]]&lt;=35,"31-35","36+")))</f>
        <v>20-25</v>
      </c>
      <c r="S747" t="str">
        <f t="shared" si="45"/>
        <v>May</v>
      </c>
      <c r="T747" s="2" t="str">
        <f t="shared" si="46"/>
        <v>Q2</v>
      </c>
      <c r="U747" s="2">
        <f t="shared" si="47"/>
        <v>2025</v>
      </c>
    </row>
    <row r="748" spans="1:21" x14ac:dyDescent="0.3">
      <c r="A748" t="s">
        <v>424</v>
      </c>
      <c r="B748" t="s">
        <v>4731</v>
      </c>
      <c r="C748" t="s">
        <v>4751</v>
      </c>
      <c r="D748" t="s">
        <v>4372</v>
      </c>
      <c r="E748">
        <v>32</v>
      </c>
      <c r="F748" t="s">
        <v>5901</v>
      </c>
      <c r="G748">
        <v>9506827385</v>
      </c>
      <c r="H748" t="s">
        <v>4445</v>
      </c>
      <c r="I748" t="s">
        <v>4396</v>
      </c>
      <c r="J748" t="s">
        <v>4432</v>
      </c>
      <c r="K748">
        <v>2.7</v>
      </c>
      <c r="L748">
        <v>6.8</v>
      </c>
      <c r="M748">
        <v>9.3000000000000007</v>
      </c>
      <c r="N748" t="s">
        <v>4390</v>
      </c>
      <c r="O748" t="s">
        <v>4391</v>
      </c>
      <c r="P748" s="1">
        <v>45936</v>
      </c>
      <c r="Q748" t="str">
        <f t="shared" si="44"/>
        <v>10+ Years</v>
      </c>
      <c r="R748" t="str">
        <f>IF(Table7[[#This Row],[Age]]&lt;=25,"20-25",IF(Table7[[#This Row],[Age]]&lt;=30,"26-30",IF(Table7[[#This Row],[Age]]&lt;=35,"31-35","36+")))</f>
        <v>31-35</v>
      </c>
      <c r="S748" t="str">
        <f t="shared" si="45"/>
        <v>October</v>
      </c>
      <c r="T748" s="2" t="str">
        <f t="shared" si="46"/>
        <v>Q4</v>
      </c>
      <c r="U748" s="2">
        <f t="shared" si="47"/>
        <v>2025</v>
      </c>
    </row>
    <row r="749" spans="1:21" x14ac:dyDescent="0.3">
      <c r="A749" t="s">
        <v>3063</v>
      </c>
      <c r="B749" t="s">
        <v>5730</v>
      </c>
      <c r="C749" t="s">
        <v>5006</v>
      </c>
      <c r="D749" t="s">
        <v>4372</v>
      </c>
      <c r="E749">
        <v>21</v>
      </c>
      <c r="F749" t="s">
        <v>5902</v>
      </c>
      <c r="G749">
        <v>9528973394</v>
      </c>
      <c r="H749" t="s">
        <v>4387</v>
      </c>
      <c r="I749" t="s">
        <v>4388</v>
      </c>
      <c r="J749" t="s">
        <v>4450</v>
      </c>
      <c r="K749">
        <v>0.6</v>
      </c>
      <c r="L749">
        <v>4.4000000000000004</v>
      </c>
      <c r="M749">
        <v>6.1</v>
      </c>
      <c r="N749" t="s">
        <v>4390</v>
      </c>
      <c r="O749" t="s">
        <v>4391</v>
      </c>
      <c r="P749" s="1">
        <v>45940</v>
      </c>
      <c r="Q749" t="str">
        <f t="shared" si="44"/>
        <v>10+ Years</v>
      </c>
      <c r="R749" t="str">
        <f>IF(Table7[[#This Row],[Age]]&lt;=25,"20-25",IF(Table7[[#This Row],[Age]]&lt;=30,"26-30",IF(Table7[[#This Row],[Age]]&lt;=35,"31-35","36+")))</f>
        <v>20-25</v>
      </c>
      <c r="S749" t="str">
        <f t="shared" si="45"/>
        <v>October</v>
      </c>
      <c r="T749" s="2" t="str">
        <f t="shared" si="46"/>
        <v>Q4</v>
      </c>
      <c r="U749" s="2">
        <f t="shared" si="47"/>
        <v>2025</v>
      </c>
    </row>
    <row r="750" spans="1:21" x14ac:dyDescent="0.3">
      <c r="A750" t="s">
        <v>2731</v>
      </c>
      <c r="B750" t="s">
        <v>4854</v>
      </c>
      <c r="C750" t="s">
        <v>5135</v>
      </c>
      <c r="D750" t="s">
        <v>4363</v>
      </c>
      <c r="E750">
        <v>23</v>
      </c>
      <c r="F750" t="s">
        <v>5903</v>
      </c>
      <c r="G750">
        <v>9257041092</v>
      </c>
      <c r="H750" t="s">
        <v>4521</v>
      </c>
      <c r="I750" t="s">
        <v>4522</v>
      </c>
      <c r="J750" t="s">
        <v>4389</v>
      </c>
      <c r="K750">
        <v>3</v>
      </c>
      <c r="L750">
        <v>13.2</v>
      </c>
      <c r="M750">
        <v>16.100000000000001</v>
      </c>
      <c r="N750" t="s">
        <v>4377</v>
      </c>
      <c r="O750" t="s">
        <v>4369</v>
      </c>
      <c r="P750" s="1">
        <v>45806</v>
      </c>
      <c r="Q750" t="str">
        <f t="shared" si="44"/>
        <v>10+ Years</v>
      </c>
      <c r="R750" t="str">
        <f>IF(Table7[[#This Row],[Age]]&lt;=25,"20-25",IF(Table7[[#This Row],[Age]]&lt;=30,"26-30",IF(Table7[[#This Row],[Age]]&lt;=35,"31-35","36+")))</f>
        <v>20-25</v>
      </c>
      <c r="S750" t="str">
        <f t="shared" si="45"/>
        <v>May</v>
      </c>
      <c r="T750" s="2" t="str">
        <f t="shared" si="46"/>
        <v>Q2</v>
      </c>
      <c r="U750" s="2">
        <f t="shared" si="47"/>
        <v>2025</v>
      </c>
    </row>
    <row r="751" spans="1:21" x14ac:dyDescent="0.3">
      <c r="A751" t="s">
        <v>3165</v>
      </c>
      <c r="B751" t="s">
        <v>4523</v>
      </c>
      <c r="C751" t="s">
        <v>5904</v>
      </c>
      <c r="D751" t="s">
        <v>4363</v>
      </c>
      <c r="E751">
        <v>26</v>
      </c>
      <c r="F751" t="s">
        <v>5905</v>
      </c>
      <c r="G751">
        <v>9258706907</v>
      </c>
      <c r="H751" t="s">
        <v>4476</v>
      </c>
      <c r="I751" t="s">
        <v>4477</v>
      </c>
      <c r="J751" t="s">
        <v>4389</v>
      </c>
      <c r="K751">
        <v>0.2</v>
      </c>
      <c r="L751">
        <v>5.4</v>
      </c>
      <c r="M751">
        <v>7.3</v>
      </c>
      <c r="N751" t="s">
        <v>4377</v>
      </c>
      <c r="O751" t="s">
        <v>4369</v>
      </c>
      <c r="P751" s="1">
        <v>45989</v>
      </c>
      <c r="Q751" t="str">
        <f t="shared" si="44"/>
        <v>10+ Years</v>
      </c>
      <c r="R751" t="str">
        <f>IF(Table7[[#This Row],[Age]]&lt;=25,"20-25",IF(Table7[[#This Row],[Age]]&lt;=30,"26-30",IF(Table7[[#This Row],[Age]]&lt;=35,"31-35","36+")))</f>
        <v>26-30</v>
      </c>
      <c r="S751" t="str">
        <f t="shared" si="45"/>
        <v>November</v>
      </c>
      <c r="T751" s="2" t="str">
        <f t="shared" si="46"/>
        <v>Q4</v>
      </c>
      <c r="U751" s="2">
        <f t="shared" si="47"/>
        <v>2025</v>
      </c>
    </row>
    <row r="752" spans="1:21" x14ac:dyDescent="0.3">
      <c r="A752" t="s">
        <v>1058</v>
      </c>
      <c r="B752" t="s">
        <v>4537</v>
      </c>
      <c r="C752" t="s">
        <v>5713</v>
      </c>
      <c r="D752" t="s">
        <v>4372</v>
      </c>
      <c r="E752">
        <v>27</v>
      </c>
      <c r="F752" t="s">
        <v>5906</v>
      </c>
      <c r="G752">
        <v>9355647929</v>
      </c>
      <c r="H752" t="s">
        <v>4404</v>
      </c>
      <c r="I752" t="s">
        <v>4405</v>
      </c>
      <c r="J752" t="s">
        <v>4482</v>
      </c>
      <c r="K752">
        <v>2</v>
      </c>
      <c r="L752">
        <v>2.5</v>
      </c>
      <c r="M752">
        <v>3</v>
      </c>
      <c r="N752" t="s">
        <v>4390</v>
      </c>
      <c r="O752" t="s">
        <v>4383</v>
      </c>
      <c r="P752" s="1">
        <v>45968</v>
      </c>
      <c r="Q752" t="str">
        <f t="shared" si="44"/>
        <v>10+ Years</v>
      </c>
      <c r="R752" t="str">
        <f>IF(Table7[[#This Row],[Age]]&lt;=25,"20-25",IF(Table7[[#This Row],[Age]]&lt;=30,"26-30",IF(Table7[[#This Row],[Age]]&lt;=35,"31-35","36+")))</f>
        <v>26-30</v>
      </c>
      <c r="S752" t="str">
        <f t="shared" si="45"/>
        <v>November</v>
      </c>
      <c r="T752" s="2" t="str">
        <f t="shared" si="46"/>
        <v>Q4</v>
      </c>
      <c r="U752" s="2">
        <f t="shared" si="47"/>
        <v>2025</v>
      </c>
    </row>
    <row r="753" spans="1:21" x14ac:dyDescent="0.3">
      <c r="A753" t="s">
        <v>1526</v>
      </c>
      <c r="B753" t="s">
        <v>4937</v>
      </c>
      <c r="C753" t="s">
        <v>5262</v>
      </c>
      <c r="D753" t="s">
        <v>4363</v>
      </c>
      <c r="E753">
        <v>32</v>
      </c>
      <c r="F753" t="s">
        <v>5907</v>
      </c>
      <c r="G753">
        <v>9729973881</v>
      </c>
      <c r="H753" t="s">
        <v>4395</v>
      </c>
      <c r="I753" t="s">
        <v>4396</v>
      </c>
      <c r="J753" t="s">
        <v>4618</v>
      </c>
      <c r="K753">
        <v>5.2</v>
      </c>
      <c r="L753">
        <v>11.8</v>
      </c>
      <c r="M753">
        <v>16.3</v>
      </c>
      <c r="O753" t="s">
        <v>4369</v>
      </c>
      <c r="P753" s="1">
        <v>45922</v>
      </c>
      <c r="Q753" t="str">
        <f t="shared" si="44"/>
        <v>10+ Years</v>
      </c>
      <c r="R753" t="str">
        <f>IF(Table7[[#This Row],[Age]]&lt;=25,"20-25",IF(Table7[[#This Row],[Age]]&lt;=30,"26-30",IF(Table7[[#This Row],[Age]]&lt;=35,"31-35","36+")))</f>
        <v>31-35</v>
      </c>
      <c r="S753" t="str">
        <f t="shared" si="45"/>
        <v>September</v>
      </c>
      <c r="T753" s="2" t="str">
        <f t="shared" si="46"/>
        <v>Q3</v>
      </c>
      <c r="U753" s="2">
        <f t="shared" si="47"/>
        <v>2025</v>
      </c>
    </row>
    <row r="754" spans="1:21" x14ac:dyDescent="0.3">
      <c r="A754" t="s">
        <v>3499</v>
      </c>
      <c r="B754" t="s">
        <v>5908</v>
      </c>
      <c r="C754" t="s">
        <v>5909</v>
      </c>
      <c r="D754" t="s">
        <v>4363</v>
      </c>
      <c r="E754">
        <v>23</v>
      </c>
      <c r="F754" t="s">
        <v>5910</v>
      </c>
      <c r="G754">
        <v>9264867250</v>
      </c>
      <c r="H754" t="s">
        <v>4473</v>
      </c>
      <c r="I754" t="s">
        <v>4473</v>
      </c>
      <c r="J754" t="s">
        <v>4415</v>
      </c>
      <c r="K754">
        <v>1.8</v>
      </c>
      <c r="L754">
        <v>6.8</v>
      </c>
      <c r="M754">
        <v>9.5</v>
      </c>
      <c r="N754" t="s">
        <v>4494</v>
      </c>
      <c r="O754" t="s">
        <v>4391</v>
      </c>
      <c r="P754" s="1">
        <v>45847</v>
      </c>
      <c r="Q754" t="str">
        <f t="shared" si="44"/>
        <v>10+ Years</v>
      </c>
      <c r="R754" t="str">
        <f>IF(Table7[[#This Row],[Age]]&lt;=25,"20-25",IF(Table7[[#This Row],[Age]]&lt;=30,"26-30",IF(Table7[[#This Row],[Age]]&lt;=35,"31-35","36+")))</f>
        <v>20-25</v>
      </c>
      <c r="S754" t="str">
        <f t="shared" si="45"/>
        <v>July</v>
      </c>
      <c r="T754" s="2" t="str">
        <f t="shared" si="46"/>
        <v>Q3</v>
      </c>
      <c r="U754" s="2">
        <f t="shared" si="47"/>
        <v>2025</v>
      </c>
    </row>
    <row r="755" spans="1:21" x14ac:dyDescent="0.3">
      <c r="A755" t="s">
        <v>5911</v>
      </c>
      <c r="B755" t="s">
        <v>5147</v>
      </c>
      <c r="C755" t="s">
        <v>5635</v>
      </c>
      <c r="D755" t="s">
        <v>4372</v>
      </c>
      <c r="E755">
        <v>25</v>
      </c>
      <c r="F755" t="s">
        <v>5912</v>
      </c>
      <c r="G755">
        <v>9954791583</v>
      </c>
      <c r="H755" t="s">
        <v>4491</v>
      </c>
      <c r="I755" t="s">
        <v>4491</v>
      </c>
      <c r="J755" t="s">
        <v>4367</v>
      </c>
      <c r="K755">
        <v>1.4</v>
      </c>
      <c r="L755">
        <v>3.5</v>
      </c>
      <c r="M755">
        <v>4.0999999999999996</v>
      </c>
      <c r="N755" t="s">
        <v>4377</v>
      </c>
      <c r="O755" t="s">
        <v>4369</v>
      </c>
      <c r="P755" s="1">
        <v>45938</v>
      </c>
      <c r="Q755" t="str">
        <f t="shared" si="44"/>
        <v>10+ Years</v>
      </c>
      <c r="R755" t="str">
        <f>IF(Table7[[#This Row],[Age]]&lt;=25,"20-25",IF(Table7[[#This Row],[Age]]&lt;=30,"26-30",IF(Table7[[#This Row],[Age]]&lt;=35,"31-35","36+")))</f>
        <v>20-25</v>
      </c>
      <c r="S755" t="str">
        <f t="shared" si="45"/>
        <v>October</v>
      </c>
      <c r="T755" s="2" t="str">
        <f t="shared" si="46"/>
        <v>Q4</v>
      </c>
      <c r="U755" s="2">
        <f t="shared" si="47"/>
        <v>2025</v>
      </c>
    </row>
    <row r="756" spans="1:21" x14ac:dyDescent="0.3">
      <c r="A756" t="s">
        <v>361</v>
      </c>
      <c r="B756" t="s">
        <v>4557</v>
      </c>
      <c r="C756" t="s">
        <v>5913</v>
      </c>
      <c r="D756" t="s">
        <v>4363</v>
      </c>
      <c r="E756">
        <v>40</v>
      </c>
      <c r="F756" t="s">
        <v>5914</v>
      </c>
      <c r="G756">
        <v>9168990028</v>
      </c>
      <c r="H756" t="s">
        <v>4476</v>
      </c>
      <c r="I756" t="s">
        <v>4477</v>
      </c>
      <c r="J756" t="s">
        <v>4482</v>
      </c>
      <c r="K756">
        <v>1.5</v>
      </c>
      <c r="M756">
        <v>8.1999999999999993</v>
      </c>
      <c r="N756" t="s">
        <v>4406</v>
      </c>
      <c r="O756" t="s">
        <v>4391</v>
      </c>
      <c r="P756" s="1">
        <v>46016</v>
      </c>
      <c r="Q756" t="str">
        <f t="shared" si="44"/>
        <v>10+ Years</v>
      </c>
      <c r="R756" t="str">
        <f>IF(Table7[[#This Row],[Age]]&lt;=25,"20-25",IF(Table7[[#This Row],[Age]]&lt;=30,"26-30",IF(Table7[[#This Row],[Age]]&lt;=35,"31-35","36+")))</f>
        <v>36+</v>
      </c>
      <c r="S756" t="str">
        <f t="shared" si="45"/>
        <v>December</v>
      </c>
      <c r="T756" s="2" t="str">
        <f t="shared" si="46"/>
        <v>Q4</v>
      </c>
      <c r="U756" s="2">
        <f t="shared" si="47"/>
        <v>2025</v>
      </c>
    </row>
    <row r="757" spans="1:21" x14ac:dyDescent="0.3">
      <c r="A757" t="s">
        <v>5915</v>
      </c>
      <c r="B757" t="s">
        <v>4634</v>
      </c>
      <c r="C757" t="s">
        <v>4994</v>
      </c>
      <c r="D757" t="s">
        <v>4372</v>
      </c>
      <c r="E757">
        <v>37</v>
      </c>
      <c r="F757" t="s">
        <v>5916</v>
      </c>
      <c r="G757">
        <v>9960580647</v>
      </c>
      <c r="H757" t="s">
        <v>4491</v>
      </c>
      <c r="I757" t="s">
        <v>4491</v>
      </c>
      <c r="J757" t="s">
        <v>4415</v>
      </c>
      <c r="K757">
        <v>0.9</v>
      </c>
      <c r="L757">
        <v>7</v>
      </c>
      <c r="M757">
        <v>8.1999999999999993</v>
      </c>
      <c r="N757" t="s">
        <v>4377</v>
      </c>
      <c r="O757" t="s">
        <v>4400</v>
      </c>
      <c r="P757" s="1">
        <v>45768</v>
      </c>
      <c r="Q757" t="str">
        <f t="shared" si="44"/>
        <v>10+ Years</v>
      </c>
      <c r="R757" t="str">
        <f>IF(Table7[[#This Row],[Age]]&lt;=25,"20-25",IF(Table7[[#This Row],[Age]]&lt;=30,"26-30",IF(Table7[[#This Row],[Age]]&lt;=35,"31-35","36+")))</f>
        <v>36+</v>
      </c>
      <c r="S757" t="str">
        <f t="shared" si="45"/>
        <v>April</v>
      </c>
      <c r="T757" s="2" t="str">
        <f t="shared" si="46"/>
        <v>Q2</v>
      </c>
      <c r="U757" s="2">
        <f t="shared" si="47"/>
        <v>2025</v>
      </c>
    </row>
    <row r="758" spans="1:21" x14ac:dyDescent="0.3">
      <c r="A758" t="s">
        <v>2634</v>
      </c>
      <c r="B758" t="s">
        <v>4457</v>
      </c>
      <c r="C758" t="s">
        <v>5917</v>
      </c>
      <c r="D758" t="s">
        <v>4363</v>
      </c>
      <c r="E758">
        <v>21</v>
      </c>
      <c r="F758" t="s">
        <v>5918</v>
      </c>
      <c r="G758">
        <v>9970128978</v>
      </c>
      <c r="H758" t="s">
        <v>4454</v>
      </c>
      <c r="I758" t="s">
        <v>4455</v>
      </c>
      <c r="J758" t="s">
        <v>4432</v>
      </c>
      <c r="K758">
        <v>10.1</v>
      </c>
      <c r="L758">
        <v>18.8</v>
      </c>
      <c r="M758">
        <v>21.1</v>
      </c>
      <c r="N758" t="s">
        <v>4377</v>
      </c>
      <c r="O758" t="s">
        <v>4400</v>
      </c>
      <c r="P758" s="1">
        <v>45707</v>
      </c>
      <c r="Q758" t="str">
        <f t="shared" si="44"/>
        <v>10+ Years</v>
      </c>
      <c r="R758" t="str">
        <f>IF(Table7[[#This Row],[Age]]&lt;=25,"20-25",IF(Table7[[#This Row],[Age]]&lt;=30,"26-30",IF(Table7[[#This Row],[Age]]&lt;=35,"31-35","36+")))</f>
        <v>20-25</v>
      </c>
      <c r="S758" t="str">
        <f t="shared" si="45"/>
        <v>February</v>
      </c>
      <c r="T758" s="2" t="str">
        <f t="shared" si="46"/>
        <v>Q1</v>
      </c>
      <c r="U758" s="2">
        <f t="shared" si="47"/>
        <v>2025</v>
      </c>
    </row>
    <row r="759" spans="1:21" x14ac:dyDescent="0.3">
      <c r="A759" t="s">
        <v>371</v>
      </c>
      <c r="B759" t="s">
        <v>4787</v>
      </c>
      <c r="C759" t="s">
        <v>5919</v>
      </c>
      <c r="D759" t="s">
        <v>4363</v>
      </c>
      <c r="E759">
        <v>29</v>
      </c>
      <c r="F759" t="s">
        <v>5920</v>
      </c>
      <c r="G759">
        <v>9930167470</v>
      </c>
      <c r="H759" t="s">
        <v>4491</v>
      </c>
      <c r="I759" t="s">
        <v>4491</v>
      </c>
      <c r="J759" t="s">
        <v>4376</v>
      </c>
      <c r="K759">
        <v>0.3</v>
      </c>
      <c r="L759">
        <v>6.9</v>
      </c>
      <c r="M759">
        <v>9.6</v>
      </c>
      <c r="N759" t="s">
        <v>4494</v>
      </c>
      <c r="O759" t="s">
        <v>4391</v>
      </c>
      <c r="P759" s="1">
        <v>45724</v>
      </c>
      <c r="Q759" t="str">
        <f t="shared" si="44"/>
        <v>10+ Years</v>
      </c>
      <c r="R759" t="str">
        <f>IF(Table7[[#This Row],[Age]]&lt;=25,"20-25",IF(Table7[[#This Row],[Age]]&lt;=30,"26-30",IF(Table7[[#This Row],[Age]]&lt;=35,"31-35","36+")))</f>
        <v>26-30</v>
      </c>
      <c r="S759" t="str">
        <f t="shared" si="45"/>
        <v>March</v>
      </c>
      <c r="T759" s="2" t="str">
        <f t="shared" si="46"/>
        <v>Q1</v>
      </c>
      <c r="U759" s="2">
        <f t="shared" si="47"/>
        <v>2025</v>
      </c>
    </row>
    <row r="760" spans="1:21" x14ac:dyDescent="0.3">
      <c r="A760" t="s">
        <v>5921</v>
      </c>
      <c r="B760" t="s">
        <v>5922</v>
      </c>
      <c r="C760" t="s">
        <v>5923</v>
      </c>
      <c r="D760" t="s">
        <v>4363</v>
      </c>
      <c r="E760">
        <v>26</v>
      </c>
      <c r="F760" t="s">
        <v>5924</v>
      </c>
      <c r="G760">
        <v>9858264893</v>
      </c>
      <c r="H760" t="s">
        <v>4395</v>
      </c>
      <c r="I760" t="s">
        <v>4396</v>
      </c>
      <c r="J760" t="s">
        <v>4482</v>
      </c>
      <c r="K760">
        <v>4.5</v>
      </c>
      <c r="L760">
        <v>10.3</v>
      </c>
      <c r="M760">
        <v>12</v>
      </c>
      <c r="N760" t="s">
        <v>4390</v>
      </c>
      <c r="O760" t="s">
        <v>4391</v>
      </c>
      <c r="P760" s="1">
        <v>45786</v>
      </c>
      <c r="Q760" t="str">
        <f t="shared" si="44"/>
        <v>10+ Years</v>
      </c>
      <c r="R760" t="str">
        <f>IF(Table7[[#This Row],[Age]]&lt;=25,"20-25",IF(Table7[[#This Row],[Age]]&lt;=30,"26-30",IF(Table7[[#This Row],[Age]]&lt;=35,"31-35","36+")))</f>
        <v>26-30</v>
      </c>
      <c r="S760" t="str">
        <f t="shared" si="45"/>
        <v>May</v>
      </c>
      <c r="T760" s="2" t="str">
        <f t="shared" si="46"/>
        <v>Q2</v>
      </c>
      <c r="U760" s="2">
        <f t="shared" si="47"/>
        <v>2025</v>
      </c>
    </row>
    <row r="761" spans="1:21" x14ac:dyDescent="0.3">
      <c r="A761" t="s">
        <v>497</v>
      </c>
      <c r="B761" t="s">
        <v>4766</v>
      </c>
      <c r="C761" t="s">
        <v>5925</v>
      </c>
      <c r="D761" t="s">
        <v>4363</v>
      </c>
      <c r="E761">
        <v>35</v>
      </c>
      <c r="F761" t="s">
        <v>5926</v>
      </c>
      <c r="G761">
        <v>9245321049</v>
      </c>
      <c r="H761" t="s">
        <v>4521</v>
      </c>
      <c r="I761" t="s">
        <v>4522</v>
      </c>
      <c r="J761" t="s">
        <v>4446</v>
      </c>
      <c r="K761">
        <v>0.6</v>
      </c>
      <c r="L761">
        <v>7.5</v>
      </c>
      <c r="M761">
        <v>10.6</v>
      </c>
      <c r="N761" t="s">
        <v>4368</v>
      </c>
      <c r="O761" t="s">
        <v>4456</v>
      </c>
      <c r="P761" s="1">
        <v>46002</v>
      </c>
      <c r="Q761" t="str">
        <f t="shared" si="44"/>
        <v>10+ Years</v>
      </c>
      <c r="R761" t="str">
        <f>IF(Table7[[#This Row],[Age]]&lt;=25,"20-25",IF(Table7[[#This Row],[Age]]&lt;=30,"26-30",IF(Table7[[#This Row],[Age]]&lt;=35,"31-35","36+")))</f>
        <v>31-35</v>
      </c>
      <c r="S761" t="str">
        <f t="shared" si="45"/>
        <v>December</v>
      </c>
      <c r="T761" s="2" t="str">
        <f t="shared" si="46"/>
        <v>Q4</v>
      </c>
      <c r="U761" s="2">
        <f t="shared" si="47"/>
        <v>2025</v>
      </c>
    </row>
    <row r="762" spans="1:21" x14ac:dyDescent="0.3">
      <c r="A762" t="s">
        <v>3254</v>
      </c>
      <c r="B762" t="s">
        <v>4573</v>
      </c>
      <c r="C762" t="s">
        <v>4529</v>
      </c>
      <c r="D762" t="s">
        <v>4363</v>
      </c>
      <c r="E762">
        <v>27</v>
      </c>
      <c r="F762" t="s">
        <v>5927</v>
      </c>
      <c r="G762">
        <v>9935806152</v>
      </c>
      <c r="H762" t="s">
        <v>4454</v>
      </c>
      <c r="I762" t="s">
        <v>4455</v>
      </c>
      <c r="J762" t="s">
        <v>4389</v>
      </c>
      <c r="K762">
        <v>0.8</v>
      </c>
      <c r="L762">
        <v>6.9</v>
      </c>
      <c r="M762">
        <v>8.4</v>
      </c>
      <c r="N762" t="s">
        <v>4406</v>
      </c>
      <c r="O762" t="s">
        <v>4391</v>
      </c>
      <c r="P762" s="1">
        <v>46005</v>
      </c>
      <c r="Q762" t="str">
        <f t="shared" si="44"/>
        <v>10+ Years</v>
      </c>
      <c r="R762" t="str">
        <f>IF(Table7[[#This Row],[Age]]&lt;=25,"20-25",IF(Table7[[#This Row],[Age]]&lt;=30,"26-30",IF(Table7[[#This Row],[Age]]&lt;=35,"31-35","36+")))</f>
        <v>26-30</v>
      </c>
      <c r="S762" t="str">
        <f t="shared" si="45"/>
        <v>December</v>
      </c>
      <c r="T762" s="2" t="str">
        <f t="shared" si="46"/>
        <v>Q4</v>
      </c>
      <c r="U762" s="2">
        <f t="shared" si="47"/>
        <v>2025</v>
      </c>
    </row>
    <row r="763" spans="1:21" x14ac:dyDescent="0.3">
      <c r="A763" t="s">
        <v>1540</v>
      </c>
      <c r="B763" t="s">
        <v>4565</v>
      </c>
      <c r="C763" t="s">
        <v>5509</v>
      </c>
      <c r="D763" t="s">
        <v>4372</v>
      </c>
      <c r="E763">
        <v>21</v>
      </c>
      <c r="F763" t="s">
        <v>5928</v>
      </c>
      <c r="G763">
        <v>9271373992</v>
      </c>
      <c r="H763" t="s">
        <v>4491</v>
      </c>
      <c r="I763" t="s">
        <v>4491</v>
      </c>
      <c r="J763" t="s">
        <v>4367</v>
      </c>
      <c r="K763">
        <v>0.3</v>
      </c>
      <c r="L763">
        <v>9.1</v>
      </c>
      <c r="M763">
        <v>11.2</v>
      </c>
      <c r="N763" t="s">
        <v>4377</v>
      </c>
      <c r="O763" t="s">
        <v>4369</v>
      </c>
      <c r="P763" s="1">
        <v>45695</v>
      </c>
      <c r="Q763" t="str">
        <f t="shared" si="44"/>
        <v>10+ Years</v>
      </c>
      <c r="R763" t="str">
        <f>IF(Table7[[#This Row],[Age]]&lt;=25,"20-25",IF(Table7[[#This Row],[Age]]&lt;=30,"26-30",IF(Table7[[#This Row],[Age]]&lt;=35,"31-35","36+")))</f>
        <v>20-25</v>
      </c>
      <c r="S763" t="str">
        <f t="shared" si="45"/>
        <v>February</v>
      </c>
      <c r="T763" s="2" t="str">
        <f t="shared" si="46"/>
        <v>Q1</v>
      </c>
      <c r="U763" s="2">
        <f t="shared" si="47"/>
        <v>2025</v>
      </c>
    </row>
    <row r="764" spans="1:21" x14ac:dyDescent="0.3">
      <c r="A764" t="s">
        <v>748</v>
      </c>
      <c r="B764" t="s">
        <v>5929</v>
      </c>
      <c r="C764" t="s">
        <v>5930</v>
      </c>
      <c r="D764" t="s">
        <v>4363</v>
      </c>
      <c r="E764">
        <v>32</v>
      </c>
      <c r="F764" t="s">
        <v>5931</v>
      </c>
      <c r="G764">
        <v>9198050624</v>
      </c>
      <c r="H764" t="s">
        <v>4387</v>
      </c>
      <c r="I764" t="s">
        <v>4388</v>
      </c>
      <c r="J764" t="s">
        <v>4389</v>
      </c>
      <c r="K764">
        <v>4.4000000000000004</v>
      </c>
      <c r="L764">
        <v>8.4</v>
      </c>
      <c r="M764">
        <v>9.6</v>
      </c>
      <c r="N764" t="s">
        <v>4368</v>
      </c>
      <c r="O764" t="s">
        <v>4456</v>
      </c>
      <c r="P764" s="1">
        <v>45867</v>
      </c>
      <c r="Q764" t="str">
        <f t="shared" si="44"/>
        <v>10+ Years</v>
      </c>
      <c r="R764" t="str">
        <f>IF(Table7[[#This Row],[Age]]&lt;=25,"20-25",IF(Table7[[#This Row],[Age]]&lt;=30,"26-30",IF(Table7[[#This Row],[Age]]&lt;=35,"31-35","36+")))</f>
        <v>31-35</v>
      </c>
      <c r="S764" t="str">
        <f t="shared" si="45"/>
        <v>July</v>
      </c>
      <c r="T764" s="2" t="str">
        <f t="shared" si="46"/>
        <v>Q3</v>
      </c>
      <c r="U764" s="2">
        <f t="shared" si="47"/>
        <v>2025</v>
      </c>
    </row>
    <row r="765" spans="1:21" x14ac:dyDescent="0.3">
      <c r="A765" t="s">
        <v>3617</v>
      </c>
      <c r="B765" t="s">
        <v>4648</v>
      </c>
      <c r="C765" t="s">
        <v>5584</v>
      </c>
      <c r="D765" t="s">
        <v>4363</v>
      </c>
      <c r="E765">
        <v>21</v>
      </c>
      <c r="F765" t="s">
        <v>5932</v>
      </c>
      <c r="G765">
        <v>9133371556</v>
      </c>
      <c r="H765" t="s">
        <v>4381</v>
      </c>
      <c r="I765" t="s">
        <v>4382</v>
      </c>
      <c r="J765" t="s">
        <v>4482</v>
      </c>
      <c r="K765">
        <v>6.3</v>
      </c>
      <c r="L765">
        <v>13.8</v>
      </c>
      <c r="M765">
        <v>16.600000000000001</v>
      </c>
      <c r="N765" t="s">
        <v>4377</v>
      </c>
      <c r="O765" t="s">
        <v>4456</v>
      </c>
      <c r="P765" s="1">
        <v>45890</v>
      </c>
      <c r="Q765" t="str">
        <f t="shared" si="44"/>
        <v>10+ Years</v>
      </c>
      <c r="R765" t="str">
        <f>IF(Table7[[#This Row],[Age]]&lt;=25,"20-25",IF(Table7[[#This Row],[Age]]&lt;=30,"26-30",IF(Table7[[#This Row],[Age]]&lt;=35,"31-35","36+")))</f>
        <v>20-25</v>
      </c>
      <c r="S765" t="str">
        <f t="shared" si="45"/>
        <v>August</v>
      </c>
      <c r="T765" s="2" t="str">
        <f t="shared" si="46"/>
        <v>Q3</v>
      </c>
      <c r="U765" s="2">
        <f t="shared" si="47"/>
        <v>2025</v>
      </c>
    </row>
    <row r="766" spans="1:21" x14ac:dyDescent="0.3">
      <c r="A766" t="s">
        <v>3319</v>
      </c>
      <c r="B766" t="s">
        <v>5147</v>
      </c>
      <c r="C766" t="s">
        <v>5933</v>
      </c>
      <c r="D766" t="s">
        <v>4372</v>
      </c>
      <c r="E766">
        <v>32</v>
      </c>
      <c r="F766" t="s">
        <v>5934</v>
      </c>
      <c r="G766">
        <v>9236601477</v>
      </c>
      <c r="H766" t="s">
        <v>4387</v>
      </c>
      <c r="I766" t="s">
        <v>4388</v>
      </c>
      <c r="J766" t="s">
        <v>4482</v>
      </c>
      <c r="K766">
        <v>0.4</v>
      </c>
      <c r="L766">
        <v>2.5</v>
      </c>
      <c r="M766">
        <v>3</v>
      </c>
      <c r="N766" t="s">
        <v>4368</v>
      </c>
      <c r="O766" t="s">
        <v>4400</v>
      </c>
      <c r="P766" s="1">
        <v>45767</v>
      </c>
      <c r="Q766" t="str">
        <f t="shared" si="44"/>
        <v>10+ Years</v>
      </c>
      <c r="R766" t="str">
        <f>IF(Table7[[#This Row],[Age]]&lt;=25,"20-25",IF(Table7[[#This Row],[Age]]&lt;=30,"26-30",IF(Table7[[#This Row],[Age]]&lt;=35,"31-35","36+")))</f>
        <v>31-35</v>
      </c>
      <c r="S766" t="str">
        <f t="shared" si="45"/>
        <v>April</v>
      </c>
      <c r="T766" s="2" t="str">
        <f t="shared" si="46"/>
        <v>Q2</v>
      </c>
      <c r="U766" s="2">
        <f t="shared" si="47"/>
        <v>2025</v>
      </c>
    </row>
    <row r="767" spans="1:21" x14ac:dyDescent="0.3">
      <c r="A767" t="s">
        <v>3736</v>
      </c>
      <c r="B767" t="s">
        <v>5069</v>
      </c>
      <c r="C767" t="s">
        <v>5844</v>
      </c>
      <c r="D767" t="s">
        <v>4372</v>
      </c>
      <c r="E767">
        <v>30</v>
      </c>
      <c r="F767" t="s">
        <v>5935</v>
      </c>
      <c r="G767">
        <v>9403236734</v>
      </c>
      <c r="H767" t="s">
        <v>4365</v>
      </c>
      <c r="I767" t="s">
        <v>4366</v>
      </c>
      <c r="J767" t="s">
        <v>4446</v>
      </c>
      <c r="K767">
        <v>6.9</v>
      </c>
      <c r="L767">
        <v>13.1</v>
      </c>
      <c r="M767">
        <v>17.399999999999999</v>
      </c>
      <c r="N767" t="s">
        <v>4390</v>
      </c>
      <c r="O767" t="s">
        <v>4391</v>
      </c>
      <c r="P767" s="1">
        <v>45703</v>
      </c>
      <c r="Q767" t="str">
        <f t="shared" si="44"/>
        <v>10+ Years</v>
      </c>
      <c r="R767" t="str">
        <f>IF(Table7[[#This Row],[Age]]&lt;=25,"20-25",IF(Table7[[#This Row],[Age]]&lt;=30,"26-30",IF(Table7[[#This Row],[Age]]&lt;=35,"31-35","36+")))</f>
        <v>26-30</v>
      </c>
      <c r="S767" t="str">
        <f t="shared" si="45"/>
        <v>February</v>
      </c>
      <c r="T767" s="2" t="str">
        <f t="shared" si="46"/>
        <v>Q1</v>
      </c>
      <c r="U767" s="2">
        <f t="shared" si="47"/>
        <v>2025</v>
      </c>
    </row>
    <row r="768" spans="1:21" x14ac:dyDescent="0.3">
      <c r="A768" t="s">
        <v>481</v>
      </c>
      <c r="B768" t="s">
        <v>4854</v>
      </c>
      <c r="C768" t="s">
        <v>5930</v>
      </c>
      <c r="D768" t="s">
        <v>4363</v>
      </c>
      <c r="E768">
        <v>22</v>
      </c>
      <c r="F768" t="s">
        <v>5936</v>
      </c>
      <c r="G768">
        <v>9167270025</v>
      </c>
      <c r="H768" t="s">
        <v>4521</v>
      </c>
      <c r="I768" t="s">
        <v>4522</v>
      </c>
      <c r="J768" t="s">
        <v>4415</v>
      </c>
      <c r="K768">
        <v>2.8</v>
      </c>
      <c r="L768">
        <v>2.5</v>
      </c>
      <c r="M768">
        <v>3.2</v>
      </c>
      <c r="N768" t="s">
        <v>4390</v>
      </c>
      <c r="O768" t="s">
        <v>4391</v>
      </c>
      <c r="P768" s="1">
        <v>45776</v>
      </c>
      <c r="Q768" t="str">
        <f t="shared" si="44"/>
        <v>10+ Years</v>
      </c>
      <c r="R768" t="str">
        <f>IF(Table7[[#This Row],[Age]]&lt;=25,"20-25",IF(Table7[[#This Row],[Age]]&lt;=30,"26-30",IF(Table7[[#This Row],[Age]]&lt;=35,"31-35","36+")))</f>
        <v>20-25</v>
      </c>
      <c r="S768" t="str">
        <f t="shared" si="45"/>
        <v>April</v>
      </c>
      <c r="T768" s="2" t="str">
        <f t="shared" si="46"/>
        <v>Q2</v>
      </c>
      <c r="U768" s="2">
        <f t="shared" si="47"/>
        <v>2025</v>
      </c>
    </row>
    <row r="769" spans="1:21" x14ac:dyDescent="0.3">
      <c r="A769" t="s">
        <v>416</v>
      </c>
      <c r="B769" t="s">
        <v>5937</v>
      </c>
      <c r="C769" t="s">
        <v>4623</v>
      </c>
      <c r="D769" t="s">
        <v>4372</v>
      </c>
      <c r="E769">
        <v>33</v>
      </c>
      <c r="F769" t="s">
        <v>5938</v>
      </c>
      <c r="G769">
        <v>9788309222</v>
      </c>
      <c r="H769" t="s">
        <v>4395</v>
      </c>
      <c r="I769" t="s">
        <v>4396</v>
      </c>
      <c r="J769" t="s">
        <v>4415</v>
      </c>
      <c r="K769">
        <v>8.1999999999999993</v>
      </c>
      <c r="L769">
        <v>18.2</v>
      </c>
      <c r="M769">
        <v>21.5</v>
      </c>
      <c r="N769" t="s">
        <v>4406</v>
      </c>
      <c r="O769" t="s">
        <v>4485</v>
      </c>
      <c r="P769" s="1">
        <v>45833</v>
      </c>
      <c r="Q769" t="str">
        <f t="shared" si="44"/>
        <v>10+ Years</v>
      </c>
      <c r="R769" t="str">
        <f>IF(Table7[[#This Row],[Age]]&lt;=25,"20-25",IF(Table7[[#This Row],[Age]]&lt;=30,"26-30",IF(Table7[[#This Row],[Age]]&lt;=35,"31-35","36+")))</f>
        <v>31-35</v>
      </c>
      <c r="S769" t="str">
        <f t="shared" si="45"/>
        <v>June</v>
      </c>
      <c r="T769" s="2" t="str">
        <f t="shared" si="46"/>
        <v>Q2</v>
      </c>
      <c r="U769" s="2">
        <f t="shared" si="47"/>
        <v>2025</v>
      </c>
    </row>
    <row r="770" spans="1:21" x14ac:dyDescent="0.3">
      <c r="A770" t="s">
        <v>2531</v>
      </c>
      <c r="B770" t="s">
        <v>5939</v>
      </c>
      <c r="C770" t="s">
        <v>4622</v>
      </c>
      <c r="D770" t="s">
        <v>4372</v>
      </c>
      <c r="E770">
        <v>24</v>
      </c>
      <c r="F770" t="s">
        <v>5940</v>
      </c>
      <c r="G770">
        <v>9698175639</v>
      </c>
      <c r="H770" t="s">
        <v>4395</v>
      </c>
      <c r="I770" t="s">
        <v>4396</v>
      </c>
      <c r="J770" t="s">
        <v>4389</v>
      </c>
      <c r="K770">
        <v>0.5</v>
      </c>
      <c r="L770">
        <v>2.5</v>
      </c>
      <c r="M770">
        <v>2.9</v>
      </c>
      <c r="N770" t="s">
        <v>4390</v>
      </c>
      <c r="O770" t="s">
        <v>4369</v>
      </c>
      <c r="P770" s="1">
        <v>45868</v>
      </c>
      <c r="Q770" t="str">
        <f t="shared" ref="Q770:Q833" si="48">IF(P770&lt;=2,"0-2 Years",IF(P770&lt;=5,"3-5 Years",IF(P770&lt;=10,"6-10 Years","10+ Years")))</f>
        <v>10+ Years</v>
      </c>
      <c r="R770" t="str">
        <f>IF(Table7[[#This Row],[Age]]&lt;=25,"20-25",IF(Table7[[#This Row],[Age]]&lt;=30,"26-30",IF(Table7[[#This Row],[Age]]&lt;=35,"31-35","36+")))</f>
        <v>20-25</v>
      </c>
      <c r="S770" t="str">
        <f t="shared" ref="S770:S833" si="49">TEXT(P770,"mmmm")</f>
        <v>July</v>
      </c>
      <c r="T770" s="2" t="str">
        <f t="shared" ref="T770:T833" si="50">"Q"&amp;ROUNDUP(MONTH(P770)/3,0)</f>
        <v>Q3</v>
      </c>
      <c r="U770" s="2">
        <f t="shared" ref="U770:U833" si="51">YEAR(P770)</f>
        <v>2025</v>
      </c>
    </row>
    <row r="771" spans="1:21" x14ac:dyDescent="0.3">
      <c r="A771" t="s">
        <v>1435</v>
      </c>
      <c r="B771" t="s">
        <v>5941</v>
      </c>
      <c r="C771" t="s">
        <v>5282</v>
      </c>
      <c r="D771" t="s">
        <v>4372</v>
      </c>
      <c r="E771">
        <v>22</v>
      </c>
      <c r="F771" t="s">
        <v>5942</v>
      </c>
      <c r="G771">
        <v>9448418652</v>
      </c>
      <c r="H771" t="s">
        <v>4491</v>
      </c>
      <c r="I771" t="s">
        <v>4491</v>
      </c>
      <c r="J771" t="s">
        <v>4446</v>
      </c>
      <c r="K771">
        <v>2.2999999999999998</v>
      </c>
      <c r="L771">
        <v>7.1</v>
      </c>
      <c r="M771">
        <v>8.6</v>
      </c>
      <c r="N771" t="s">
        <v>4377</v>
      </c>
      <c r="O771" t="s">
        <v>4400</v>
      </c>
      <c r="P771" s="1">
        <v>45959</v>
      </c>
      <c r="Q771" t="str">
        <f t="shared" si="48"/>
        <v>10+ Years</v>
      </c>
      <c r="R771" t="str">
        <f>IF(Table7[[#This Row],[Age]]&lt;=25,"20-25",IF(Table7[[#This Row],[Age]]&lt;=30,"26-30",IF(Table7[[#This Row],[Age]]&lt;=35,"31-35","36+")))</f>
        <v>20-25</v>
      </c>
      <c r="S771" t="str">
        <f t="shared" si="49"/>
        <v>October</v>
      </c>
      <c r="T771" s="2" t="str">
        <f t="shared" si="50"/>
        <v>Q4</v>
      </c>
      <c r="U771" s="2">
        <f t="shared" si="51"/>
        <v>2025</v>
      </c>
    </row>
    <row r="772" spans="1:21" x14ac:dyDescent="0.3">
      <c r="A772" t="s">
        <v>1876</v>
      </c>
      <c r="B772" t="s">
        <v>4718</v>
      </c>
      <c r="C772" t="s">
        <v>4578</v>
      </c>
      <c r="D772" t="s">
        <v>4372</v>
      </c>
      <c r="E772">
        <v>25</v>
      </c>
      <c r="F772" t="s">
        <v>5943</v>
      </c>
      <c r="G772">
        <v>9249183349</v>
      </c>
      <c r="H772" t="s">
        <v>4395</v>
      </c>
      <c r="I772" t="s">
        <v>4396</v>
      </c>
      <c r="J772" t="s">
        <v>4450</v>
      </c>
      <c r="K772">
        <v>1</v>
      </c>
      <c r="L772">
        <v>4.2</v>
      </c>
      <c r="M772">
        <v>5.6</v>
      </c>
      <c r="N772" t="s">
        <v>4377</v>
      </c>
      <c r="O772" t="s">
        <v>4391</v>
      </c>
      <c r="P772" s="1">
        <v>45670</v>
      </c>
      <c r="Q772" t="str">
        <f t="shared" si="48"/>
        <v>10+ Years</v>
      </c>
      <c r="R772" t="str">
        <f>IF(Table7[[#This Row],[Age]]&lt;=25,"20-25",IF(Table7[[#This Row],[Age]]&lt;=30,"26-30",IF(Table7[[#This Row],[Age]]&lt;=35,"31-35","36+")))</f>
        <v>20-25</v>
      </c>
      <c r="S772" t="str">
        <f t="shared" si="49"/>
        <v>January</v>
      </c>
      <c r="T772" s="2" t="str">
        <f t="shared" si="50"/>
        <v>Q1</v>
      </c>
      <c r="U772" s="2">
        <f t="shared" si="51"/>
        <v>2025</v>
      </c>
    </row>
    <row r="773" spans="1:21" x14ac:dyDescent="0.3">
      <c r="A773" t="s">
        <v>3172</v>
      </c>
      <c r="B773" t="s">
        <v>5944</v>
      </c>
      <c r="C773" t="s">
        <v>5945</v>
      </c>
      <c r="D773" t="s">
        <v>4372</v>
      </c>
      <c r="E773">
        <v>43</v>
      </c>
      <c r="F773" t="s">
        <v>5946</v>
      </c>
      <c r="G773">
        <v>9979913389</v>
      </c>
      <c r="H773" t="s">
        <v>4491</v>
      </c>
      <c r="I773" t="s">
        <v>4491</v>
      </c>
      <c r="J773" t="s">
        <v>4482</v>
      </c>
      <c r="K773">
        <v>7</v>
      </c>
      <c r="L773">
        <v>11</v>
      </c>
      <c r="M773">
        <v>15.3</v>
      </c>
      <c r="N773" t="s">
        <v>4368</v>
      </c>
      <c r="O773" t="s">
        <v>4400</v>
      </c>
      <c r="P773" s="1">
        <v>45897</v>
      </c>
      <c r="Q773" t="str">
        <f t="shared" si="48"/>
        <v>10+ Years</v>
      </c>
      <c r="R773" t="str">
        <f>IF(Table7[[#This Row],[Age]]&lt;=25,"20-25",IF(Table7[[#This Row],[Age]]&lt;=30,"26-30",IF(Table7[[#This Row],[Age]]&lt;=35,"31-35","36+")))</f>
        <v>36+</v>
      </c>
      <c r="S773" t="str">
        <f t="shared" si="49"/>
        <v>August</v>
      </c>
      <c r="T773" s="2" t="str">
        <f t="shared" si="50"/>
        <v>Q3</v>
      </c>
      <c r="U773" s="2">
        <f t="shared" si="51"/>
        <v>2025</v>
      </c>
    </row>
    <row r="774" spans="1:21" x14ac:dyDescent="0.3">
      <c r="A774" t="s">
        <v>3585</v>
      </c>
      <c r="B774" t="s">
        <v>5308</v>
      </c>
      <c r="C774" t="s">
        <v>5923</v>
      </c>
      <c r="D774" t="s">
        <v>4720</v>
      </c>
      <c r="E774">
        <v>34</v>
      </c>
      <c r="F774" t="s">
        <v>5947</v>
      </c>
      <c r="G774">
        <v>9311065559</v>
      </c>
      <c r="H774" t="s">
        <v>4404</v>
      </c>
      <c r="I774" t="s">
        <v>4405</v>
      </c>
      <c r="J774" t="s">
        <v>4446</v>
      </c>
      <c r="K774">
        <v>6.4</v>
      </c>
      <c r="L774">
        <v>8.9</v>
      </c>
      <c r="M774">
        <v>12.1</v>
      </c>
      <c r="N774" t="s">
        <v>4406</v>
      </c>
      <c r="O774" t="s">
        <v>4419</v>
      </c>
      <c r="P774" s="1">
        <v>45771</v>
      </c>
      <c r="Q774" t="str">
        <f t="shared" si="48"/>
        <v>10+ Years</v>
      </c>
      <c r="R774" t="str">
        <f>IF(Table7[[#This Row],[Age]]&lt;=25,"20-25",IF(Table7[[#This Row],[Age]]&lt;=30,"26-30",IF(Table7[[#This Row],[Age]]&lt;=35,"31-35","36+")))</f>
        <v>31-35</v>
      </c>
      <c r="S774" t="str">
        <f t="shared" si="49"/>
        <v>April</v>
      </c>
      <c r="T774" s="2" t="str">
        <f t="shared" si="50"/>
        <v>Q2</v>
      </c>
      <c r="U774" s="2">
        <f t="shared" si="51"/>
        <v>2025</v>
      </c>
    </row>
    <row r="775" spans="1:21" x14ac:dyDescent="0.3">
      <c r="A775" t="s">
        <v>3927</v>
      </c>
      <c r="B775" t="s">
        <v>5948</v>
      </c>
      <c r="C775" t="s">
        <v>5949</v>
      </c>
      <c r="D775" t="s">
        <v>4372</v>
      </c>
      <c r="E775">
        <v>33</v>
      </c>
      <c r="F775" t="s">
        <v>5950</v>
      </c>
      <c r="G775">
        <v>9545262242</v>
      </c>
      <c r="H775" t="s">
        <v>4476</v>
      </c>
      <c r="I775" t="s">
        <v>4477</v>
      </c>
      <c r="J775" t="s">
        <v>4376</v>
      </c>
      <c r="K775">
        <v>13.8</v>
      </c>
      <c r="L775">
        <v>25.8</v>
      </c>
      <c r="M775">
        <v>36.5</v>
      </c>
      <c r="N775" t="s">
        <v>4494</v>
      </c>
      <c r="O775" t="s">
        <v>4383</v>
      </c>
      <c r="P775" s="1">
        <v>45845</v>
      </c>
      <c r="Q775" t="str">
        <f t="shared" si="48"/>
        <v>10+ Years</v>
      </c>
      <c r="R775" t="str">
        <f>IF(Table7[[#This Row],[Age]]&lt;=25,"20-25",IF(Table7[[#This Row],[Age]]&lt;=30,"26-30",IF(Table7[[#This Row],[Age]]&lt;=35,"31-35","36+")))</f>
        <v>31-35</v>
      </c>
      <c r="S775" t="str">
        <f t="shared" si="49"/>
        <v>July</v>
      </c>
      <c r="T775" s="2" t="str">
        <f t="shared" si="50"/>
        <v>Q3</v>
      </c>
      <c r="U775" s="2">
        <f t="shared" si="51"/>
        <v>2025</v>
      </c>
    </row>
    <row r="776" spans="1:21" x14ac:dyDescent="0.3">
      <c r="A776" t="s">
        <v>2864</v>
      </c>
      <c r="B776" t="s">
        <v>4828</v>
      </c>
      <c r="C776" t="s">
        <v>5057</v>
      </c>
      <c r="D776" t="s">
        <v>4372</v>
      </c>
      <c r="E776">
        <v>37</v>
      </c>
      <c r="F776" t="s">
        <v>5951</v>
      </c>
      <c r="G776">
        <v>9173895910</v>
      </c>
      <c r="H776" t="s">
        <v>4454</v>
      </c>
      <c r="I776" t="s">
        <v>4455</v>
      </c>
      <c r="J776" t="s">
        <v>4415</v>
      </c>
      <c r="K776">
        <v>1.8</v>
      </c>
      <c r="L776">
        <v>5.9</v>
      </c>
      <c r="M776">
        <v>7.7</v>
      </c>
      <c r="N776" t="s">
        <v>4390</v>
      </c>
      <c r="O776" t="s">
        <v>4419</v>
      </c>
      <c r="P776" s="1">
        <v>45869</v>
      </c>
      <c r="Q776" t="str">
        <f t="shared" si="48"/>
        <v>10+ Years</v>
      </c>
      <c r="R776" t="str">
        <f>IF(Table7[[#This Row],[Age]]&lt;=25,"20-25",IF(Table7[[#This Row],[Age]]&lt;=30,"26-30",IF(Table7[[#This Row],[Age]]&lt;=35,"31-35","36+")))</f>
        <v>36+</v>
      </c>
      <c r="S776" t="str">
        <f t="shared" si="49"/>
        <v>July</v>
      </c>
      <c r="T776" s="2" t="str">
        <f t="shared" si="50"/>
        <v>Q3</v>
      </c>
      <c r="U776" s="2">
        <f t="shared" si="51"/>
        <v>2025</v>
      </c>
    </row>
    <row r="777" spans="1:21" x14ac:dyDescent="0.3">
      <c r="A777" t="s">
        <v>3902</v>
      </c>
      <c r="B777" t="s">
        <v>4384</v>
      </c>
      <c r="C777" t="s">
        <v>5952</v>
      </c>
      <c r="D777" t="s">
        <v>4363</v>
      </c>
      <c r="E777">
        <v>24</v>
      </c>
      <c r="F777" t="s">
        <v>5953</v>
      </c>
      <c r="G777">
        <v>9548935728</v>
      </c>
      <c r="H777" t="s">
        <v>4395</v>
      </c>
      <c r="I777" t="s">
        <v>4396</v>
      </c>
      <c r="J777" t="s">
        <v>4367</v>
      </c>
      <c r="K777">
        <v>2.5</v>
      </c>
      <c r="L777">
        <v>11</v>
      </c>
      <c r="M777">
        <v>15.7</v>
      </c>
      <c r="N777" t="s">
        <v>4390</v>
      </c>
      <c r="O777" t="s">
        <v>4383</v>
      </c>
      <c r="P777" s="1">
        <v>45876</v>
      </c>
      <c r="Q777" t="str">
        <f t="shared" si="48"/>
        <v>10+ Years</v>
      </c>
      <c r="R777" t="str">
        <f>IF(Table7[[#This Row],[Age]]&lt;=25,"20-25",IF(Table7[[#This Row],[Age]]&lt;=30,"26-30",IF(Table7[[#This Row],[Age]]&lt;=35,"31-35","36+")))</f>
        <v>20-25</v>
      </c>
      <c r="S777" t="str">
        <f t="shared" si="49"/>
        <v>August</v>
      </c>
      <c r="T777" s="2" t="str">
        <f t="shared" si="50"/>
        <v>Q3</v>
      </c>
      <c r="U777" s="2">
        <f t="shared" si="51"/>
        <v>2025</v>
      </c>
    </row>
    <row r="778" spans="1:21" x14ac:dyDescent="0.3">
      <c r="A778" t="s">
        <v>9</v>
      </c>
      <c r="B778" t="s">
        <v>4615</v>
      </c>
      <c r="C778" t="s">
        <v>4769</v>
      </c>
      <c r="D778" t="s">
        <v>4372</v>
      </c>
      <c r="E778">
        <v>21</v>
      </c>
      <c r="F778" t="s">
        <v>5954</v>
      </c>
      <c r="G778">
        <v>9438669059</v>
      </c>
      <c r="H778" t="s">
        <v>4491</v>
      </c>
      <c r="I778" t="s">
        <v>4491</v>
      </c>
      <c r="J778" t="s">
        <v>4389</v>
      </c>
      <c r="K778">
        <v>5.9</v>
      </c>
      <c r="L778">
        <v>12.9</v>
      </c>
      <c r="M778">
        <v>14.6</v>
      </c>
      <c r="N778" t="s">
        <v>4390</v>
      </c>
      <c r="O778" t="s">
        <v>4383</v>
      </c>
      <c r="P778" s="1">
        <v>45996</v>
      </c>
      <c r="Q778" t="str">
        <f t="shared" si="48"/>
        <v>10+ Years</v>
      </c>
      <c r="R778" t="str">
        <f>IF(Table7[[#This Row],[Age]]&lt;=25,"20-25",IF(Table7[[#This Row],[Age]]&lt;=30,"26-30",IF(Table7[[#This Row],[Age]]&lt;=35,"31-35","36+")))</f>
        <v>20-25</v>
      </c>
      <c r="S778" t="str">
        <f t="shared" si="49"/>
        <v>December</v>
      </c>
      <c r="T778" s="2" t="str">
        <f t="shared" si="50"/>
        <v>Q4</v>
      </c>
      <c r="U778" s="2">
        <f t="shared" si="51"/>
        <v>2025</v>
      </c>
    </row>
    <row r="779" spans="1:21" x14ac:dyDescent="0.3">
      <c r="A779" t="s">
        <v>731</v>
      </c>
      <c r="B779" t="s">
        <v>5955</v>
      </c>
      <c r="C779" t="s">
        <v>4616</v>
      </c>
      <c r="D779" t="s">
        <v>4372</v>
      </c>
      <c r="E779">
        <v>27</v>
      </c>
      <c r="F779" t="s">
        <v>5956</v>
      </c>
      <c r="G779">
        <v>9160461285</v>
      </c>
      <c r="H779" t="s">
        <v>4476</v>
      </c>
      <c r="I779" t="s">
        <v>4477</v>
      </c>
      <c r="J779" t="s">
        <v>4432</v>
      </c>
      <c r="K779">
        <v>2.5</v>
      </c>
      <c r="L779">
        <v>10.199999999999999</v>
      </c>
      <c r="M779">
        <v>11.7</v>
      </c>
      <c r="N779" t="s">
        <v>4368</v>
      </c>
      <c r="O779" t="s">
        <v>4391</v>
      </c>
      <c r="P779" s="1">
        <v>45810</v>
      </c>
      <c r="Q779" t="str">
        <f t="shared" si="48"/>
        <v>10+ Years</v>
      </c>
      <c r="R779" t="str">
        <f>IF(Table7[[#This Row],[Age]]&lt;=25,"20-25",IF(Table7[[#This Row],[Age]]&lt;=30,"26-30",IF(Table7[[#This Row],[Age]]&lt;=35,"31-35","36+")))</f>
        <v>26-30</v>
      </c>
      <c r="S779" t="str">
        <f t="shared" si="49"/>
        <v>June</v>
      </c>
      <c r="T779" s="2" t="str">
        <f t="shared" si="50"/>
        <v>Q2</v>
      </c>
      <c r="U779" s="2">
        <f t="shared" si="51"/>
        <v>2025</v>
      </c>
    </row>
    <row r="780" spans="1:21" x14ac:dyDescent="0.3">
      <c r="A780" t="s">
        <v>3747</v>
      </c>
      <c r="B780" t="s">
        <v>4439</v>
      </c>
      <c r="C780" t="s">
        <v>5957</v>
      </c>
      <c r="D780" t="s">
        <v>4372</v>
      </c>
      <c r="E780">
        <v>35</v>
      </c>
      <c r="F780" t="s">
        <v>5958</v>
      </c>
      <c r="G780">
        <v>9539522687</v>
      </c>
      <c r="H780" t="s">
        <v>4374</v>
      </c>
      <c r="I780" t="s">
        <v>4375</v>
      </c>
      <c r="J780" t="s">
        <v>4367</v>
      </c>
      <c r="K780">
        <v>10.1</v>
      </c>
      <c r="L780">
        <v>22.4</v>
      </c>
      <c r="M780">
        <v>30.5</v>
      </c>
      <c r="N780" t="s">
        <v>4368</v>
      </c>
      <c r="O780" t="s">
        <v>4369</v>
      </c>
      <c r="P780" s="1">
        <v>45705</v>
      </c>
      <c r="Q780" t="str">
        <f t="shared" si="48"/>
        <v>10+ Years</v>
      </c>
      <c r="R780" t="str">
        <f>IF(Table7[[#This Row],[Age]]&lt;=25,"20-25",IF(Table7[[#This Row],[Age]]&lt;=30,"26-30",IF(Table7[[#This Row],[Age]]&lt;=35,"31-35","36+")))</f>
        <v>31-35</v>
      </c>
      <c r="S780" t="str">
        <f t="shared" si="49"/>
        <v>February</v>
      </c>
      <c r="T780" s="2" t="str">
        <f t="shared" si="50"/>
        <v>Q1</v>
      </c>
      <c r="U780" s="2">
        <f t="shared" si="51"/>
        <v>2025</v>
      </c>
    </row>
    <row r="781" spans="1:21" x14ac:dyDescent="0.3">
      <c r="A781" t="s">
        <v>2998</v>
      </c>
      <c r="B781" t="s">
        <v>4528</v>
      </c>
      <c r="C781" t="s">
        <v>5959</v>
      </c>
      <c r="D781" t="s">
        <v>4372</v>
      </c>
      <c r="E781">
        <v>39</v>
      </c>
      <c r="F781" t="s">
        <v>5960</v>
      </c>
      <c r="G781">
        <v>9980420363</v>
      </c>
      <c r="H781" t="s">
        <v>4404</v>
      </c>
      <c r="I781" t="s">
        <v>4405</v>
      </c>
      <c r="J781" t="s">
        <v>4432</v>
      </c>
      <c r="K781">
        <v>2.5</v>
      </c>
      <c r="L781">
        <v>6.8</v>
      </c>
      <c r="M781">
        <v>7.8</v>
      </c>
      <c r="N781" t="s">
        <v>4390</v>
      </c>
      <c r="O781" t="s">
        <v>4456</v>
      </c>
      <c r="P781" s="1">
        <v>45772</v>
      </c>
      <c r="Q781" t="str">
        <f t="shared" si="48"/>
        <v>10+ Years</v>
      </c>
      <c r="R781" t="str">
        <f>IF(Table7[[#This Row],[Age]]&lt;=25,"20-25",IF(Table7[[#This Row],[Age]]&lt;=30,"26-30",IF(Table7[[#This Row],[Age]]&lt;=35,"31-35","36+")))</f>
        <v>36+</v>
      </c>
      <c r="S781" t="str">
        <f t="shared" si="49"/>
        <v>April</v>
      </c>
      <c r="T781" s="2" t="str">
        <f t="shared" si="50"/>
        <v>Q2</v>
      </c>
      <c r="U781" s="2">
        <f t="shared" si="51"/>
        <v>2025</v>
      </c>
    </row>
    <row r="782" spans="1:21" x14ac:dyDescent="0.3">
      <c r="A782" t="s">
        <v>122</v>
      </c>
      <c r="B782" t="s">
        <v>5175</v>
      </c>
      <c r="C782" t="s">
        <v>4835</v>
      </c>
      <c r="D782" t="s">
        <v>4372</v>
      </c>
      <c r="E782">
        <v>29</v>
      </c>
      <c r="F782" t="s">
        <v>5961</v>
      </c>
      <c r="G782">
        <v>9623011384</v>
      </c>
      <c r="H782" t="s">
        <v>4476</v>
      </c>
      <c r="I782" t="s">
        <v>4477</v>
      </c>
      <c r="J782" t="s">
        <v>4367</v>
      </c>
      <c r="K782">
        <v>1.7</v>
      </c>
      <c r="L782">
        <v>7.3</v>
      </c>
      <c r="M782">
        <v>10</v>
      </c>
      <c r="N782" t="s">
        <v>4390</v>
      </c>
      <c r="O782" t="s">
        <v>4369</v>
      </c>
      <c r="P782" s="1">
        <v>45886</v>
      </c>
      <c r="Q782" t="str">
        <f t="shared" si="48"/>
        <v>10+ Years</v>
      </c>
      <c r="R782" t="str">
        <f>IF(Table7[[#This Row],[Age]]&lt;=25,"20-25",IF(Table7[[#This Row],[Age]]&lt;=30,"26-30",IF(Table7[[#This Row],[Age]]&lt;=35,"31-35","36+")))</f>
        <v>26-30</v>
      </c>
      <c r="S782" t="str">
        <f t="shared" si="49"/>
        <v>August</v>
      </c>
      <c r="T782" s="2" t="str">
        <f t="shared" si="50"/>
        <v>Q3</v>
      </c>
      <c r="U782" s="2">
        <f t="shared" si="51"/>
        <v>2025</v>
      </c>
    </row>
    <row r="783" spans="1:21" x14ac:dyDescent="0.3">
      <c r="A783" t="s">
        <v>3869</v>
      </c>
      <c r="B783" t="s">
        <v>4599</v>
      </c>
      <c r="C783" t="s">
        <v>5116</v>
      </c>
      <c r="D783" t="s">
        <v>4720</v>
      </c>
      <c r="E783">
        <v>24</v>
      </c>
      <c r="F783" t="s">
        <v>5962</v>
      </c>
      <c r="G783">
        <v>9299641013</v>
      </c>
      <c r="H783" t="s">
        <v>4491</v>
      </c>
      <c r="I783" t="s">
        <v>4491</v>
      </c>
      <c r="J783" t="s">
        <v>4367</v>
      </c>
      <c r="K783">
        <v>3.6</v>
      </c>
      <c r="L783">
        <v>7.1</v>
      </c>
      <c r="M783">
        <v>9.9</v>
      </c>
      <c r="N783" t="s">
        <v>4390</v>
      </c>
      <c r="O783" t="s">
        <v>4456</v>
      </c>
      <c r="P783" s="1">
        <v>45835</v>
      </c>
      <c r="Q783" t="str">
        <f t="shared" si="48"/>
        <v>10+ Years</v>
      </c>
      <c r="R783" t="str">
        <f>IF(Table7[[#This Row],[Age]]&lt;=25,"20-25",IF(Table7[[#This Row],[Age]]&lt;=30,"26-30",IF(Table7[[#This Row],[Age]]&lt;=35,"31-35","36+")))</f>
        <v>20-25</v>
      </c>
      <c r="S783" t="str">
        <f t="shared" si="49"/>
        <v>June</v>
      </c>
      <c r="T783" s="2" t="str">
        <f t="shared" si="50"/>
        <v>Q2</v>
      </c>
      <c r="U783" s="2">
        <f t="shared" si="51"/>
        <v>2025</v>
      </c>
    </row>
    <row r="784" spans="1:21" x14ac:dyDescent="0.3">
      <c r="A784" t="s">
        <v>246</v>
      </c>
      <c r="B784" t="s">
        <v>5963</v>
      </c>
      <c r="C784" t="s">
        <v>4532</v>
      </c>
      <c r="D784" t="s">
        <v>4363</v>
      </c>
      <c r="E784">
        <v>36</v>
      </c>
      <c r="F784" t="s">
        <v>5964</v>
      </c>
      <c r="G784">
        <v>9739778727</v>
      </c>
      <c r="H784" t="s">
        <v>4404</v>
      </c>
      <c r="I784" t="s">
        <v>4405</v>
      </c>
      <c r="J784" t="s">
        <v>4376</v>
      </c>
      <c r="K784">
        <v>2.7</v>
      </c>
      <c r="L784">
        <v>8.8000000000000007</v>
      </c>
      <c r="M784">
        <v>11</v>
      </c>
      <c r="N784" t="s">
        <v>4390</v>
      </c>
      <c r="O784" t="s">
        <v>4369</v>
      </c>
      <c r="P784" s="1">
        <v>45843</v>
      </c>
      <c r="Q784" t="str">
        <f t="shared" si="48"/>
        <v>10+ Years</v>
      </c>
      <c r="R784" t="str">
        <f>IF(Table7[[#This Row],[Age]]&lt;=25,"20-25",IF(Table7[[#This Row],[Age]]&lt;=30,"26-30",IF(Table7[[#This Row],[Age]]&lt;=35,"31-35","36+")))</f>
        <v>36+</v>
      </c>
      <c r="S784" t="str">
        <f t="shared" si="49"/>
        <v>July</v>
      </c>
      <c r="T784" s="2" t="str">
        <f t="shared" si="50"/>
        <v>Q3</v>
      </c>
      <c r="U784" s="2">
        <f t="shared" si="51"/>
        <v>2025</v>
      </c>
    </row>
    <row r="785" spans="1:21" x14ac:dyDescent="0.3">
      <c r="A785" t="s">
        <v>2486</v>
      </c>
      <c r="B785" t="s">
        <v>5965</v>
      </c>
      <c r="C785" t="s">
        <v>4616</v>
      </c>
      <c r="D785" t="s">
        <v>4363</v>
      </c>
      <c r="E785">
        <v>32</v>
      </c>
      <c r="F785" t="s">
        <v>5966</v>
      </c>
      <c r="G785">
        <v>9353586117</v>
      </c>
      <c r="H785" t="s">
        <v>4395</v>
      </c>
      <c r="I785" t="s">
        <v>4396</v>
      </c>
      <c r="J785" t="s">
        <v>4446</v>
      </c>
      <c r="K785">
        <v>3</v>
      </c>
      <c r="L785">
        <v>8.4</v>
      </c>
      <c r="M785">
        <v>10.9</v>
      </c>
      <c r="N785" t="s">
        <v>4390</v>
      </c>
      <c r="O785" t="s">
        <v>4383</v>
      </c>
      <c r="P785" s="1">
        <v>45821</v>
      </c>
      <c r="Q785" t="str">
        <f t="shared" si="48"/>
        <v>10+ Years</v>
      </c>
      <c r="R785" t="str">
        <f>IF(Table7[[#This Row],[Age]]&lt;=25,"20-25",IF(Table7[[#This Row],[Age]]&lt;=30,"26-30",IF(Table7[[#This Row],[Age]]&lt;=35,"31-35","36+")))</f>
        <v>31-35</v>
      </c>
      <c r="S785" t="str">
        <f t="shared" si="49"/>
        <v>June</v>
      </c>
      <c r="T785" s="2" t="str">
        <f t="shared" si="50"/>
        <v>Q2</v>
      </c>
      <c r="U785" s="2">
        <f t="shared" si="51"/>
        <v>2025</v>
      </c>
    </row>
    <row r="786" spans="1:21" x14ac:dyDescent="0.3">
      <c r="A786" t="s">
        <v>1320</v>
      </c>
      <c r="B786" t="s">
        <v>4566</v>
      </c>
      <c r="C786" t="s">
        <v>5967</v>
      </c>
      <c r="D786" t="s">
        <v>4372</v>
      </c>
      <c r="E786">
        <v>30</v>
      </c>
      <c r="F786" t="s">
        <v>5968</v>
      </c>
      <c r="G786">
        <v>9841538287</v>
      </c>
      <c r="H786" t="s">
        <v>4506</v>
      </c>
      <c r="I786" t="s">
        <v>4507</v>
      </c>
      <c r="J786" t="s">
        <v>4415</v>
      </c>
      <c r="K786">
        <v>0.5</v>
      </c>
      <c r="L786">
        <v>9</v>
      </c>
      <c r="M786">
        <v>12</v>
      </c>
      <c r="N786" t="s">
        <v>4390</v>
      </c>
      <c r="O786" t="s">
        <v>4391</v>
      </c>
      <c r="P786" s="1">
        <v>45951</v>
      </c>
      <c r="Q786" t="str">
        <f t="shared" si="48"/>
        <v>10+ Years</v>
      </c>
      <c r="R786" t="str">
        <f>IF(Table7[[#This Row],[Age]]&lt;=25,"20-25",IF(Table7[[#This Row],[Age]]&lt;=30,"26-30",IF(Table7[[#This Row],[Age]]&lt;=35,"31-35","36+")))</f>
        <v>26-30</v>
      </c>
      <c r="S786" t="str">
        <f t="shared" si="49"/>
        <v>October</v>
      </c>
      <c r="T786" s="2" t="str">
        <f t="shared" si="50"/>
        <v>Q4</v>
      </c>
      <c r="U786" s="2">
        <f t="shared" si="51"/>
        <v>2025</v>
      </c>
    </row>
    <row r="787" spans="1:21" x14ac:dyDescent="0.3">
      <c r="A787" t="s">
        <v>1156</v>
      </c>
      <c r="B787" t="s">
        <v>5740</v>
      </c>
      <c r="C787" t="s">
        <v>5969</v>
      </c>
      <c r="D787" t="s">
        <v>4363</v>
      </c>
      <c r="E787">
        <v>27</v>
      </c>
      <c r="F787" t="s">
        <v>5970</v>
      </c>
      <c r="G787">
        <v>9323810429</v>
      </c>
      <c r="H787" t="s">
        <v>4404</v>
      </c>
      <c r="I787" t="s">
        <v>4405</v>
      </c>
      <c r="J787" t="s">
        <v>4376</v>
      </c>
      <c r="K787">
        <v>3.9</v>
      </c>
      <c r="L787">
        <v>4.8</v>
      </c>
      <c r="M787">
        <v>6.3</v>
      </c>
      <c r="N787" t="s">
        <v>4390</v>
      </c>
      <c r="O787" t="s">
        <v>4391</v>
      </c>
      <c r="P787" s="1">
        <v>46014</v>
      </c>
      <c r="Q787" t="str">
        <f t="shared" si="48"/>
        <v>10+ Years</v>
      </c>
      <c r="R787" t="str">
        <f>IF(Table7[[#This Row],[Age]]&lt;=25,"20-25",IF(Table7[[#This Row],[Age]]&lt;=30,"26-30",IF(Table7[[#This Row],[Age]]&lt;=35,"31-35","36+")))</f>
        <v>26-30</v>
      </c>
      <c r="S787" t="str">
        <f t="shared" si="49"/>
        <v>December</v>
      </c>
      <c r="T787" s="2" t="str">
        <f t="shared" si="50"/>
        <v>Q4</v>
      </c>
      <c r="U787" s="2">
        <f t="shared" si="51"/>
        <v>2025</v>
      </c>
    </row>
    <row r="788" spans="1:21" x14ac:dyDescent="0.3">
      <c r="A788" t="s">
        <v>2996</v>
      </c>
      <c r="B788" t="s">
        <v>4727</v>
      </c>
      <c r="C788" t="s">
        <v>5971</v>
      </c>
      <c r="D788" t="s">
        <v>4720</v>
      </c>
      <c r="E788">
        <v>24</v>
      </c>
      <c r="F788" t="s">
        <v>5972</v>
      </c>
      <c r="G788">
        <v>9189091256</v>
      </c>
      <c r="H788" t="s">
        <v>4506</v>
      </c>
      <c r="I788" t="s">
        <v>4507</v>
      </c>
      <c r="J788" t="s">
        <v>4367</v>
      </c>
      <c r="K788">
        <v>6.8</v>
      </c>
      <c r="L788">
        <v>14.5</v>
      </c>
      <c r="M788">
        <v>20.399999999999999</v>
      </c>
      <c r="N788" t="s">
        <v>4406</v>
      </c>
      <c r="O788" t="s">
        <v>4383</v>
      </c>
      <c r="P788" s="1">
        <v>45856</v>
      </c>
      <c r="Q788" t="str">
        <f t="shared" si="48"/>
        <v>10+ Years</v>
      </c>
      <c r="R788" t="str">
        <f>IF(Table7[[#This Row],[Age]]&lt;=25,"20-25",IF(Table7[[#This Row],[Age]]&lt;=30,"26-30",IF(Table7[[#This Row],[Age]]&lt;=35,"31-35","36+")))</f>
        <v>20-25</v>
      </c>
      <c r="S788" t="str">
        <f t="shared" si="49"/>
        <v>July</v>
      </c>
      <c r="T788" s="2" t="str">
        <f t="shared" si="50"/>
        <v>Q3</v>
      </c>
      <c r="U788" s="2">
        <f t="shared" si="51"/>
        <v>2025</v>
      </c>
    </row>
    <row r="789" spans="1:21" x14ac:dyDescent="0.3">
      <c r="A789" t="s">
        <v>418</v>
      </c>
      <c r="B789" t="s">
        <v>4370</v>
      </c>
      <c r="C789" t="s">
        <v>5973</v>
      </c>
      <c r="D789" t="s">
        <v>4363</v>
      </c>
      <c r="E789">
        <v>24</v>
      </c>
      <c r="F789" t="s">
        <v>5974</v>
      </c>
      <c r="G789">
        <v>9438265607</v>
      </c>
      <c r="H789" t="s">
        <v>4491</v>
      </c>
      <c r="I789" t="s">
        <v>4491</v>
      </c>
      <c r="J789" t="s">
        <v>4367</v>
      </c>
      <c r="K789">
        <v>0.2</v>
      </c>
      <c r="L789">
        <v>10.5</v>
      </c>
      <c r="M789">
        <v>14.5</v>
      </c>
      <c r="N789" t="s">
        <v>4390</v>
      </c>
      <c r="O789" t="s">
        <v>4400</v>
      </c>
      <c r="P789" s="1">
        <v>45908</v>
      </c>
      <c r="Q789" t="str">
        <f t="shared" si="48"/>
        <v>10+ Years</v>
      </c>
      <c r="R789" t="str">
        <f>IF(Table7[[#This Row],[Age]]&lt;=25,"20-25",IF(Table7[[#This Row],[Age]]&lt;=30,"26-30",IF(Table7[[#This Row],[Age]]&lt;=35,"31-35","36+")))</f>
        <v>20-25</v>
      </c>
      <c r="S789" t="str">
        <f t="shared" si="49"/>
        <v>September</v>
      </c>
      <c r="T789" s="2" t="str">
        <f t="shared" si="50"/>
        <v>Q3</v>
      </c>
      <c r="U789" s="2">
        <f t="shared" si="51"/>
        <v>2025</v>
      </c>
    </row>
    <row r="790" spans="1:21" x14ac:dyDescent="0.3">
      <c r="A790" t="s">
        <v>3036</v>
      </c>
      <c r="B790" t="s">
        <v>4687</v>
      </c>
      <c r="C790" t="s">
        <v>5240</v>
      </c>
      <c r="D790" t="s">
        <v>4720</v>
      </c>
      <c r="E790">
        <v>29</v>
      </c>
      <c r="F790" t="s">
        <v>5975</v>
      </c>
      <c r="G790">
        <v>9928058724</v>
      </c>
      <c r="H790" t="s">
        <v>4387</v>
      </c>
      <c r="I790" t="s">
        <v>4388</v>
      </c>
      <c r="J790" t="s">
        <v>4367</v>
      </c>
      <c r="K790">
        <v>1.4</v>
      </c>
      <c r="L790">
        <v>10.4</v>
      </c>
      <c r="M790">
        <v>13.3</v>
      </c>
      <c r="N790" t="s">
        <v>4406</v>
      </c>
      <c r="O790" t="s">
        <v>4369</v>
      </c>
      <c r="P790" s="1">
        <v>45998</v>
      </c>
      <c r="Q790" t="str">
        <f t="shared" si="48"/>
        <v>10+ Years</v>
      </c>
      <c r="R790" t="str">
        <f>IF(Table7[[#This Row],[Age]]&lt;=25,"20-25",IF(Table7[[#This Row],[Age]]&lt;=30,"26-30",IF(Table7[[#This Row],[Age]]&lt;=35,"31-35","36+")))</f>
        <v>26-30</v>
      </c>
      <c r="S790" t="str">
        <f t="shared" si="49"/>
        <v>December</v>
      </c>
      <c r="T790" s="2" t="str">
        <f t="shared" si="50"/>
        <v>Q4</v>
      </c>
      <c r="U790" s="2">
        <f t="shared" si="51"/>
        <v>2025</v>
      </c>
    </row>
    <row r="791" spans="1:21" x14ac:dyDescent="0.3">
      <c r="A791" t="s">
        <v>669</v>
      </c>
      <c r="B791" t="s">
        <v>5408</v>
      </c>
      <c r="C791" t="s">
        <v>5091</v>
      </c>
      <c r="D791" t="s">
        <v>4363</v>
      </c>
      <c r="E791">
        <v>33</v>
      </c>
      <c r="F791" t="s">
        <v>5976</v>
      </c>
      <c r="G791">
        <v>9783377877</v>
      </c>
      <c r="H791" t="s">
        <v>4473</v>
      </c>
      <c r="I791" t="s">
        <v>4473</v>
      </c>
      <c r="J791" t="s">
        <v>4415</v>
      </c>
      <c r="K791">
        <v>0</v>
      </c>
      <c r="L791">
        <v>9</v>
      </c>
      <c r="M791">
        <v>12.3</v>
      </c>
      <c r="N791" t="s">
        <v>4390</v>
      </c>
      <c r="O791" t="s">
        <v>4369</v>
      </c>
      <c r="P791" s="1">
        <v>45931</v>
      </c>
      <c r="Q791" t="str">
        <f t="shared" si="48"/>
        <v>10+ Years</v>
      </c>
      <c r="R791" t="str">
        <f>IF(Table7[[#This Row],[Age]]&lt;=25,"20-25",IF(Table7[[#This Row],[Age]]&lt;=30,"26-30",IF(Table7[[#This Row],[Age]]&lt;=35,"31-35","36+")))</f>
        <v>31-35</v>
      </c>
      <c r="S791" t="str">
        <f t="shared" si="49"/>
        <v>October</v>
      </c>
      <c r="T791" s="2" t="str">
        <f t="shared" si="50"/>
        <v>Q4</v>
      </c>
      <c r="U791" s="2">
        <f t="shared" si="51"/>
        <v>2025</v>
      </c>
    </row>
    <row r="792" spans="1:21" x14ac:dyDescent="0.3">
      <c r="A792" t="s">
        <v>1469</v>
      </c>
      <c r="B792" t="s">
        <v>5408</v>
      </c>
      <c r="C792" t="s">
        <v>5977</v>
      </c>
      <c r="D792" t="s">
        <v>4372</v>
      </c>
      <c r="E792">
        <v>26</v>
      </c>
      <c r="F792" t="s">
        <v>5978</v>
      </c>
      <c r="G792">
        <v>9882521394</v>
      </c>
      <c r="H792" t="s">
        <v>4387</v>
      </c>
      <c r="I792" t="s">
        <v>4388</v>
      </c>
      <c r="J792" t="s">
        <v>4367</v>
      </c>
      <c r="K792">
        <v>6.1</v>
      </c>
      <c r="L792">
        <v>13.1</v>
      </c>
      <c r="M792">
        <v>16</v>
      </c>
      <c r="N792" t="s">
        <v>4368</v>
      </c>
      <c r="O792" t="s">
        <v>4369</v>
      </c>
      <c r="P792" s="1">
        <v>45836</v>
      </c>
      <c r="Q792" t="str">
        <f t="shared" si="48"/>
        <v>10+ Years</v>
      </c>
      <c r="R792" t="str">
        <f>IF(Table7[[#This Row],[Age]]&lt;=25,"20-25",IF(Table7[[#This Row],[Age]]&lt;=30,"26-30",IF(Table7[[#This Row],[Age]]&lt;=35,"31-35","36+")))</f>
        <v>26-30</v>
      </c>
      <c r="S792" t="str">
        <f t="shared" si="49"/>
        <v>June</v>
      </c>
      <c r="T792" s="2" t="str">
        <f t="shared" si="50"/>
        <v>Q2</v>
      </c>
      <c r="U792" s="2">
        <f t="shared" si="51"/>
        <v>2025</v>
      </c>
    </row>
    <row r="793" spans="1:21" x14ac:dyDescent="0.3">
      <c r="A793" t="s">
        <v>624</v>
      </c>
      <c r="B793" t="s">
        <v>4500</v>
      </c>
      <c r="C793" t="s">
        <v>4398</v>
      </c>
      <c r="D793" t="s">
        <v>4363</v>
      </c>
      <c r="E793">
        <v>30</v>
      </c>
      <c r="F793" t="s">
        <v>5979</v>
      </c>
      <c r="G793">
        <v>9720191218</v>
      </c>
      <c r="H793" t="s">
        <v>4395</v>
      </c>
      <c r="I793" t="s">
        <v>4396</v>
      </c>
      <c r="J793" t="s">
        <v>4367</v>
      </c>
      <c r="K793">
        <v>1.8</v>
      </c>
      <c r="L793">
        <v>9.3000000000000007</v>
      </c>
      <c r="M793">
        <v>12.7</v>
      </c>
      <c r="N793" t="s">
        <v>4406</v>
      </c>
      <c r="O793" t="s">
        <v>4400</v>
      </c>
      <c r="P793" s="1">
        <v>45733</v>
      </c>
      <c r="Q793" t="str">
        <f t="shared" si="48"/>
        <v>10+ Years</v>
      </c>
      <c r="R793" t="str">
        <f>IF(Table7[[#This Row],[Age]]&lt;=25,"20-25",IF(Table7[[#This Row],[Age]]&lt;=30,"26-30",IF(Table7[[#This Row],[Age]]&lt;=35,"31-35","36+")))</f>
        <v>26-30</v>
      </c>
      <c r="S793" t="str">
        <f t="shared" si="49"/>
        <v>March</v>
      </c>
      <c r="T793" s="2" t="str">
        <f t="shared" si="50"/>
        <v>Q1</v>
      </c>
      <c r="U793" s="2">
        <f t="shared" si="51"/>
        <v>2025</v>
      </c>
    </row>
    <row r="794" spans="1:21" x14ac:dyDescent="0.3">
      <c r="A794" t="s">
        <v>1882</v>
      </c>
      <c r="B794" t="s">
        <v>4465</v>
      </c>
      <c r="C794" t="s">
        <v>4608</v>
      </c>
      <c r="D794" t="s">
        <v>4363</v>
      </c>
      <c r="E794">
        <v>28</v>
      </c>
      <c r="F794" t="s">
        <v>5980</v>
      </c>
      <c r="G794">
        <v>9370291403</v>
      </c>
      <c r="H794" t="s">
        <v>4473</v>
      </c>
      <c r="I794" t="s">
        <v>4473</v>
      </c>
      <c r="J794" t="s">
        <v>4415</v>
      </c>
      <c r="K794">
        <v>7.8</v>
      </c>
      <c r="L794">
        <v>17.7</v>
      </c>
      <c r="M794">
        <v>21.4</v>
      </c>
      <c r="N794" t="s">
        <v>4377</v>
      </c>
      <c r="O794" t="s">
        <v>4485</v>
      </c>
      <c r="P794" s="1">
        <v>45803</v>
      </c>
      <c r="Q794" t="str">
        <f t="shared" si="48"/>
        <v>10+ Years</v>
      </c>
      <c r="R794" t="str">
        <f>IF(Table7[[#This Row],[Age]]&lt;=25,"20-25",IF(Table7[[#This Row],[Age]]&lt;=30,"26-30",IF(Table7[[#This Row],[Age]]&lt;=35,"31-35","36+")))</f>
        <v>26-30</v>
      </c>
      <c r="S794" t="str">
        <f t="shared" si="49"/>
        <v>May</v>
      </c>
      <c r="T794" s="2" t="str">
        <f t="shared" si="50"/>
        <v>Q2</v>
      </c>
      <c r="U794" s="2">
        <f t="shared" si="51"/>
        <v>2025</v>
      </c>
    </row>
    <row r="795" spans="1:21" x14ac:dyDescent="0.3">
      <c r="A795" t="s">
        <v>1743</v>
      </c>
      <c r="B795" t="s">
        <v>4629</v>
      </c>
      <c r="C795" t="s">
        <v>4693</v>
      </c>
      <c r="D795" t="s">
        <v>4363</v>
      </c>
      <c r="E795">
        <v>30</v>
      </c>
      <c r="F795" t="s">
        <v>5981</v>
      </c>
      <c r="G795">
        <v>9846889227</v>
      </c>
      <c r="H795" t="s">
        <v>4387</v>
      </c>
      <c r="I795" t="s">
        <v>4388</v>
      </c>
      <c r="J795" t="s">
        <v>4376</v>
      </c>
      <c r="K795">
        <v>3.1</v>
      </c>
      <c r="L795">
        <v>7.8</v>
      </c>
      <c r="M795">
        <v>9.4</v>
      </c>
      <c r="N795" t="s">
        <v>4494</v>
      </c>
      <c r="O795" t="s">
        <v>4419</v>
      </c>
      <c r="P795" s="1">
        <v>45664</v>
      </c>
      <c r="Q795" t="str">
        <f t="shared" si="48"/>
        <v>10+ Years</v>
      </c>
      <c r="R795" t="str">
        <f>IF(Table7[[#This Row],[Age]]&lt;=25,"20-25",IF(Table7[[#This Row],[Age]]&lt;=30,"26-30",IF(Table7[[#This Row],[Age]]&lt;=35,"31-35","36+")))</f>
        <v>26-30</v>
      </c>
      <c r="S795" t="str">
        <f t="shared" si="49"/>
        <v>January</v>
      </c>
      <c r="T795" s="2" t="str">
        <f t="shared" si="50"/>
        <v>Q1</v>
      </c>
      <c r="U795" s="2">
        <f t="shared" si="51"/>
        <v>2025</v>
      </c>
    </row>
    <row r="796" spans="1:21" x14ac:dyDescent="0.3">
      <c r="A796" t="s">
        <v>2452</v>
      </c>
      <c r="B796" t="s">
        <v>5332</v>
      </c>
      <c r="C796" t="s">
        <v>5982</v>
      </c>
      <c r="D796" t="s">
        <v>4372</v>
      </c>
      <c r="E796">
        <v>36</v>
      </c>
      <c r="F796" t="s">
        <v>5983</v>
      </c>
      <c r="G796">
        <v>9444698973</v>
      </c>
      <c r="H796" t="s">
        <v>4473</v>
      </c>
      <c r="I796" t="s">
        <v>4473</v>
      </c>
      <c r="J796" t="s">
        <v>4367</v>
      </c>
      <c r="K796">
        <v>3.6</v>
      </c>
      <c r="L796">
        <v>4</v>
      </c>
      <c r="M796">
        <v>5</v>
      </c>
      <c r="N796" t="s">
        <v>4377</v>
      </c>
      <c r="O796" t="s">
        <v>4369</v>
      </c>
      <c r="P796" s="1">
        <v>45989</v>
      </c>
      <c r="Q796" t="str">
        <f t="shared" si="48"/>
        <v>10+ Years</v>
      </c>
      <c r="R796" t="str">
        <f>IF(Table7[[#This Row],[Age]]&lt;=25,"20-25",IF(Table7[[#This Row],[Age]]&lt;=30,"26-30",IF(Table7[[#This Row],[Age]]&lt;=35,"31-35","36+")))</f>
        <v>36+</v>
      </c>
      <c r="S796" t="str">
        <f t="shared" si="49"/>
        <v>November</v>
      </c>
      <c r="T796" s="2" t="str">
        <f t="shared" si="50"/>
        <v>Q4</v>
      </c>
      <c r="U796" s="2">
        <f t="shared" si="51"/>
        <v>2025</v>
      </c>
    </row>
    <row r="797" spans="1:21" x14ac:dyDescent="0.3">
      <c r="A797" t="s">
        <v>3203</v>
      </c>
      <c r="B797" t="s">
        <v>4634</v>
      </c>
      <c r="C797" t="s">
        <v>5984</v>
      </c>
      <c r="D797" t="s">
        <v>4372</v>
      </c>
      <c r="E797">
        <v>31</v>
      </c>
      <c r="F797" t="s">
        <v>5985</v>
      </c>
      <c r="G797">
        <v>9650699285</v>
      </c>
      <c r="H797" t="s">
        <v>4387</v>
      </c>
      <c r="I797" t="s">
        <v>4388</v>
      </c>
      <c r="J797" t="s">
        <v>4618</v>
      </c>
      <c r="K797">
        <v>4.5</v>
      </c>
      <c r="L797">
        <v>12</v>
      </c>
      <c r="M797">
        <v>14</v>
      </c>
      <c r="N797" t="s">
        <v>4390</v>
      </c>
      <c r="O797" t="s">
        <v>4383</v>
      </c>
      <c r="P797" s="1">
        <v>45833</v>
      </c>
      <c r="Q797" t="str">
        <f t="shared" si="48"/>
        <v>10+ Years</v>
      </c>
      <c r="R797" t="str">
        <f>IF(Table7[[#This Row],[Age]]&lt;=25,"20-25",IF(Table7[[#This Row],[Age]]&lt;=30,"26-30",IF(Table7[[#This Row],[Age]]&lt;=35,"31-35","36+")))</f>
        <v>31-35</v>
      </c>
      <c r="S797" t="str">
        <f t="shared" si="49"/>
        <v>June</v>
      </c>
      <c r="T797" s="2" t="str">
        <f t="shared" si="50"/>
        <v>Q2</v>
      </c>
      <c r="U797" s="2">
        <f t="shared" si="51"/>
        <v>2025</v>
      </c>
    </row>
    <row r="798" spans="1:21" x14ac:dyDescent="0.3">
      <c r="A798" t="s">
        <v>761</v>
      </c>
      <c r="B798" t="s">
        <v>4531</v>
      </c>
      <c r="C798" t="s">
        <v>5986</v>
      </c>
      <c r="D798" t="s">
        <v>4372</v>
      </c>
      <c r="E798">
        <v>26</v>
      </c>
      <c r="F798" t="s">
        <v>5987</v>
      </c>
      <c r="G798">
        <v>9558716284</v>
      </c>
      <c r="H798" t="s">
        <v>4454</v>
      </c>
      <c r="I798" t="s">
        <v>4455</v>
      </c>
      <c r="J798" t="s">
        <v>4367</v>
      </c>
      <c r="K798">
        <v>4.8</v>
      </c>
      <c r="L798">
        <v>10.4</v>
      </c>
      <c r="M798">
        <v>14.8</v>
      </c>
      <c r="N798" t="s">
        <v>4390</v>
      </c>
      <c r="O798" t="s">
        <v>4391</v>
      </c>
      <c r="P798" s="1">
        <v>45922</v>
      </c>
      <c r="Q798" t="str">
        <f t="shared" si="48"/>
        <v>10+ Years</v>
      </c>
      <c r="R798" t="str">
        <f>IF(Table7[[#This Row],[Age]]&lt;=25,"20-25",IF(Table7[[#This Row],[Age]]&lt;=30,"26-30",IF(Table7[[#This Row],[Age]]&lt;=35,"31-35","36+")))</f>
        <v>26-30</v>
      </c>
      <c r="S798" t="str">
        <f t="shared" si="49"/>
        <v>September</v>
      </c>
      <c r="T798" s="2" t="str">
        <f t="shared" si="50"/>
        <v>Q3</v>
      </c>
      <c r="U798" s="2">
        <f t="shared" si="51"/>
        <v>2025</v>
      </c>
    </row>
    <row r="799" spans="1:21" x14ac:dyDescent="0.3">
      <c r="A799" t="s">
        <v>5988</v>
      </c>
      <c r="B799" t="s">
        <v>4934</v>
      </c>
      <c r="C799" t="s">
        <v>5778</v>
      </c>
      <c r="D799" t="s">
        <v>4363</v>
      </c>
      <c r="E799">
        <v>31</v>
      </c>
      <c r="F799" t="s">
        <v>5989</v>
      </c>
      <c r="G799">
        <v>9145626220</v>
      </c>
      <c r="H799" t="s">
        <v>4476</v>
      </c>
      <c r="I799" t="s">
        <v>4477</v>
      </c>
      <c r="K799">
        <v>3.6</v>
      </c>
      <c r="L799">
        <v>10.199999999999999</v>
      </c>
      <c r="M799">
        <v>13.5</v>
      </c>
      <c r="N799" t="s">
        <v>4368</v>
      </c>
      <c r="O799" t="s">
        <v>4369</v>
      </c>
      <c r="P799" s="1">
        <v>45913</v>
      </c>
      <c r="Q799" t="str">
        <f t="shared" si="48"/>
        <v>10+ Years</v>
      </c>
      <c r="R799" t="str">
        <f>IF(Table7[[#This Row],[Age]]&lt;=25,"20-25",IF(Table7[[#This Row],[Age]]&lt;=30,"26-30",IF(Table7[[#This Row],[Age]]&lt;=35,"31-35","36+")))</f>
        <v>31-35</v>
      </c>
      <c r="S799" t="str">
        <f t="shared" si="49"/>
        <v>September</v>
      </c>
      <c r="T799" s="2" t="str">
        <f t="shared" si="50"/>
        <v>Q3</v>
      </c>
      <c r="U799" s="2">
        <f t="shared" si="51"/>
        <v>2025</v>
      </c>
    </row>
    <row r="800" spans="1:21" x14ac:dyDescent="0.3">
      <c r="A800" t="s">
        <v>2830</v>
      </c>
      <c r="B800" t="s">
        <v>4634</v>
      </c>
      <c r="C800" t="s">
        <v>5990</v>
      </c>
      <c r="D800" t="s">
        <v>4372</v>
      </c>
      <c r="E800">
        <v>21</v>
      </c>
      <c r="F800" t="s">
        <v>5991</v>
      </c>
      <c r="G800">
        <v>9362252095</v>
      </c>
      <c r="H800" t="s">
        <v>4387</v>
      </c>
      <c r="I800" t="s">
        <v>4388</v>
      </c>
      <c r="J800" t="s">
        <v>4432</v>
      </c>
      <c r="K800">
        <v>1</v>
      </c>
      <c r="L800">
        <v>12.6</v>
      </c>
      <c r="M800">
        <v>17</v>
      </c>
      <c r="N800" t="s">
        <v>4368</v>
      </c>
      <c r="O800" t="s">
        <v>4369</v>
      </c>
      <c r="P800" s="1">
        <v>45784</v>
      </c>
      <c r="Q800" t="str">
        <f t="shared" si="48"/>
        <v>10+ Years</v>
      </c>
      <c r="R800" t="str">
        <f>IF(Table7[[#This Row],[Age]]&lt;=25,"20-25",IF(Table7[[#This Row],[Age]]&lt;=30,"26-30",IF(Table7[[#This Row],[Age]]&lt;=35,"31-35","36+")))</f>
        <v>20-25</v>
      </c>
      <c r="S800" t="str">
        <f t="shared" si="49"/>
        <v>May</v>
      </c>
      <c r="T800" s="2" t="str">
        <f t="shared" si="50"/>
        <v>Q2</v>
      </c>
      <c r="U800" s="2">
        <f t="shared" si="51"/>
        <v>2025</v>
      </c>
    </row>
    <row r="801" spans="1:21" x14ac:dyDescent="0.3">
      <c r="A801" t="s">
        <v>1154</v>
      </c>
      <c r="B801" t="s">
        <v>5992</v>
      </c>
      <c r="C801" t="s">
        <v>5993</v>
      </c>
      <c r="D801" t="s">
        <v>4372</v>
      </c>
      <c r="E801">
        <v>28</v>
      </c>
      <c r="F801" t="s">
        <v>5994</v>
      </c>
      <c r="G801">
        <v>9662050056</v>
      </c>
      <c r="H801" t="s">
        <v>4365</v>
      </c>
      <c r="I801" t="s">
        <v>4366</v>
      </c>
      <c r="J801" t="s">
        <v>4367</v>
      </c>
      <c r="K801">
        <v>6.6</v>
      </c>
      <c r="L801">
        <v>7</v>
      </c>
      <c r="M801">
        <v>9.4</v>
      </c>
      <c r="N801" t="s">
        <v>4390</v>
      </c>
      <c r="O801" t="s">
        <v>4485</v>
      </c>
      <c r="P801" s="1">
        <v>45849</v>
      </c>
      <c r="Q801" t="str">
        <f t="shared" si="48"/>
        <v>10+ Years</v>
      </c>
      <c r="R801" t="str">
        <f>IF(Table7[[#This Row],[Age]]&lt;=25,"20-25",IF(Table7[[#This Row],[Age]]&lt;=30,"26-30",IF(Table7[[#This Row],[Age]]&lt;=35,"31-35","36+")))</f>
        <v>26-30</v>
      </c>
      <c r="S801" t="str">
        <f t="shared" si="49"/>
        <v>July</v>
      </c>
      <c r="T801" s="2" t="str">
        <f t="shared" si="50"/>
        <v>Q3</v>
      </c>
      <c r="U801" s="2">
        <f t="shared" si="51"/>
        <v>2025</v>
      </c>
    </row>
    <row r="802" spans="1:21" x14ac:dyDescent="0.3">
      <c r="A802" t="s">
        <v>5995</v>
      </c>
      <c r="B802" t="s">
        <v>4508</v>
      </c>
      <c r="C802" t="s">
        <v>5658</v>
      </c>
      <c r="D802" t="s">
        <v>4363</v>
      </c>
      <c r="E802">
        <v>31</v>
      </c>
      <c r="F802" t="s">
        <v>5996</v>
      </c>
      <c r="G802">
        <v>9814165909</v>
      </c>
      <c r="H802" t="s">
        <v>4395</v>
      </c>
      <c r="I802" t="s">
        <v>4396</v>
      </c>
      <c r="J802" t="s">
        <v>4432</v>
      </c>
      <c r="K802">
        <v>4.7</v>
      </c>
      <c r="M802">
        <v>10.8</v>
      </c>
      <c r="N802" t="s">
        <v>4390</v>
      </c>
      <c r="O802" t="s">
        <v>4369</v>
      </c>
      <c r="P802" s="1">
        <v>45833</v>
      </c>
      <c r="Q802" t="str">
        <f t="shared" si="48"/>
        <v>10+ Years</v>
      </c>
      <c r="R802" t="str">
        <f>IF(Table7[[#This Row],[Age]]&lt;=25,"20-25",IF(Table7[[#This Row],[Age]]&lt;=30,"26-30",IF(Table7[[#This Row],[Age]]&lt;=35,"31-35","36+")))</f>
        <v>31-35</v>
      </c>
      <c r="S802" t="str">
        <f t="shared" si="49"/>
        <v>June</v>
      </c>
      <c r="T802" s="2" t="str">
        <f t="shared" si="50"/>
        <v>Q2</v>
      </c>
      <c r="U802" s="2">
        <f t="shared" si="51"/>
        <v>2025</v>
      </c>
    </row>
    <row r="803" spans="1:21" x14ac:dyDescent="0.3">
      <c r="A803" t="s">
        <v>248</v>
      </c>
      <c r="B803" t="s">
        <v>5500</v>
      </c>
      <c r="C803" t="s">
        <v>5997</v>
      </c>
      <c r="D803" t="s">
        <v>4372</v>
      </c>
      <c r="E803">
        <v>22</v>
      </c>
      <c r="F803" t="s">
        <v>5998</v>
      </c>
      <c r="G803">
        <v>9475024751</v>
      </c>
      <c r="H803" t="s">
        <v>4445</v>
      </c>
      <c r="I803" t="s">
        <v>4396</v>
      </c>
      <c r="J803" t="s">
        <v>4415</v>
      </c>
      <c r="K803">
        <v>0.4</v>
      </c>
      <c r="L803">
        <v>4</v>
      </c>
      <c r="M803">
        <v>5.2</v>
      </c>
      <c r="N803" t="s">
        <v>4377</v>
      </c>
      <c r="O803" t="s">
        <v>4419</v>
      </c>
      <c r="P803" s="1">
        <v>45981</v>
      </c>
      <c r="Q803" t="str">
        <f t="shared" si="48"/>
        <v>10+ Years</v>
      </c>
      <c r="R803" t="str">
        <f>IF(Table7[[#This Row],[Age]]&lt;=25,"20-25",IF(Table7[[#This Row],[Age]]&lt;=30,"26-30",IF(Table7[[#This Row],[Age]]&lt;=35,"31-35","36+")))</f>
        <v>20-25</v>
      </c>
      <c r="S803" t="str">
        <f t="shared" si="49"/>
        <v>November</v>
      </c>
      <c r="T803" s="2" t="str">
        <f t="shared" si="50"/>
        <v>Q4</v>
      </c>
      <c r="U803" s="2">
        <f t="shared" si="51"/>
        <v>2025</v>
      </c>
    </row>
    <row r="804" spans="1:21" x14ac:dyDescent="0.3">
      <c r="A804" t="s">
        <v>5999</v>
      </c>
      <c r="B804" t="s">
        <v>5599</v>
      </c>
      <c r="C804" t="s">
        <v>6000</v>
      </c>
      <c r="D804" t="s">
        <v>4372</v>
      </c>
      <c r="E804">
        <v>32</v>
      </c>
      <c r="F804" t="s">
        <v>6001</v>
      </c>
      <c r="G804">
        <v>9259566882</v>
      </c>
      <c r="H804" t="s">
        <v>4506</v>
      </c>
      <c r="I804" t="s">
        <v>4507</v>
      </c>
      <c r="J804" t="s">
        <v>4482</v>
      </c>
      <c r="K804">
        <v>17.399999999999999</v>
      </c>
      <c r="L804">
        <v>23.4</v>
      </c>
      <c r="M804">
        <v>28.6</v>
      </c>
      <c r="N804" t="s">
        <v>4390</v>
      </c>
      <c r="O804" t="s">
        <v>4391</v>
      </c>
      <c r="P804" s="1">
        <v>45698</v>
      </c>
      <c r="Q804" t="str">
        <f t="shared" si="48"/>
        <v>10+ Years</v>
      </c>
      <c r="R804" t="str">
        <f>IF(Table7[[#This Row],[Age]]&lt;=25,"20-25",IF(Table7[[#This Row],[Age]]&lt;=30,"26-30",IF(Table7[[#This Row],[Age]]&lt;=35,"31-35","36+")))</f>
        <v>31-35</v>
      </c>
      <c r="S804" t="str">
        <f t="shared" si="49"/>
        <v>February</v>
      </c>
      <c r="T804" s="2" t="str">
        <f t="shared" si="50"/>
        <v>Q1</v>
      </c>
      <c r="U804" s="2">
        <f t="shared" si="51"/>
        <v>2025</v>
      </c>
    </row>
    <row r="805" spans="1:21" x14ac:dyDescent="0.3">
      <c r="A805" t="s">
        <v>718</v>
      </c>
      <c r="B805" t="s">
        <v>4825</v>
      </c>
      <c r="C805" t="s">
        <v>6002</v>
      </c>
      <c r="D805" t="s">
        <v>4363</v>
      </c>
      <c r="E805">
        <v>39</v>
      </c>
      <c r="F805" t="s">
        <v>6003</v>
      </c>
      <c r="G805">
        <v>9943172856</v>
      </c>
      <c r="H805" t="s">
        <v>4381</v>
      </c>
      <c r="I805" t="s">
        <v>4382</v>
      </c>
      <c r="K805">
        <v>5.4</v>
      </c>
      <c r="L805">
        <v>15.2</v>
      </c>
      <c r="M805">
        <v>20.9</v>
      </c>
      <c r="N805" t="s">
        <v>4406</v>
      </c>
      <c r="O805" t="s">
        <v>4391</v>
      </c>
      <c r="P805" s="1">
        <v>45908</v>
      </c>
      <c r="Q805" t="str">
        <f t="shared" si="48"/>
        <v>10+ Years</v>
      </c>
      <c r="R805" t="str">
        <f>IF(Table7[[#This Row],[Age]]&lt;=25,"20-25",IF(Table7[[#This Row],[Age]]&lt;=30,"26-30",IF(Table7[[#This Row],[Age]]&lt;=35,"31-35","36+")))</f>
        <v>36+</v>
      </c>
      <c r="S805" t="str">
        <f t="shared" si="49"/>
        <v>September</v>
      </c>
      <c r="T805" s="2" t="str">
        <f t="shared" si="50"/>
        <v>Q3</v>
      </c>
      <c r="U805" s="2">
        <f t="shared" si="51"/>
        <v>2025</v>
      </c>
    </row>
    <row r="806" spans="1:21" x14ac:dyDescent="0.3">
      <c r="A806" t="s">
        <v>2869</v>
      </c>
      <c r="B806" t="s">
        <v>4573</v>
      </c>
      <c r="C806" t="s">
        <v>5082</v>
      </c>
      <c r="D806" t="s">
        <v>4372</v>
      </c>
      <c r="E806">
        <v>24</v>
      </c>
      <c r="F806" t="s">
        <v>6004</v>
      </c>
      <c r="G806">
        <v>9639688539</v>
      </c>
      <c r="H806" t="s">
        <v>4445</v>
      </c>
      <c r="I806" t="s">
        <v>4396</v>
      </c>
      <c r="J806" t="s">
        <v>4389</v>
      </c>
      <c r="K806">
        <v>12.6</v>
      </c>
      <c r="L806">
        <v>23.6</v>
      </c>
      <c r="M806">
        <v>30</v>
      </c>
      <c r="N806" t="s">
        <v>4494</v>
      </c>
      <c r="O806" t="s">
        <v>4369</v>
      </c>
      <c r="P806" s="1">
        <v>45709</v>
      </c>
      <c r="Q806" t="str">
        <f t="shared" si="48"/>
        <v>10+ Years</v>
      </c>
      <c r="R806" t="str">
        <f>IF(Table7[[#This Row],[Age]]&lt;=25,"20-25",IF(Table7[[#This Row],[Age]]&lt;=30,"26-30",IF(Table7[[#This Row],[Age]]&lt;=35,"31-35","36+")))</f>
        <v>20-25</v>
      </c>
      <c r="S806" t="str">
        <f t="shared" si="49"/>
        <v>February</v>
      </c>
      <c r="T806" s="2" t="str">
        <f t="shared" si="50"/>
        <v>Q1</v>
      </c>
      <c r="U806" s="2">
        <f t="shared" si="51"/>
        <v>2025</v>
      </c>
    </row>
    <row r="807" spans="1:21" x14ac:dyDescent="0.3">
      <c r="A807" t="s">
        <v>764</v>
      </c>
      <c r="B807" t="s">
        <v>4508</v>
      </c>
      <c r="C807" t="s">
        <v>4924</v>
      </c>
      <c r="D807" t="s">
        <v>4372</v>
      </c>
      <c r="E807">
        <v>36</v>
      </c>
      <c r="F807" t="s">
        <v>6005</v>
      </c>
      <c r="G807">
        <v>9209905209</v>
      </c>
      <c r="H807" t="s">
        <v>4365</v>
      </c>
      <c r="I807" t="s">
        <v>4366</v>
      </c>
      <c r="J807" t="s">
        <v>4389</v>
      </c>
      <c r="K807">
        <v>1.5</v>
      </c>
      <c r="L807">
        <v>7.7</v>
      </c>
      <c r="M807">
        <v>10.5</v>
      </c>
      <c r="N807" t="s">
        <v>4368</v>
      </c>
      <c r="O807" t="s">
        <v>4456</v>
      </c>
      <c r="P807" s="1">
        <v>45868</v>
      </c>
      <c r="Q807" t="str">
        <f t="shared" si="48"/>
        <v>10+ Years</v>
      </c>
      <c r="R807" t="str">
        <f>IF(Table7[[#This Row],[Age]]&lt;=25,"20-25",IF(Table7[[#This Row],[Age]]&lt;=30,"26-30",IF(Table7[[#This Row],[Age]]&lt;=35,"31-35","36+")))</f>
        <v>36+</v>
      </c>
      <c r="S807" t="str">
        <f t="shared" si="49"/>
        <v>July</v>
      </c>
      <c r="T807" s="2" t="str">
        <f t="shared" si="50"/>
        <v>Q3</v>
      </c>
      <c r="U807" s="2">
        <f t="shared" si="51"/>
        <v>2025</v>
      </c>
    </row>
    <row r="808" spans="1:21" x14ac:dyDescent="0.3">
      <c r="A808" t="s">
        <v>485</v>
      </c>
      <c r="B808" t="s">
        <v>4495</v>
      </c>
      <c r="C808" t="s">
        <v>6006</v>
      </c>
      <c r="D808" t="s">
        <v>4372</v>
      </c>
      <c r="E808">
        <v>37</v>
      </c>
      <c r="F808" t="s">
        <v>6007</v>
      </c>
      <c r="G808">
        <v>9146553386</v>
      </c>
      <c r="H808" t="s">
        <v>4454</v>
      </c>
      <c r="I808" t="s">
        <v>4455</v>
      </c>
      <c r="J808" t="s">
        <v>4450</v>
      </c>
      <c r="K808">
        <v>1.9</v>
      </c>
      <c r="L808">
        <v>4.9000000000000004</v>
      </c>
      <c r="M808">
        <v>6.1</v>
      </c>
      <c r="N808" t="s">
        <v>4377</v>
      </c>
      <c r="O808" t="s">
        <v>4391</v>
      </c>
      <c r="P808" s="1">
        <v>45833</v>
      </c>
      <c r="Q808" t="str">
        <f t="shared" si="48"/>
        <v>10+ Years</v>
      </c>
      <c r="R808" t="str">
        <f>IF(Table7[[#This Row],[Age]]&lt;=25,"20-25",IF(Table7[[#This Row],[Age]]&lt;=30,"26-30",IF(Table7[[#This Row],[Age]]&lt;=35,"31-35","36+")))</f>
        <v>36+</v>
      </c>
      <c r="S808" t="str">
        <f t="shared" si="49"/>
        <v>June</v>
      </c>
      <c r="T808" s="2" t="str">
        <f t="shared" si="50"/>
        <v>Q2</v>
      </c>
      <c r="U808" s="2">
        <f t="shared" si="51"/>
        <v>2025</v>
      </c>
    </row>
    <row r="809" spans="1:21" x14ac:dyDescent="0.3">
      <c r="A809" t="s">
        <v>924</v>
      </c>
      <c r="B809" t="s">
        <v>5034</v>
      </c>
      <c r="C809" t="s">
        <v>5125</v>
      </c>
      <c r="D809" t="s">
        <v>4372</v>
      </c>
      <c r="E809">
        <v>39</v>
      </c>
      <c r="F809" t="s">
        <v>6008</v>
      </c>
      <c r="G809">
        <v>9992014242</v>
      </c>
      <c r="H809" t="s">
        <v>4410</v>
      </c>
      <c r="I809" t="s">
        <v>4411</v>
      </c>
      <c r="J809" t="s">
        <v>4367</v>
      </c>
      <c r="K809">
        <v>4.0999999999999996</v>
      </c>
      <c r="L809">
        <v>9.6999999999999993</v>
      </c>
      <c r="M809">
        <v>11.4</v>
      </c>
      <c r="N809" t="s">
        <v>4368</v>
      </c>
      <c r="O809" t="s">
        <v>4391</v>
      </c>
      <c r="P809" s="1">
        <v>45955</v>
      </c>
      <c r="Q809" t="str">
        <f t="shared" si="48"/>
        <v>10+ Years</v>
      </c>
      <c r="R809" t="str">
        <f>IF(Table7[[#This Row],[Age]]&lt;=25,"20-25",IF(Table7[[#This Row],[Age]]&lt;=30,"26-30",IF(Table7[[#This Row],[Age]]&lt;=35,"31-35","36+")))</f>
        <v>36+</v>
      </c>
      <c r="S809" t="str">
        <f t="shared" si="49"/>
        <v>October</v>
      </c>
      <c r="T809" s="2" t="str">
        <f t="shared" si="50"/>
        <v>Q4</v>
      </c>
      <c r="U809" s="2">
        <f t="shared" si="51"/>
        <v>2025</v>
      </c>
    </row>
    <row r="810" spans="1:21" x14ac:dyDescent="0.3">
      <c r="A810" t="s">
        <v>2156</v>
      </c>
      <c r="B810" t="s">
        <v>6009</v>
      </c>
      <c r="C810" t="s">
        <v>5084</v>
      </c>
      <c r="D810" t="s">
        <v>4372</v>
      </c>
      <c r="E810">
        <v>27</v>
      </c>
      <c r="F810" t="s">
        <v>6010</v>
      </c>
      <c r="G810">
        <v>9168200132</v>
      </c>
      <c r="H810" t="s">
        <v>4395</v>
      </c>
      <c r="I810" t="s">
        <v>4396</v>
      </c>
      <c r="K810">
        <v>14.7</v>
      </c>
      <c r="L810">
        <v>19.7</v>
      </c>
      <c r="M810">
        <v>26.6</v>
      </c>
      <c r="N810" t="s">
        <v>4390</v>
      </c>
      <c r="O810" t="s">
        <v>4383</v>
      </c>
      <c r="P810" s="1">
        <v>45666</v>
      </c>
      <c r="Q810" t="str">
        <f t="shared" si="48"/>
        <v>10+ Years</v>
      </c>
      <c r="R810" t="str">
        <f>IF(Table7[[#This Row],[Age]]&lt;=25,"20-25",IF(Table7[[#This Row],[Age]]&lt;=30,"26-30",IF(Table7[[#This Row],[Age]]&lt;=35,"31-35","36+")))</f>
        <v>26-30</v>
      </c>
      <c r="S810" t="str">
        <f t="shared" si="49"/>
        <v>January</v>
      </c>
      <c r="T810" s="2" t="str">
        <f t="shared" si="50"/>
        <v>Q1</v>
      </c>
      <c r="U810" s="2">
        <f t="shared" si="51"/>
        <v>2025</v>
      </c>
    </row>
    <row r="811" spans="1:21" x14ac:dyDescent="0.3">
      <c r="A811" t="s">
        <v>2096</v>
      </c>
      <c r="B811" t="s">
        <v>4517</v>
      </c>
      <c r="C811" t="s">
        <v>5663</v>
      </c>
      <c r="D811" t="s">
        <v>4372</v>
      </c>
      <c r="E811">
        <v>27</v>
      </c>
      <c r="F811" t="s">
        <v>6011</v>
      </c>
      <c r="G811">
        <v>9570876624</v>
      </c>
      <c r="H811" t="s">
        <v>4521</v>
      </c>
      <c r="I811" t="s">
        <v>4522</v>
      </c>
      <c r="J811" t="s">
        <v>4389</v>
      </c>
      <c r="K811">
        <v>1.9</v>
      </c>
      <c r="L811">
        <v>8.5</v>
      </c>
      <c r="M811">
        <v>10.199999999999999</v>
      </c>
      <c r="N811" t="s">
        <v>4377</v>
      </c>
      <c r="O811" t="s">
        <v>4391</v>
      </c>
      <c r="P811" s="1">
        <v>45947</v>
      </c>
      <c r="Q811" t="str">
        <f t="shared" si="48"/>
        <v>10+ Years</v>
      </c>
      <c r="R811" t="str">
        <f>IF(Table7[[#This Row],[Age]]&lt;=25,"20-25",IF(Table7[[#This Row],[Age]]&lt;=30,"26-30",IF(Table7[[#This Row],[Age]]&lt;=35,"31-35","36+")))</f>
        <v>26-30</v>
      </c>
      <c r="S811" t="str">
        <f t="shared" si="49"/>
        <v>October</v>
      </c>
      <c r="T811" s="2" t="str">
        <f t="shared" si="50"/>
        <v>Q4</v>
      </c>
      <c r="U811" s="2">
        <f t="shared" si="51"/>
        <v>2025</v>
      </c>
    </row>
    <row r="812" spans="1:21" x14ac:dyDescent="0.3">
      <c r="A812" t="s">
        <v>3959</v>
      </c>
      <c r="B812" t="s">
        <v>4763</v>
      </c>
      <c r="C812" t="s">
        <v>4580</v>
      </c>
      <c r="D812" t="s">
        <v>4372</v>
      </c>
      <c r="E812">
        <v>23</v>
      </c>
      <c r="F812" t="s">
        <v>6012</v>
      </c>
      <c r="G812">
        <v>9390831875</v>
      </c>
      <c r="H812" t="s">
        <v>4395</v>
      </c>
      <c r="I812" t="s">
        <v>4396</v>
      </c>
      <c r="J812" t="s">
        <v>4415</v>
      </c>
      <c r="K812">
        <v>3.2</v>
      </c>
      <c r="L812">
        <v>6.1</v>
      </c>
      <c r="M812">
        <v>7.2</v>
      </c>
      <c r="N812" t="s">
        <v>4377</v>
      </c>
      <c r="O812" t="s">
        <v>4369</v>
      </c>
      <c r="P812" s="1">
        <v>45672</v>
      </c>
      <c r="Q812" t="str">
        <f t="shared" si="48"/>
        <v>10+ Years</v>
      </c>
      <c r="R812" t="str">
        <f>IF(Table7[[#This Row],[Age]]&lt;=25,"20-25",IF(Table7[[#This Row],[Age]]&lt;=30,"26-30",IF(Table7[[#This Row],[Age]]&lt;=35,"31-35","36+")))</f>
        <v>20-25</v>
      </c>
      <c r="S812" t="str">
        <f t="shared" si="49"/>
        <v>January</v>
      </c>
      <c r="T812" s="2" t="str">
        <f t="shared" si="50"/>
        <v>Q1</v>
      </c>
      <c r="U812" s="2">
        <f t="shared" si="51"/>
        <v>2025</v>
      </c>
    </row>
    <row r="813" spans="1:21" x14ac:dyDescent="0.3">
      <c r="A813" t="s">
        <v>6013</v>
      </c>
      <c r="B813" t="s">
        <v>4565</v>
      </c>
      <c r="C813" t="s">
        <v>4610</v>
      </c>
      <c r="D813" t="s">
        <v>4363</v>
      </c>
      <c r="E813">
        <v>31</v>
      </c>
      <c r="F813" t="s">
        <v>6014</v>
      </c>
      <c r="G813">
        <v>9824444734</v>
      </c>
      <c r="H813" t="s">
        <v>4521</v>
      </c>
      <c r="I813" t="s">
        <v>4522</v>
      </c>
      <c r="J813" t="s">
        <v>4432</v>
      </c>
      <c r="K813">
        <v>4.0999999999999996</v>
      </c>
      <c r="L813">
        <v>10.4</v>
      </c>
      <c r="M813">
        <v>13.3</v>
      </c>
      <c r="N813" t="s">
        <v>4390</v>
      </c>
      <c r="O813" t="s">
        <v>4485</v>
      </c>
      <c r="P813" s="1">
        <v>45880</v>
      </c>
      <c r="Q813" t="str">
        <f t="shared" si="48"/>
        <v>10+ Years</v>
      </c>
      <c r="R813" t="str">
        <f>IF(Table7[[#This Row],[Age]]&lt;=25,"20-25",IF(Table7[[#This Row],[Age]]&lt;=30,"26-30",IF(Table7[[#This Row],[Age]]&lt;=35,"31-35","36+")))</f>
        <v>31-35</v>
      </c>
      <c r="S813" t="str">
        <f t="shared" si="49"/>
        <v>August</v>
      </c>
      <c r="T813" s="2" t="str">
        <f t="shared" si="50"/>
        <v>Q3</v>
      </c>
      <c r="U813" s="2">
        <f t="shared" si="51"/>
        <v>2025</v>
      </c>
    </row>
    <row r="814" spans="1:21" x14ac:dyDescent="0.3">
      <c r="A814" t="s">
        <v>3061</v>
      </c>
      <c r="B814" t="s">
        <v>5204</v>
      </c>
      <c r="C814" t="s">
        <v>4594</v>
      </c>
      <c r="D814" t="s">
        <v>4372</v>
      </c>
      <c r="E814">
        <v>25</v>
      </c>
      <c r="F814" t="s">
        <v>6015</v>
      </c>
      <c r="G814">
        <v>9643357688</v>
      </c>
      <c r="H814" t="s">
        <v>4445</v>
      </c>
      <c r="I814" t="s">
        <v>4396</v>
      </c>
      <c r="J814" t="s">
        <v>4415</v>
      </c>
      <c r="K814">
        <v>9.5</v>
      </c>
      <c r="L814">
        <v>12.7</v>
      </c>
      <c r="M814">
        <v>16.7</v>
      </c>
      <c r="N814" t="s">
        <v>4377</v>
      </c>
      <c r="O814" t="s">
        <v>4485</v>
      </c>
      <c r="P814" s="1">
        <v>45865</v>
      </c>
      <c r="Q814" t="str">
        <f t="shared" si="48"/>
        <v>10+ Years</v>
      </c>
      <c r="R814" t="str">
        <f>IF(Table7[[#This Row],[Age]]&lt;=25,"20-25",IF(Table7[[#This Row],[Age]]&lt;=30,"26-30",IF(Table7[[#This Row],[Age]]&lt;=35,"31-35","36+")))</f>
        <v>20-25</v>
      </c>
      <c r="S814" t="str">
        <f t="shared" si="49"/>
        <v>July</v>
      </c>
      <c r="T814" s="2" t="str">
        <f t="shared" si="50"/>
        <v>Q3</v>
      </c>
      <c r="U814" s="2">
        <f t="shared" si="51"/>
        <v>2025</v>
      </c>
    </row>
    <row r="815" spans="1:21" x14ac:dyDescent="0.3">
      <c r="A815" t="s">
        <v>6016</v>
      </c>
      <c r="B815" t="s">
        <v>4825</v>
      </c>
      <c r="C815" t="s">
        <v>5032</v>
      </c>
      <c r="D815" t="s">
        <v>4363</v>
      </c>
      <c r="E815">
        <v>30</v>
      </c>
      <c r="F815" t="s">
        <v>6017</v>
      </c>
      <c r="G815">
        <v>9927986348</v>
      </c>
      <c r="H815" t="s">
        <v>4491</v>
      </c>
      <c r="I815" t="s">
        <v>4491</v>
      </c>
      <c r="J815" t="s">
        <v>4367</v>
      </c>
      <c r="K815">
        <v>0.6</v>
      </c>
      <c r="L815">
        <v>6.3</v>
      </c>
      <c r="M815">
        <v>8.6999999999999993</v>
      </c>
      <c r="O815" t="s">
        <v>4485</v>
      </c>
      <c r="P815" s="1">
        <v>45915</v>
      </c>
      <c r="Q815" t="str">
        <f t="shared" si="48"/>
        <v>10+ Years</v>
      </c>
      <c r="R815" t="str">
        <f>IF(Table7[[#This Row],[Age]]&lt;=25,"20-25",IF(Table7[[#This Row],[Age]]&lt;=30,"26-30",IF(Table7[[#This Row],[Age]]&lt;=35,"31-35","36+")))</f>
        <v>26-30</v>
      </c>
      <c r="S815" t="str">
        <f t="shared" si="49"/>
        <v>September</v>
      </c>
      <c r="T815" s="2" t="str">
        <f t="shared" si="50"/>
        <v>Q3</v>
      </c>
      <c r="U815" s="2">
        <f t="shared" si="51"/>
        <v>2025</v>
      </c>
    </row>
    <row r="816" spans="1:21" x14ac:dyDescent="0.3">
      <c r="A816" t="s">
        <v>107</v>
      </c>
      <c r="B816" t="s">
        <v>4565</v>
      </c>
      <c r="C816" t="s">
        <v>5027</v>
      </c>
      <c r="D816" t="s">
        <v>4363</v>
      </c>
      <c r="E816">
        <v>29</v>
      </c>
      <c r="F816" t="s">
        <v>6018</v>
      </c>
      <c r="G816">
        <v>9398510751</v>
      </c>
      <c r="H816" t="s">
        <v>4454</v>
      </c>
      <c r="I816" t="s">
        <v>4455</v>
      </c>
      <c r="J816" t="s">
        <v>4367</v>
      </c>
      <c r="K816">
        <v>1.3</v>
      </c>
      <c r="L816">
        <v>8</v>
      </c>
      <c r="M816">
        <v>9.3000000000000007</v>
      </c>
      <c r="N816" t="s">
        <v>4377</v>
      </c>
      <c r="O816" t="s">
        <v>4391</v>
      </c>
      <c r="P816" s="1">
        <v>45708</v>
      </c>
      <c r="Q816" t="str">
        <f t="shared" si="48"/>
        <v>10+ Years</v>
      </c>
      <c r="R816" t="str">
        <f>IF(Table7[[#This Row],[Age]]&lt;=25,"20-25",IF(Table7[[#This Row],[Age]]&lt;=30,"26-30",IF(Table7[[#This Row],[Age]]&lt;=35,"31-35","36+")))</f>
        <v>26-30</v>
      </c>
      <c r="S816" t="str">
        <f t="shared" si="49"/>
        <v>February</v>
      </c>
      <c r="T816" s="2" t="str">
        <f t="shared" si="50"/>
        <v>Q1</v>
      </c>
      <c r="U816" s="2">
        <f t="shared" si="51"/>
        <v>2025</v>
      </c>
    </row>
    <row r="817" spans="1:21" x14ac:dyDescent="0.3">
      <c r="A817" t="s">
        <v>1287</v>
      </c>
      <c r="B817" t="s">
        <v>5730</v>
      </c>
      <c r="C817" t="s">
        <v>5236</v>
      </c>
      <c r="D817" t="s">
        <v>4363</v>
      </c>
      <c r="E817">
        <v>32</v>
      </c>
      <c r="F817" t="s">
        <v>6019</v>
      </c>
      <c r="G817">
        <v>9674309631</v>
      </c>
      <c r="H817" t="s">
        <v>4374</v>
      </c>
      <c r="I817" t="s">
        <v>4375</v>
      </c>
      <c r="J817" t="s">
        <v>4367</v>
      </c>
      <c r="K817">
        <v>4.2</v>
      </c>
      <c r="L817">
        <v>14.2</v>
      </c>
      <c r="M817">
        <v>18.3</v>
      </c>
      <c r="N817" t="s">
        <v>4406</v>
      </c>
      <c r="O817" t="s">
        <v>4369</v>
      </c>
      <c r="P817" s="1">
        <v>45776</v>
      </c>
      <c r="Q817" t="str">
        <f t="shared" si="48"/>
        <v>10+ Years</v>
      </c>
      <c r="R817" t="str">
        <f>IF(Table7[[#This Row],[Age]]&lt;=25,"20-25",IF(Table7[[#This Row],[Age]]&lt;=30,"26-30",IF(Table7[[#This Row],[Age]]&lt;=35,"31-35","36+")))</f>
        <v>31-35</v>
      </c>
      <c r="S817" t="str">
        <f t="shared" si="49"/>
        <v>April</v>
      </c>
      <c r="T817" s="2" t="str">
        <f t="shared" si="50"/>
        <v>Q2</v>
      </c>
      <c r="U817" s="2">
        <f t="shared" si="51"/>
        <v>2025</v>
      </c>
    </row>
    <row r="818" spans="1:21" x14ac:dyDescent="0.3">
      <c r="A818" t="s">
        <v>3912</v>
      </c>
      <c r="B818" t="s">
        <v>4648</v>
      </c>
      <c r="C818" t="s">
        <v>6020</v>
      </c>
      <c r="D818" t="s">
        <v>4372</v>
      </c>
      <c r="E818">
        <v>26</v>
      </c>
      <c r="F818" t="s">
        <v>6021</v>
      </c>
      <c r="G818">
        <v>9150547036</v>
      </c>
      <c r="H818" t="s">
        <v>4381</v>
      </c>
      <c r="I818" t="s">
        <v>4382</v>
      </c>
      <c r="J818" t="s">
        <v>4367</v>
      </c>
      <c r="K818">
        <v>3.2</v>
      </c>
      <c r="L818">
        <v>13.1</v>
      </c>
      <c r="M818">
        <v>15.1</v>
      </c>
      <c r="N818" t="s">
        <v>4390</v>
      </c>
      <c r="O818" t="s">
        <v>4485</v>
      </c>
      <c r="P818" s="1">
        <v>45994</v>
      </c>
      <c r="Q818" t="str">
        <f t="shared" si="48"/>
        <v>10+ Years</v>
      </c>
      <c r="R818" t="str">
        <f>IF(Table7[[#This Row],[Age]]&lt;=25,"20-25",IF(Table7[[#This Row],[Age]]&lt;=30,"26-30",IF(Table7[[#This Row],[Age]]&lt;=35,"31-35","36+")))</f>
        <v>26-30</v>
      </c>
      <c r="S818" t="str">
        <f t="shared" si="49"/>
        <v>December</v>
      </c>
      <c r="T818" s="2" t="str">
        <f t="shared" si="50"/>
        <v>Q4</v>
      </c>
      <c r="U818" s="2">
        <f t="shared" si="51"/>
        <v>2025</v>
      </c>
    </row>
    <row r="819" spans="1:21" x14ac:dyDescent="0.3">
      <c r="A819" t="s">
        <v>2877</v>
      </c>
      <c r="B819" t="s">
        <v>4731</v>
      </c>
      <c r="C819" t="s">
        <v>4616</v>
      </c>
      <c r="D819" t="s">
        <v>4363</v>
      </c>
      <c r="E819">
        <v>29</v>
      </c>
      <c r="F819" t="s">
        <v>6022</v>
      </c>
      <c r="G819">
        <v>9326502151</v>
      </c>
      <c r="H819" t="s">
        <v>4473</v>
      </c>
      <c r="I819" t="s">
        <v>4473</v>
      </c>
      <c r="J819" t="s">
        <v>4482</v>
      </c>
      <c r="K819">
        <v>0.5</v>
      </c>
      <c r="L819">
        <v>9.1</v>
      </c>
      <c r="M819">
        <v>12.4</v>
      </c>
      <c r="N819" t="s">
        <v>4390</v>
      </c>
      <c r="O819" t="s">
        <v>4369</v>
      </c>
      <c r="P819" s="1">
        <v>46006</v>
      </c>
      <c r="Q819" t="str">
        <f t="shared" si="48"/>
        <v>10+ Years</v>
      </c>
      <c r="R819" t="str">
        <f>IF(Table7[[#This Row],[Age]]&lt;=25,"20-25",IF(Table7[[#This Row],[Age]]&lt;=30,"26-30",IF(Table7[[#This Row],[Age]]&lt;=35,"31-35","36+")))</f>
        <v>26-30</v>
      </c>
      <c r="S819" t="str">
        <f t="shared" si="49"/>
        <v>December</v>
      </c>
      <c r="T819" s="2" t="str">
        <f t="shared" si="50"/>
        <v>Q4</v>
      </c>
      <c r="U819" s="2">
        <f t="shared" si="51"/>
        <v>2025</v>
      </c>
    </row>
    <row r="820" spans="1:21" x14ac:dyDescent="0.3">
      <c r="A820" t="s">
        <v>1141</v>
      </c>
      <c r="B820" t="s">
        <v>6023</v>
      </c>
      <c r="C820" t="s">
        <v>6024</v>
      </c>
      <c r="D820" t="s">
        <v>4363</v>
      </c>
      <c r="E820">
        <v>37</v>
      </c>
      <c r="F820" t="s">
        <v>6025</v>
      </c>
      <c r="G820">
        <v>9280132681</v>
      </c>
      <c r="H820" t="s">
        <v>4410</v>
      </c>
      <c r="I820" t="s">
        <v>4411</v>
      </c>
      <c r="J820" t="s">
        <v>4482</v>
      </c>
      <c r="K820">
        <v>0.7</v>
      </c>
      <c r="L820">
        <v>3.9</v>
      </c>
      <c r="M820">
        <v>5.4</v>
      </c>
      <c r="N820" t="s">
        <v>4377</v>
      </c>
      <c r="O820" t="s">
        <v>4419</v>
      </c>
      <c r="P820" s="1">
        <v>45718</v>
      </c>
      <c r="Q820" t="str">
        <f t="shared" si="48"/>
        <v>10+ Years</v>
      </c>
      <c r="R820" t="str">
        <f>IF(Table7[[#This Row],[Age]]&lt;=25,"20-25",IF(Table7[[#This Row],[Age]]&lt;=30,"26-30",IF(Table7[[#This Row],[Age]]&lt;=35,"31-35","36+")))</f>
        <v>36+</v>
      </c>
      <c r="S820" t="str">
        <f t="shared" si="49"/>
        <v>March</v>
      </c>
      <c r="T820" s="2" t="str">
        <f t="shared" si="50"/>
        <v>Q1</v>
      </c>
      <c r="U820" s="2">
        <f t="shared" si="51"/>
        <v>2025</v>
      </c>
    </row>
    <row r="821" spans="1:21" x14ac:dyDescent="0.3">
      <c r="A821" t="s">
        <v>1599</v>
      </c>
      <c r="B821" t="s">
        <v>6026</v>
      </c>
      <c r="C821" t="s">
        <v>5443</v>
      </c>
      <c r="D821" t="s">
        <v>4363</v>
      </c>
      <c r="E821">
        <v>27</v>
      </c>
      <c r="F821" t="s">
        <v>6027</v>
      </c>
      <c r="G821">
        <v>9214490776</v>
      </c>
      <c r="H821" t="s">
        <v>4445</v>
      </c>
      <c r="I821" t="s">
        <v>4396</v>
      </c>
      <c r="K821">
        <v>3.6</v>
      </c>
      <c r="L821">
        <v>11</v>
      </c>
      <c r="M821">
        <v>15</v>
      </c>
      <c r="N821" t="s">
        <v>4390</v>
      </c>
      <c r="O821" t="s">
        <v>4400</v>
      </c>
      <c r="P821" s="1">
        <v>45922</v>
      </c>
      <c r="Q821" t="str">
        <f t="shared" si="48"/>
        <v>10+ Years</v>
      </c>
      <c r="R821" t="str">
        <f>IF(Table7[[#This Row],[Age]]&lt;=25,"20-25",IF(Table7[[#This Row],[Age]]&lt;=30,"26-30",IF(Table7[[#This Row],[Age]]&lt;=35,"31-35","36+")))</f>
        <v>26-30</v>
      </c>
      <c r="S821" t="str">
        <f t="shared" si="49"/>
        <v>September</v>
      </c>
      <c r="T821" s="2" t="str">
        <f t="shared" si="50"/>
        <v>Q3</v>
      </c>
      <c r="U821" s="2">
        <f t="shared" si="51"/>
        <v>2025</v>
      </c>
    </row>
    <row r="822" spans="1:21" x14ac:dyDescent="0.3">
      <c r="A822" t="s">
        <v>137</v>
      </c>
      <c r="B822" t="s">
        <v>4600</v>
      </c>
      <c r="C822" t="s">
        <v>6028</v>
      </c>
      <c r="D822" t="s">
        <v>4363</v>
      </c>
      <c r="E822">
        <v>31</v>
      </c>
      <c r="F822" t="s">
        <v>6029</v>
      </c>
      <c r="G822">
        <v>9834490030</v>
      </c>
      <c r="H822" t="s">
        <v>4395</v>
      </c>
      <c r="I822" t="s">
        <v>4396</v>
      </c>
      <c r="K822">
        <v>4</v>
      </c>
      <c r="L822">
        <v>16.899999999999999</v>
      </c>
      <c r="M822">
        <v>20.399999999999999</v>
      </c>
      <c r="N822" t="s">
        <v>4406</v>
      </c>
      <c r="O822" t="s">
        <v>4383</v>
      </c>
      <c r="P822" s="1">
        <v>45873</v>
      </c>
      <c r="Q822" t="str">
        <f t="shared" si="48"/>
        <v>10+ Years</v>
      </c>
      <c r="R822" t="str">
        <f>IF(Table7[[#This Row],[Age]]&lt;=25,"20-25",IF(Table7[[#This Row],[Age]]&lt;=30,"26-30",IF(Table7[[#This Row],[Age]]&lt;=35,"31-35","36+")))</f>
        <v>31-35</v>
      </c>
      <c r="S822" t="str">
        <f t="shared" si="49"/>
        <v>August</v>
      </c>
      <c r="T822" s="2" t="str">
        <f t="shared" si="50"/>
        <v>Q3</v>
      </c>
      <c r="U822" s="2">
        <f t="shared" si="51"/>
        <v>2025</v>
      </c>
    </row>
    <row r="823" spans="1:21" x14ac:dyDescent="0.3">
      <c r="A823" t="s">
        <v>1934</v>
      </c>
      <c r="B823" t="s">
        <v>4537</v>
      </c>
      <c r="C823" t="s">
        <v>6030</v>
      </c>
      <c r="D823" t="s">
        <v>4363</v>
      </c>
      <c r="E823">
        <v>32</v>
      </c>
      <c r="F823" t="s">
        <v>6031</v>
      </c>
      <c r="G823">
        <v>9453983433</v>
      </c>
      <c r="H823" t="s">
        <v>4381</v>
      </c>
      <c r="I823" t="s">
        <v>4382</v>
      </c>
      <c r="J823" t="s">
        <v>4376</v>
      </c>
      <c r="K823">
        <v>2.4</v>
      </c>
      <c r="L823">
        <v>8.8000000000000007</v>
      </c>
      <c r="M823">
        <v>10.1</v>
      </c>
      <c r="O823" t="s">
        <v>4383</v>
      </c>
      <c r="P823" s="1">
        <v>45922</v>
      </c>
      <c r="Q823" t="str">
        <f t="shared" si="48"/>
        <v>10+ Years</v>
      </c>
      <c r="R823" t="str">
        <f>IF(Table7[[#This Row],[Age]]&lt;=25,"20-25",IF(Table7[[#This Row],[Age]]&lt;=30,"26-30",IF(Table7[[#This Row],[Age]]&lt;=35,"31-35","36+")))</f>
        <v>31-35</v>
      </c>
      <c r="S823" t="str">
        <f t="shared" si="49"/>
        <v>September</v>
      </c>
      <c r="T823" s="2" t="str">
        <f t="shared" si="50"/>
        <v>Q3</v>
      </c>
      <c r="U823" s="2">
        <f t="shared" si="51"/>
        <v>2025</v>
      </c>
    </row>
    <row r="824" spans="1:21" x14ac:dyDescent="0.3">
      <c r="A824" t="s">
        <v>165</v>
      </c>
      <c r="B824" t="s">
        <v>4568</v>
      </c>
      <c r="C824" t="s">
        <v>4606</v>
      </c>
      <c r="D824" t="s">
        <v>4372</v>
      </c>
      <c r="E824">
        <v>29</v>
      </c>
      <c r="F824" t="s">
        <v>6032</v>
      </c>
      <c r="G824">
        <v>9380496672</v>
      </c>
      <c r="H824" t="s">
        <v>4476</v>
      </c>
      <c r="I824" t="s">
        <v>4477</v>
      </c>
      <c r="J824" t="s">
        <v>4432</v>
      </c>
      <c r="K824">
        <v>2.6</v>
      </c>
      <c r="L824">
        <v>9.4</v>
      </c>
      <c r="M824">
        <v>12.4</v>
      </c>
      <c r="N824" t="s">
        <v>4390</v>
      </c>
      <c r="O824" t="s">
        <v>4391</v>
      </c>
      <c r="P824" s="1">
        <v>45716</v>
      </c>
      <c r="Q824" t="str">
        <f t="shared" si="48"/>
        <v>10+ Years</v>
      </c>
      <c r="R824" t="str">
        <f>IF(Table7[[#This Row],[Age]]&lt;=25,"20-25",IF(Table7[[#This Row],[Age]]&lt;=30,"26-30",IF(Table7[[#This Row],[Age]]&lt;=35,"31-35","36+")))</f>
        <v>26-30</v>
      </c>
      <c r="S824" t="str">
        <f t="shared" si="49"/>
        <v>February</v>
      </c>
      <c r="T824" s="2" t="str">
        <f t="shared" si="50"/>
        <v>Q1</v>
      </c>
      <c r="U824" s="2">
        <f t="shared" si="51"/>
        <v>2025</v>
      </c>
    </row>
    <row r="825" spans="1:21" x14ac:dyDescent="0.3">
      <c r="A825" t="s">
        <v>3609</v>
      </c>
      <c r="B825" t="s">
        <v>5437</v>
      </c>
      <c r="C825" t="s">
        <v>6033</v>
      </c>
      <c r="D825" t="s">
        <v>4372</v>
      </c>
      <c r="E825">
        <v>31</v>
      </c>
      <c r="F825" t="s">
        <v>6034</v>
      </c>
      <c r="G825">
        <v>9287900115</v>
      </c>
      <c r="H825" t="s">
        <v>4521</v>
      </c>
      <c r="I825" t="s">
        <v>4522</v>
      </c>
      <c r="J825" t="s">
        <v>4367</v>
      </c>
      <c r="K825">
        <v>1.6</v>
      </c>
      <c r="M825">
        <v>4</v>
      </c>
      <c r="N825" t="s">
        <v>4390</v>
      </c>
      <c r="O825" t="s">
        <v>4369</v>
      </c>
      <c r="P825" s="1">
        <v>45684</v>
      </c>
      <c r="Q825" t="str">
        <f t="shared" si="48"/>
        <v>10+ Years</v>
      </c>
      <c r="R825" t="str">
        <f>IF(Table7[[#This Row],[Age]]&lt;=25,"20-25",IF(Table7[[#This Row],[Age]]&lt;=30,"26-30",IF(Table7[[#This Row],[Age]]&lt;=35,"31-35","36+")))</f>
        <v>31-35</v>
      </c>
      <c r="S825" t="str">
        <f t="shared" si="49"/>
        <v>January</v>
      </c>
      <c r="T825" s="2" t="str">
        <f t="shared" si="50"/>
        <v>Q1</v>
      </c>
      <c r="U825" s="2">
        <f t="shared" si="51"/>
        <v>2025</v>
      </c>
    </row>
    <row r="826" spans="1:21" x14ac:dyDescent="0.3">
      <c r="A826" t="s">
        <v>6035</v>
      </c>
      <c r="B826" t="s">
        <v>4934</v>
      </c>
      <c r="C826" t="s">
        <v>6036</v>
      </c>
      <c r="D826" t="s">
        <v>4363</v>
      </c>
      <c r="E826">
        <v>21</v>
      </c>
      <c r="F826" t="s">
        <v>6037</v>
      </c>
      <c r="G826">
        <v>9599531008</v>
      </c>
      <c r="H826" t="s">
        <v>4395</v>
      </c>
      <c r="I826" t="s">
        <v>4396</v>
      </c>
      <c r="J826" t="s">
        <v>4482</v>
      </c>
      <c r="K826">
        <v>4</v>
      </c>
      <c r="L826">
        <v>8</v>
      </c>
      <c r="M826">
        <v>9.1</v>
      </c>
      <c r="N826" t="s">
        <v>4377</v>
      </c>
      <c r="O826" t="s">
        <v>4400</v>
      </c>
      <c r="P826" s="1">
        <v>45781</v>
      </c>
      <c r="Q826" t="str">
        <f t="shared" si="48"/>
        <v>10+ Years</v>
      </c>
      <c r="R826" t="str">
        <f>IF(Table7[[#This Row],[Age]]&lt;=25,"20-25",IF(Table7[[#This Row],[Age]]&lt;=30,"26-30",IF(Table7[[#This Row],[Age]]&lt;=35,"31-35","36+")))</f>
        <v>20-25</v>
      </c>
      <c r="S826" t="str">
        <f t="shared" si="49"/>
        <v>May</v>
      </c>
      <c r="T826" s="2" t="str">
        <f t="shared" si="50"/>
        <v>Q2</v>
      </c>
      <c r="U826" s="2">
        <f t="shared" si="51"/>
        <v>2025</v>
      </c>
    </row>
    <row r="827" spans="1:21" x14ac:dyDescent="0.3">
      <c r="A827" t="s">
        <v>378</v>
      </c>
      <c r="B827" t="s">
        <v>6038</v>
      </c>
      <c r="C827" t="s">
        <v>4642</v>
      </c>
      <c r="D827" t="s">
        <v>4372</v>
      </c>
      <c r="E827">
        <v>32</v>
      </c>
      <c r="F827" t="s">
        <v>6039</v>
      </c>
      <c r="G827">
        <v>9955477567</v>
      </c>
      <c r="H827" t="s">
        <v>4387</v>
      </c>
      <c r="I827" t="s">
        <v>4388</v>
      </c>
      <c r="J827" t="s">
        <v>4415</v>
      </c>
      <c r="K827">
        <v>1.4</v>
      </c>
      <c r="L827">
        <v>10.9</v>
      </c>
      <c r="M827">
        <v>13.6</v>
      </c>
      <c r="N827" t="s">
        <v>4368</v>
      </c>
      <c r="O827" t="s">
        <v>4400</v>
      </c>
      <c r="P827" s="1">
        <v>45845</v>
      </c>
      <c r="Q827" t="str">
        <f t="shared" si="48"/>
        <v>10+ Years</v>
      </c>
      <c r="R827" t="str">
        <f>IF(Table7[[#This Row],[Age]]&lt;=25,"20-25",IF(Table7[[#This Row],[Age]]&lt;=30,"26-30",IF(Table7[[#This Row],[Age]]&lt;=35,"31-35","36+")))</f>
        <v>31-35</v>
      </c>
      <c r="S827" t="str">
        <f t="shared" si="49"/>
        <v>July</v>
      </c>
      <c r="T827" s="2" t="str">
        <f t="shared" si="50"/>
        <v>Q3</v>
      </c>
      <c r="U827" s="2">
        <f t="shared" si="51"/>
        <v>2025</v>
      </c>
    </row>
    <row r="828" spans="1:21" x14ac:dyDescent="0.3">
      <c r="A828" t="s">
        <v>3784</v>
      </c>
      <c r="B828" t="s">
        <v>4934</v>
      </c>
      <c r="C828" t="s">
        <v>6040</v>
      </c>
      <c r="D828" t="s">
        <v>4372</v>
      </c>
      <c r="E828">
        <v>39</v>
      </c>
      <c r="F828" t="s">
        <v>6041</v>
      </c>
      <c r="G828">
        <v>9977725381</v>
      </c>
      <c r="H828" t="s">
        <v>4404</v>
      </c>
      <c r="I828" t="s">
        <v>4405</v>
      </c>
      <c r="J828" t="s">
        <v>4389</v>
      </c>
      <c r="K828">
        <v>0</v>
      </c>
      <c r="L828">
        <v>8.3000000000000007</v>
      </c>
      <c r="M828">
        <v>10.6</v>
      </c>
      <c r="N828" t="s">
        <v>4406</v>
      </c>
      <c r="O828" t="s">
        <v>4369</v>
      </c>
      <c r="P828" s="1">
        <v>45768</v>
      </c>
      <c r="Q828" t="str">
        <f t="shared" si="48"/>
        <v>10+ Years</v>
      </c>
      <c r="R828" t="str">
        <f>IF(Table7[[#This Row],[Age]]&lt;=25,"20-25",IF(Table7[[#This Row],[Age]]&lt;=30,"26-30",IF(Table7[[#This Row],[Age]]&lt;=35,"31-35","36+")))</f>
        <v>36+</v>
      </c>
      <c r="S828" t="str">
        <f t="shared" si="49"/>
        <v>April</v>
      </c>
      <c r="T828" s="2" t="str">
        <f t="shared" si="50"/>
        <v>Q2</v>
      </c>
      <c r="U828" s="2">
        <f t="shared" si="51"/>
        <v>2025</v>
      </c>
    </row>
    <row r="829" spans="1:21" x14ac:dyDescent="0.3">
      <c r="A829" t="s">
        <v>182</v>
      </c>
      <c r="B829" t="s">
        <v>5829</v>
      </c>
      <c r="C829" t="s">
        <v>4664</v>
      </c>
      <c r="D829" t="s">
        <v>4372</v>
      </c>
      <c r="E829">
        <v>28</v>
      </c>
      <c r="F829" t="s">
        <v>6042</v>
      </c>
      <c r="G829">
        <v>9814740179</v>
      </c>
      <c r="H829" t="s">
        <v>4521</v>
      </c>
      <c r="I829" t="s">
        <v>4522</v>
      </c>
      <c r="J829" t="s">
        <v>4415</v>
      </c>
      <c r="K829">
        <v>2.1</v>
      </c>
      <c r="L829">
        <v>9.3000000000000007</v>
      </c>
      <c r="M829">
        <v>13.2</v>
      </c>
      <c r="N829" t="s">
        <v>4494</v>
      </c>
      <c r="O829" t="s">
        <v>4383</v>
      </c>
      <c r="P829" s="1">
        <v>45709</v>
      </c>
      <c r="Q829" t="str">
        <f t="shared" si="48"/>
        <v>10+ Years</v>
      </c>
      <c r="R829" t="str">
        <f>IF(Table7[[#This Row],[Age]]&lt;=25,"20-25",IF(Table7[[#This Row],[Age]]&lt;=30,"26-30",IF(Table7[[#This Row],[Age]]&lt;=35,"31-35","36+")))</f>
        <v>26-30</v>
      </c>
      <c r="S829" t="str">
        <f t="shared" si="49"/>
        <v>February</v>
      </c>
      <c r="T829" s="2" t="str">
        <f t="shared" si="50"/>
        <v>Q1</v>
      </c>
      <c r="U829" s="2">
        <f t="shared" si="51"/>
        <v>2025</v>
      </c>
    </row>
    <row r="830" spans="1:21" x14ac:dyDescent="0.3">
      <c r="A830" t="s">
        <v>3436</v>
      </c>
      <c r="B830" t="s">
        <v>4429</v>
      </c>
      <c r="C830" t="s">
        <v>6043</v>
      </c>
      <c r="D830" t="s">
        <v>4363</v>
      </c>
      <c r="E830">
        <v>32</v>
      </c>
      <c r="F830" t="s">
        <v>6044</v>
      </c>
      <c r="G830">
        <v>9551979889</v>
      </c>
      <c r="H830" t="s">
        <v>4381</v>
      </c>
      <c r="I830" t="s">
        <v>4382</v>
      </c>
      <c r="J830" t="s">
        <v>4432</v>
      </c>
      <c r="K830">
        <v>5.4</v>
      </c>
      <c r="L830">
        <v>13.5</v>
      </c>
      <c r="M830">
        <v>19.3</v>
      </c>
      <c r="N830" t="s">
        <v>4390</v>
      </c>
      <c r="O830" t="s">
        <v>4369</v>
      </c>
      <c r="P830" s="1">
        <v>45775</v>
      </c>
      <c r="Q830" t="str">
        <f t="shared" si="48"/>
        <v>10+ Years</v>
      </c>
      <c r="R830" t="str">
        <f>IF(Table7[[#This Row],[Age]]&lt;=25,"20-25",IF(Table7[[#This Row],[Age]]&lt;=30,"26-30",IF(Table7[[#This Row],[Age]]&lt;=35,"31-35","36+")))</f>
        <v>31-35</v>
      </c>
      <c r="S830" t="str">
        <f t="shared" si="49"/>
        <v>April</v>
      </c>
      <c r="T830" s="2" t="str">
        <f t="shared" si="50"/>
        <v>Q2</v>
      </c>
      <c r="U830" s="2">
        <f t="shared" si="51"/>
        <v>2025</v>
      </c>
    </row>
    <row r="831" spans="1:21" x14ac:dyDescent="0.3">
      <c r="A831" t="s">
        <v>373</v>
      </c>
      <c r="B831" t="s">
        <v>4554</v>
      </c>
      <c r="C831" t="s">
        <v>5330</v>
      </c>
      <c r="D831" t="s">
        <v>4372</v>
      </c>
      <c r="E831">
        <v>34</v>
      </c>
      <c r="F831" t="s">
        <v>6045</v>
      </c>
      <c r="G831">
        <v>9715175004</v>
      </c>
      <c r="H831" t="s">
        <v>4387</v>
      </c>
      <c r="I831" t="s">
        <v>4388</v>
      </c>
      <c r="J831" t="s">
        <v>4482</v>
      </c>
      <c r="K831">
        <v>2</v>
      </c>
      <c r="L831">
        <v>10.1</v>
      </c>
      <c r="M831">
        <v>12.8</v>
      </c>
      <c r="N831" t="s">
        <v>4377</v>
      </c>
      <c r="O831" t="s">
        <v>4369</v>
      </c>
      <c r="P831" s="1">
        <v>45923</v>
      </c>
      <c r="Q831" t="str">
        <f t="shared" si="48"/>
        <v>10+ Years</v>
      </c>
      <c r="R831" t="str">
        <f>IF(Table7[[#This Row],[Age]]&lt;=25,"20-25",IF(Table7[[#This Row],[Age]]&lt;=30,"26-30",IF(Table7[[#This Row],[Age]]&lt;=35,"31-35","36+")))</f>
        <v>31-35</v>
      </c>
      <c r="S831" t="str">
        <f t="shared" si="49"/>
        <v>September</v>
      </c>
      <c r="T831" s="2" t="str">
        <f t="shared" si="50"/>
        <v>Q3</v>
      </c>
      <c r="U831" s="2">
        <f t="shared" si="51"/>
        <v>2025</v>
      </c>
    </row>
    <row r="832" spans="1:21" x14ac:dyDescent="0.3">
      <c r="A832" t="s">
        <v>2969</v>
      </c>
      <c r="B832" t="s">
        <v>4715</v>
      </c>
      <c r="C832" t="s">
        <v>5218</v>
      </c>
      <c r="D832" t="s">
        <v>4372</v>
      </c>
      <c r="E832">
        <v>31</v>
      </c>
      <c r="F832" t="s">
        <v>6046</v>
      </c>
      <c r="G832">
        <v>9170091811</v>
      </c>
      <c r="H832" t="s">
        <v>4476</v>
      </c>
      <c r="I832" t="s">
        <v>4477</v>
      </c>
      <c r="J832" t="s">
        <v>4446</v>
      </c>
      <c r="K832">
        <v>8.1</v>
      </c>
      <c r="L832">
        <v>15.4</v>
      </c>
      <c r="M832">
        <v>17.3</v>
      </c>
      <c r="N832" t="s">
        <v>4368</v>
      </c>
      <c r="O832" t="s">
        <v>4485</v>
      </c>
      <c r="P832" s="1">
        <v>45747</v>
      </c>
      <c r="Q832" t="str">
        <f t="shared" si="48"/>
        <v>10+ Years</v>
      </c>
      <c r="R832" t="str">
        <f>IF(Table7[[#This Row],[Age]]&lt;=25,"20-25",IF(Table7[[#This Row],[Age]]&lt;=30,"26-30",IF(Table7[[#This Row],[Age]]&lt;=35,"31-35","36+")))</f>
        <v>31-35</v>
      </c>
      <c r="S832" t="str">
        <f t="shared" si="49"/>
        <v>March</v>
      </c>
      <c r="T832" s="2" t="str">
        <f t="shared" si="50"/>
        <v>Q1</v>
      </c>
      <c r="U832" s="2">
        <f t="shared" si="51"/>
        <v>2025</v>
      </c>
    </row>
    <row r="833" spans="1:21" x14ac:dyDescent="0.3">
      <c r="A833" t="s">
        <v>3866</v>
      </c>
      <c r="B833" t="s">
        <v>5249</v>
      </c>
      <c r="C833" t="s">
        <v>4755</v>
      </c>
      <c r="D833" t="s">
        <v>4363</v>
      </c>
      <c r="E833">
        <v>33</v>
      </c>
      <c r="F833" t="s">
        <v>6047</v>
      </c>
      <c r="G833">
        <v>9136416089</v>
      </c>
      <c r="H833" t="s">
        <v>4491</v>
      </c>
      <c r="I833" t="s">
        <v>4491</v>
      </c>
      <c r="J833" t="s">
        <v>4367</v>
      </c>
      <c r="K833">
        <v>0.9</v>
      </c>
      <c r="L833">
        <v>4.2</v>
      </c>
      <c r="M833">
        <v>5.5</v>
      </c>
      <c r="N833" t="s">
        <v>4368</v>
      </c>
      <c r="O833" t="s">
        <v>4391</v>
      </c>
      <c r="P833" s="1">
        <v>45974</v>
      </c>
      <c r="Q833" t="str">
        <f t="shared" si="48"/>
        <v>10+ Years</v>
      </c>
      <c r="R833" t="str">
        <f>IF(Table7[[#This Row],[Age]]&lt;=25,"20-25",IF(Table7[[#This Row],[Age]]&lt;=30,"26-30",IF(Table7[[#This Row],[Age]]&lt;=35,"31-35","36+")))</f>
        <v>31-35</v>
      </c>
      <c r="S833" t="str">
        <f t="shared" si="49"/>
        <v>November</v>
      </c>
      <c r="T833" s="2" t="str">
        <f t="shared" si="50"/>
        <v>Q4</v>
      </c>
      <c r="U833" s="2">
        <f t="shared" si="51"/>
        <v>2025</v>
      </c>
    </row>
    <row r="834" spans="1:21" x14ac:dyDescent="0.3">
      <c r="A834" t="s">
        <v>6048</v>
      </c>
      <c r="B834" t="s">
        <v>6049</v>
      </c>
      <c r="C834" t="s">
        <v>5366</v>
      </c>
      <c r="D834" t="s">
        <v>4372</v>
      </c>
      <c r="E834">
        <v>36</v>
      </c>
      <c r="F834" t="s">
        <v>6050</v>
      </c>
      <c r="G834">
        <v>9387183733</v>
      </c>
      <c r="H834" t="s">
        <v>4454</v>
      </c>
      <c r="I834" t="s">
        <v>4455</v>
      </c>
      <c r="J834" t="s">
        <v>4450</v>
      </c>
      <c r="K834">
        <v>8.6999999999999993</v>
      </c>
      <c r="L834">
        <v>12.3</v>
      </c>
      <c r="M834">
        <v>16.600000000000001</v>
      </c>
      <c r="N834" t="s">
        <v>4390</v>
      </c>
      <c r="O834" t="s">
        <v>4456</v>
      </c>
      <c r="P834" s="1">
        <v>45808</v>
      </c>
      <c r="Q834" t="str">
        <f t="shared" ref="Q834:Q897" si="52">IF(P834&lt;=2,"0-2 Years",IF(P834&lt;=5,"3-5 Years",IF(P834&lt;=10,"6-10 Years","10+ Years")))</f>
        <v>10+ Years</v>
      </c>
      <c r="R834" t="str">
        <f>IF(Table7[[#This Row],[Age]]&lt;=25,"20-25",IF(Table7[[#This Row],[Age]]&lt;=30,"26-30",IF(Table7[[#This Row],[Age]]&lt;=35,"31-35","36+")))</f>
        <v>36+</v>
      </c>
      <c r="S834" t="str">
        <f t="shared" ref="S834:S897" si="53">TEXT(P834,"mmmm")</f>
        <v>May</v>
      </c>
      <c r="T834" s="2" t="str">
        <f t="shared" ref="T834:T897" si="54">"Q"&amp;ROUNDUP(MONTH(P834)/3,0)</f>
        <v>Q2</v>
      </c>
      <c r="U834" s="2">
        <f t="shared" ref="U834:U897" si="55">YEAR(P834)</f>
        <v>2025</v>
      </c>
    </row>
    <row r="835" spans="1:21" x14ac:dyDescent="0.3">
      <c r="A835" t="s">
        <v>3873</v>
      </c>
      <c r="B835" t="s">
        <v>4889</v>
      </c>
      <c r="C835" t="s">
        <v>4976</v>
      </c>
      <c r="D835" t="s">
        <v>4372</v>
      </c>
      <c r="E835">
        <v>31</v>
      </c>
      <c r="F835" t="s">
        <v>6051</v>
      </c>
      <c r="G835">
        <v>9328381918</v>
      </c>
      <c r="H835" t="s">
        <v>4387</v>
      </c>
      <c r="I835" t="s">
        <v>4388</v>
      </c>
      <c r="J835" t="s">
        <v>4376</v>
      </c>
      <c r="K835">
        <v>7.7</v>
      </c>
      <c r="L835">
        <v>21.8</v>
      </c>
      <c r="M835">
        <v>28.6</v>
      </c>
      <c r="N835" t="s">
        <v>4390</v>
      </c>
      <c r="O835" t="s">
        <v>4485</v>
      </c>
      <c r="P835" s="1">
        <v>45828</v>
      </c>
      <c r="Q835" t="str">
        <f t="shared" si="52"/>
        <v>10+ Years</v>
      </c>
      <c r="R835" t="str">
        <f>IF(Table7[[#This Row],[Age]]&lt;=25,"20-25",IF(Table7[[#This Row],[Age]]&lt;=30,"26-30",IF(Table7[[#This Row],[Age]]&lt;=35,"31-35","36+")))</f>
        <v>31-35</v>
      </c>
      <c r="S835" t="str">
        <f t="shared" si="53"/>
        <v>June</v>
      </c>
      <c r="T835" s="2" t="str">
        <f t="shared" si="54"/>
        <v>Q2</v>
      </c>
      <c r="U835" s="2">
        <f t="shared" si="55"/>
        <v>2025</v>
      </c>
    </row>
    <row r="836" spans="1:21" x14ac:dyDescent="0.3">
      <c r="A836" t="s">
        <v>1089</v>
      </c>
      <c r="B836" t="s">
        <v>4370</v>
      </c>
      <c r="C836" t="s">
        <v>4486</v>
      </c>
      <c r="D836" t="s">
        <v>4372</v>
      </c>
      <c r="E836">
        <v>21</v>
      </c>
      <c r="F836" t="s">
        <v>6052</v>
      </c>
      <c r="G836">
        <v>9427448802</v>
      </c>
      <c r="H836" t="s">
        <v>4381</v>
      </c>
      <c r="I836" t="s">
        <v>4382</v>
      </c>
      <c r="J836" t="s">
        <v>4446</v>
      </c>
      <c r="K836">
        <v>2.9</v>
      </c>
      <c r="L836">
        <v>12</v>
      </c>
      <c r="M836">
        <v>17.3</v>
      </c>
      <c r="N836" t="s">
        <v>4368</v>
      </c>
      <c r="O836" t="s">
        <v>4391</v>
      </c>
      <c r="P836" s="1">
        <v>45682</v>
      </c>
      <c r="Q836" t="str">
        <f t="shared" si="52"/>
        <v>10+ Years</v>
      </c>
      <c r="R836" t="str">
        <f>IF(Table7[[#This Row],[Age]]&lt;=25,"20-25",IF(Table7[[#This Row],[Age]]&lt;=30,"26-30",IF(Table7[[#This Row],[Age]]&lt;=35,"31-35","36+")))</f>
        <v>20-25</v>
      </c>
      <c r="S836" t="str">
        <f t="shared" si="53"/>
        <v>January</v>
      </c>
      <c r="T836" s="2" t="str">
        <f t="shared" si="54"/>
        <v>Q1</v>
      </c>
      <c r="U836" s="2">
        <f t="shared" si="55"/>
        <v>2025</v>
      </c>
    </row>
    <row r="837" spans="1:21" x14ac:dyDescent="0.3">
      <c r="A837" t="s">
        <v>3106</v>
      </c>
      <c r="B837" t="s">
        <v>4967</v>
      </c>
      <c r="C837" t="s">
        <v>6053</v>
      </c>
      <c r="D837" t="s">
        <v>4372</v>
      </c>
      <c r="E837">
        <v>23</v>
      </c>
      <c r="F837" t="s">
        <v>6054</v>
      </c>
      <c r="G837">
        <v>9369131122</v>
      </c>
      <c r="H837" t="s">
        <v>4395</v>
      </c>
      <c r="I837" t="s">
        <v>4396</v>
      </c>
      <c r="J837" t="s">
        <v>4618</v>
      </c>
      <c r="K837">
        <v>16.7</v>
      </c>
      <c r="L837">
        <v>24.2</v>
      </c>
      <c r="M837">
        <v>31.3</v>
      </c>
      <c r="N837" t="s">
        <v>4390</v>
      </c>
      <c r="O837" t="s">
        <v>4391</v>
      </c>
      <c r="P837" s="1">
        <v>45797</v>
      </c>
      <c r="Q837" t="str">
        <f t="shared" si="52"/>
        <v>10+ Years</v>
      </c>
      <c r="R837" t="str">
        <f>IF(Table7[[#This Row],[Age]]&lt;=25,"20-25",IF(Table7[[#This Row],[Age]]&lt;=30,"26-30",IF(Table7[[#This Row],[Age]]&lt;=35,"31-35","36+")))</f>
        <v>20-25</v>
      </c>
      <c r="S837" t="str">
        <f t="shared" si="53"/>
        <v>May</v>
      </c>
      <c r="T837" s="2" t="str">
        <f t="shared" si="54"/>
        <v>Q2</v>
      </c>
      <c r="U837" s="2">
        <f t="shared" si="55"/>
        <v>2025</v>
      </c>
    </row>
    <row r="838" spans="1:21" x14ac:dyDescent="0.3">
      <c r="A838" t="s">
        <v>3224</v>
      </c>
      <c r="B838" t="s">
        <v>4566</v>
      </c>
      <c r="C838" t="s">
        <v>4996</v>
      </c>
      <c r="D838" t="s">
        <v>4363</v>
      </c>
      <c r="E838">
        <v>25</v>
      </c>
      <c r="F838" t="s">
        <v>6055</v>
      </c>
      <c r="G838">
        <v>9486086544</v>
      </c>
      <c r="H838" t="s">
        <v>4404</v>
      </c>
      <c r="I838" t="s">
        <v>4405</v>
      </c>
      <c r="J838" t="s">
        <v>4446</v>
      </c>
      <c r="K838">
        <v>1.8</v>
      </c>
      <c r="L838">
        <v>12.5</v>
      </c>
      <c r="M838">
        <v>16.100000000000001</v>
      </c>
      <c r="N838" t="s">
        <v>4390</v>
      </c>
      <c r="O838" t="s">
        <v>4369</v>
      </c>
      <c r="P838" s="1">
        <v>45987</v>
      </c>
      <c r="Q838" t="str">
        <f t="shared" si="52"/>
        <v>10+ Years</v>
      </c>
      <c r="R838" t="str">
        <f>IF(Table7[[#This Row],[Age]]&lt;=25,"20-25",IF(Table7[[#This Row],[Age]]&lt;=30,"26-30",IF(Table7[[#This Row],[Age]]&lt;=35,"31-35","36+")))</f>
        <v>20-25</v>
      </c>
      <c r="S838" t="str">
        <f t="shared" si="53"/>
        <v>November</v>
      </c>
      <c r="T838" s="2" t="str">
        <f t="shared" si="54"/>
        <v>Q4</v>
      </c>
      <c r="U838" s="2">
        <f t="shared" si="55"/>
        <v>2025</v>
      </c>
    </row>
    <row r="839" spans="1:21" x14ac:dyDescent="0.3">
      <c r="A839" t="s">
        <v>2960</v>
      </c>
      <c r="B839" t="s">
        <v>5937</v>
      </c>
      <c r="C839" t="s">
        <v>5290</v>
      </c>
      <c r="D839" t="s">
        <v>4372</v>
      </c>
      <c r="E839">
        <v>30</v>
      </c>
      <c r="F839" t="s">
        <v>6056</v>
      </c>
      <c r="G839">
        <v>9926634979</v>
      </c>
      <c r="H839" t="s">
        <v>4374</v>
      </c>
      <c r="I839" t="s">
        <v>4375</v>
      </c>
      <c r="J839" t="s">
        <v>4432</v>
      </c>
      <c r="K839">
        <v>9</v>
      </c>
      <c r="L839">
        <v>16.399999999999999</v>
      </c>
      <c r="M839">
        <v>22</v>
      </c>
      <c r="N839" t="s">
        <v>4390</v>
      </c>
      <c r="O839" t="s">
        <v>4369</v>
      </c>
      <c r="P839" s="1">
        <v>45791</v>
      </c>
      <c r="Q839" t="str">
        <f t="shared" si="52"/>
        <v>10+ Years</v>
      </c>
      <c r="R839" t="str">
        <f>IF(Table7[[#This Row],[Age]]&lt;=25,"20-25",IF(Table7[[#This Row],[Age]]&lt;=30,"26-30",IF(Table7[[#This Row],[Age]]&lt;=35,"31-35","36+")))</f>
        <v>26-30</v>
      </c>
      <c r="S839" t="str">
        <f t="shared" si="53"/>
        <v>May</v>
      </c>
      <c r="T839" s="2" t="str">
        <f t="shared" si="54"/>
        <v>Q2</v>
      </c>
      <c r="U839" s="2">
        <f t="shared" si="55"/>
        <v>2025</v>
      </c>
    </row>
    <row r="840" spans="1:21" x14ac:dyDescent="0.3">
      <c r="A840" t="s">
        <v>2001</v>
      </c>
      <c r="B840" t="s">
        <v>5740</v>
      </c>
      <c r="C840" t="s">
        <v>4561</v>
      </c>
      <c r="D840" t="s">
        <v>4372</v>
      </c>
      <c r="E840">
        <v>22</v>
      </c>
      <c r="F840" t="s">
        <v>6057</v>
      </c>
      <c r="G840">
        <v>9983537296</v>
      </c>
      <c r="H840" t="s">
        <v>4454</v>
      </c>
      <c r="I840" t="s">
        <v>4455</v>
      </c>
      <c r="J840" t="s">
        <v>4376</v>
      </c>
      <c r="K840">
        <v>8.3000000000000007</v>
      </c>
      <c r="L840">
        <v>15.4</v>
      </c>
      <c r="M840">
        <v>18.899999999999999</v>
      </c>
      <c r="N840" t="s">
        <v>4368</v>
      </c>
      <c r="O840" t="s">
        <v>4391</v>
      </c>
      <c r="P840" s="1">
        <v>45801</v>
      </c>
      <c r="Q840" t="str">
        <f t="shared" si="52"/>
        <v>10+ Years</v>
      </c>
      <c r="R840" t="str">
        <f>IF(Table7[[#This Row],[Age]]&lt;=25,"20-25",IF(Table7[[#This Row],[Age]]&lt;=30,"26-30",IF(Table7[[#This Row],[Age]]&lt;=35,"31-35","36+")))</f>
        <v>20-25</v>
      </c>
      <c r="S840" t="str">
        <f t="shared" si="53"/>
        <v>May</v>
      </c>
      <c r="T840" s="2" t="str">
        <f t="shared" si="54"/>
        <v>Q2</v>
      </c>
      <c r="U840" s="2">
        <f t="shared" si="55"/>
        <v>2025</v>
      </c>
    </row>
    <row r="841" spans="1:21" x14ac:dyDescent="0.3">
      <c r="A841" t="s">
        <v>2756</v>
      </c>
      <c r="B841" t="s">
        <v>4679</v>
      </c>
      <c r="C841" t="s">
        <v>4580</v>
      </c>
      <c r="D841" t="s">
        <v>4363</v>
      </c>
      <c r="E841">
        <v>26</v>
      </c>
      <c r="F841" t="s">
        <v>6058</v>
      </c>
      <c r="G841">
        <v>9948995695</v>
      </c>
      <c r="H841" t="s">
        <v>4404</v>
      </c>
      <c r="I841" t="s">
        <v>4405</v>
      </c>
      <c r="J841" t="s">
        <v>4389</v>
      </c>
      <c r="K841">
        <v>0.5</v>
      </c>
      <c r="L841">
        <v>2.7</v>
      </c>
      <c r="M841">
        <v>3.6</v>
      </c>
      <c r="N841" t="s">
        <v>4377</v>
      </c>
      <c r="O841" t="s">
        <v>4456</v>
      </c>
      <c r="P841" s="1">
        <v>45716</v>
      </c>
      <c r="Q841" t="str">
        <f t="shared" si="52"/>
        <v>10+ Years</v>
      </c>
      <c r="R841" t="str">
        <f>IF(Table7[[#This Row],[Age]]&lt;=25,"20-25",IF(Table7[[#This Row],[Age]]&lt;=30,"26-30",IF(Table7[[#This Row],[Age]]&lt;=35,"31-35","36+")))</f>
        <v>26-30</v>
      </c>
      <c r="S841" t="str">
        <f t="shared" si="53"/>
        <v>February</v>
      </c>
      <c r="T841" s="2" t="str">
        <f t="shared" si="54"/>
        <v>Q1</v>
      </c>
      <c r="U841" s="2">
        <f t="shared" si="55"/>
        <v>2025</v>
      </c>
    </row>
    <row r="842" spans="1:21" x14ac:dyDescent="0.3">
      <c r="A842" t="s">
        <v>628</v>
      </c>
      <c r="B842" t="s">
        <v>4565</v>
      </c>
      <c r="C842" t="s">
        <v>4571</v>
      </c>
      <c r="D842" t="s">
        <v>4363</v>
      </c>
      <c r="E842">
        <v>35</v>
      </c>
      <c r="F842" t="s">
        <v>6059</v>
      </c>
      <c r="G842">
        <v>9276420535</v>
      </c>
      <c r="H842" t="s">
        <v>4521</v>
      </c>
      <c r="I842" t="s">
        <v>4522</v>
      </c>
      <c r="J842" t="s">
        <v>4432</v>
      </c>
      <c r="K842">
        <v>0.6</v>
      </c>
      <c r="L842">
        <v>2.5</v>
      </c>
      <c r="M842">
        <v>3.2</v>
      </c>
      <c r="N842" t="s">
        <v>4377</v>
      </c>
      <c r="O842" t="s">
        <v>4383</v>
      </c>
      <c r="P842" s="1">
        <v>45878</v>
      </c>
      <c r="Q842" t="str">
        <f t="shared" si="52"/>
        <v>10+ Years</v>
      </c>
      <c r="R842" t="str">
        <f>IF(Table7[[#This Row],[Age]]&lt;=25,"20-25",IF(Table7[[#This Row],[Age]]&lt;=30,"26-30",IF(Table7[[#This Row],[Age]]&lt;=35,"31-35","36+")))</f>
        <v>31-35</v>
      </c>
      <c r="S842" t="str">
        <f t="shared" si="53"/>
        <v>August</v>
      </c>
      <c r="T842" s="2" t="str">
        <f t="shared" si="54"/>
        <v>Q3</v>
      </c>
      <c r="U842" s="2">
        <f t="shared" si="55"/>
        <v>2025</v>
      </c>
    </row>
    <row r="843" spans="1:21" x14ac:dyDescent="0.3">
      <c r="A843" t="s">
        <v>2331</v>
      </c>
      <c r="B843" t="s">
        <v>5632</v>
      </c>
      <c r="C843" t="s">
        <v>5084</v>
      </c>
      <c r="D843" t="s">
        <v>4372</v>
      </c>
      <c r="E843">
        <v>38</v>
      </c>
      <c r="F843" t="s">
        <v>6060</v>
      </c>
      <c r="G843">
        <v>9684418783</v>
      </c>
      <c r="H843" t="s">
        <v>4473</v>
      </c>
      <c r="I843" t="s">
        <v>4473</v>
      </c>
      <c r="J843" t="s">
        <v>4446</v>
      </c>
      <c r="K843">
        <v>1.4</v>
      </c>
      <c r="L843">
        <v>10</v>
      </c>
      <c r="M843">
        <v>12.7</v>
      </c>
      <c r="N843" t="s">
        <v>4377</v>
      </c>
      <c r="O843" t="s">
        <v>4391</v>
      </c>
      <c r="P843" s="1">
        <v>45718</v>
      </c>
      <c r="Q843" t="str">
        <f t="shared" si="52"/>
        <v>10+ Years</v>
      </c>
      <c r="R843" t="str">
        <f>IF(Table7[[#This Row],[Age]]&lt;=25,"20-25",IF(Table7[[#This Row],[Age]]&lt;=30,"26-30",IF(Table7[[#This Row],[Age]]&lt;=35,"31-35","36+")))</f>
        <v>36+</v>
      </c>
      <c r="S843" t="str">
        <f t="shared" si="53"/>
        <v>March</v>
      </c>
      <c r="T843" s="2" t="str">
        <f t="shared" si="54"/>
        <v>Q1</v>
      </c>
      <c r="U843" s="2">
        <f t="shared" si="55"/>
        <v>2025</v>
      </c>
    </row>
    <row r="844" spans="1:21" x14ac:dyDescent="0.3">
      <c r="A844" t="s">
        <v>1133</v>
      </c>
      <c r="B844" t="s">
        <v>5386</v>
      </c>
      <c r="C844" t="s">
        <v>6028</v>
      </c>
      <c r="D844" t="s">
        <v>4372</v>
      </c>
      <c r="E844">
        <v>30</v>
      </c>
      <c r="F844" t="s">
        <v>6061</v>
      </c>
      <c r="G844">
        <v>9940060734</v>
      </c>
      <c r="H844" t="s">
        <v>4387</v>
      </c>
      <c r="I844" t="s">
        <v>4388</v>
      </c>
      <c r="J844" t="s">
        <v>4376</v>
      </c>
      <c r="K844">
        <v>7.5</v>
      </c>
      <c r="L844">
        <v>16</v>
      </c>
      <c r="M844">
        <v>21.7</v>
      </c>
      <c r="O844" t="s">
        <v>4419</v>
      </c>
      <c r="P844" s="1">
        <v>45967</v>
      </c>
      <c r="Q844" t="str">
        <f t="shared" si="52"/>
        <v>10+ Years</v>
      </c>
      <c r="R844" t="str">
        <f>IF(Table7[[#This Row],[Age]]&lt;=25,"20-25",IF(Table7[[#This Row],[Age]]&lt;=30,"26-30",IF(Table7[[#This Row],[Age]]&lt;=35,"31-35","36+")))</f>
        <v>26-30</v>
      </c>
      <c r="S844" t="str">
        <f t="shared" si="53"/>
        <v>November</v>
      </c>
      <c r="T844" s="2" t="str">
        <f t="shared" si="54"/>
        <v>Q4</v>
      </c>
      <c r="U844" s="2">
        <f t="shared" si="55"/>
        <v>2025</v>
      </c>
    </row>
    <row r="845" spans="1:21" x14ac:dyDescent="0.3">
      <c r="A845" t="s">
        <v>303</v>
      </c>
      <c r="B845" t="s">
        <v>4787</v>
      </c>
      <c r="C845" t="s">
        <v>4538</v>
      </c>
      <c r="D845" t="s">
        <v>4363</v>
      </c>
      <c r="E845">
        <v>21</v>
      </c>
      <c r="F845" t="s">
        <v>6062</v>
      </c>
      <c r="G845">
        <v>9447841452</v>
      </c>
      <c r="H845" t="s">
        <v>4454</v>
      </c>
      <c r="I845" t="s">
        <v>4455</v>
      </c>
      <c r="J845" t="s">
        <v>4432</v>
      </c>
      <c r="K845">
        <v>0.9</v>
      </c>
      <c r="L845">
        <v>8</v>
      </c>
      <c r="M845">
        <v>10.6</v>
      </c>
      <c r="N845" t="s">
        <v>4368</v>
      </c>
      <c r="O845" t="s">
        <v>4400</v>
      </c>
      <c r="P845" s="1">
        <v>45701</v>
      </c>
      <c r="Q845" t="str">
        <f t="shared" si="52"/>
        <v>10+ Years</v>
      </c>
      <c r="R845" t="str">
        <f>IF(Table7[[#This Row],[Age]]&lt;=25,"20-25",IF(Table7[[#This Row],[Age]]&lt;=30,"26-30",IF(Table7[[#This Row],[Age]]&lt;=35,"31-35","36+")))</f>
        <v>20-25</v>
      </c>
      <c r="S845" t="str">
        <f t="shared" si="53"/>
        <v>February</v>
      </c>
      <c r="T845" s="2" t="str">
        <f t="shared" si="54"/>
        <v>Q1</v>
      </c>
      <c r="U845" s="2">
        <f t="shared" si="55"/>
        <v>2025</v>
      </c>
    </row>
    <row r="846" spans="1:21" x14ac:dyDescent="0.3">
      <c r="A846" t="s">
        <v>2456</v>
      </c>
      <c r="B846" t="s">
        <v>4370</v>
      </c>
      <c r="C846" t="s">
        <v>4662</v>
      </c>
      <c r="D846" t="s">
        <v>4363</v>
      </c>
      <c r="E846">
        <v>27</v>
      </c>
      <c r="F846" t="s">
        <v>6063</v>
      </c>
      <c r="G846">
        <v>9716751846</v>
      </c>
      <c r="H846" t="s">
        <v>4395</v>
      </c>
      <c r="I846" t="s">
        <v>4396</v>
      </c>
      <c r="J846" t="s">
        <v>4376</v>
      </c>
      <c r="K846">
        <v>0.3</v>
      </c>
      <c r="L846">
        <v>11.7</v>
      </c>
      <c r="M846">
        <v>14.4</v>
      </c>
      <c r="N846" t="s">
        <v>4368</v>
      </c>
      <c r="O846" t="s">
        <v>4383</v>
      </c>
      <c r="P846" s="1">
        <v>45980</v>
      </c>
      <c r="Q846" t="str">
        <f t="shared" si="52"/>
        <v>10+ Years</v>
      </c>
      <c r="R846" t="str">
        <f>IF(Table7[[#This Row],[Age]]&lt;=25,"20-25",IF(Table7[[#This Row],[Age]]&lt;=30,"26-30",IF(Table7[[#This Row],[Age]]&lt;=35,"31-35","36+")))</f>
        <v>26-30</v>
      </c>
      <c r="S846" t="str">
        <f t="shared" si="53"/>
        <v>November</v>
      </c>
      <c r="T846" s="2" t="str">
        <f t="shared" si="54"/>
        <v>Q4</v>
      </c>
      <c r="U846" s="2">
        <f t="shared" si="55"/>
        <v>2025</v>
      </c>
    </row>
    <row r="847" spans="1:21" x14ac:dyDescent="0.3">
      <c r="A847" t="s">
        <v>3504</v>
      </c>
      <c r="B847" t="s">
        <v>6064</v>
      </c>
      <c r="C847" t="s">
        <v>5290</v>
      </c>
      <c r="D847" t="s">
        <v>4363</v>
      </c>
      <c r="E847">
        <v>30</v>
      </c>
      <c r="F847" t="s">
        <v>6065</v>
      </c>
      <c r="G847">
        <v>9648304435</v>
      </c>
      <c r="H847" t="s">
        <v>4454</v>
      </c>
      <c r="I847" t="s">
        <v>4455</v>
      </c>
      <c r="J847" t="s">
        <v>4367</v>
      </c>
      <c r="K847">
        <v>4</v>
      </c>
      <c r="L847">
        <v>9.5</v>
      </c>
      <c r="M847">
        <v>13.4</v>
      </c>
      <c r="N847" t="s">
        <v>4406</v>
      </c>
      <c r="O847" t="s">
        <v>4369</v>
      </c>
      <c r="P847" s="1">
        <v>45781</v>
      </c>
      <c r="Q847" t="str">
        <f t="shared" si="52"/>
        <v>10+ Years</v>
      </c>
      <c r="R847" t="str">
        <f>IF(Table7[[#This Row],[Age]]&lt;=25,"20-25",IF(Table7[[#This Row],[Age]]&lt;=30,"26-30",IF(Table7[[#This Row],[Age]]&lt;=35,"31-35","36+")))</f>
        <v>26-30</v>
      </c>
      <c r="S847" t="str">
        <f t="shared" si="53"/>
        <v>May</v>
      </c>
      <c r="T847" s="2" t="str">
        <f t="shared" si="54"/>
        <v>Q2</v>
      </c>
      <c r="U847" s="2">
        <f t="shared" si="55"/>
        <v>2025</v>
      </c>
    </row>
    <row r="848" spans="1:21" x14ac:dyDescent="0.3">
      <c r="A848" t="s">
        <v>2151</v>
      </c>
      <c r="B848" t="s">
        <v>4731</v>
      </c>
      <c r="C848" t="s">
        <v>5282</v>
      </c>
      <c r="D848" t="s">
        <v>4372</v>
      </c>
      <c r="E848">
        <v>26</v>
      </c>
      <c r="F848" t="s">
        <v>6066</v>
      </c>
      <c r="G848">
        <v>9611484505</v>
      </c>
      <c r="H848" t="s">
        <v>4395</v>
      </c>
      <c r="I848" t="s">
        <v>4396</v>
      </c>
      <c r="J848" t="s">
        <v>4376</v>
      </c>
      <c r="K848">
        <v>2.2999999999999998</v>
      </c>
      <c r="L848">
        <v>7.9</v>
      </c>
      <c r="M848">
        <v>10.7</v>
      </c>
      <c r="N848" t="s">
        <v>4377</v>
      </c>
      <c r="O848" t="s">
        <v>4391</v>
      </c>
      <c r="P848" s="1">
        <v>45679</v>
      </c>
      <c r="Q848" t="str">
        <f t="shared" si="52"/>
        <v>10+ Years</v>
      </c>
      <c r="R848" t="str">
        <f>IF(Table7[[#This Row],[Age]]&lt;=25,"20-25",IF(Table7[[#This Row],[Age]]&lt;=30,"26-30",IF(Table7[[#This Row],[Age]]&lt;=35,"31-35","36+")))</f>
        <v>26-30</v>
      </c>
      <c r="S848" t="str">
        <f t="shared" si="53"/>
        <v>January</v>
      </c>
      <c r="T848" s="2" t="str">
        <f t="shared" si="54"/>
        <v>Q1</v>
      </c>
      <c r="U848" s="2">
        <f t="shared" si="55"/>
        <v>2025</v>
      </c>
    </row>
    <row r="849" spans="1:21" x14ac:dyDescent="0.3">
      <c r="A849" t="s">
        <v>1341</v>
      </c>
      <c r="B849" t="s">
        <v>5672</v>
      </c>
      <c r="C849" t="s">
        <v>5255</v>
      </c>
      <c r="D849" t="s">
        <v>4372</v>
      </c>
      <c r="E849">
        <v>32</v>
      </c>
      <c r="F849" t="s">
        <v>6067</v>
      </c>
      <c r="G849">
        <v>9119824232</v>
      </c>
      <c r="H849" t="s">
        <v>4395</v>
      </c>
      <c r="I849" t="s">
        <v>4396</v>
      </c>
      <c r="J849" t="s">
        <v>4432</v>
      </c>
      <c r="K849">
        <v>1.2</v>
      </c>
      <c r="L849">
        <v>5.8</v>
      </c>
      <c r="M849">
        <v>6.8</v>
      </c>
      <c r="N849" t="s">
        <v>4390</v>
      </c>
      <c r="O849" t="s">
        <v>4400</v>
      </c>
      <c r="P849" s="1">
        <v>45723</v>
      </c>
      <c r="Q849" t="str">
        <f t="shared" si="52"/>
        <v>10+ Years</v>
      </c>
      <c r="R849" t="str">
        <f>IF(Table7[[#This Row],[Age]]&lt;=25,"20-25",IF(Table7[[#This Row],[Age]]&lt;=30,"26-30",IF(Table7[[#This Row],[Age]]&lt;=35,"31-35","36+")))</f>
        <v>31-35</v>
      </c>
      <c r="S849" t="str">
        <f t="shared" si="53"/>
        <v>March</v>
      </c>
      <c r="T849" s="2" t="str">
        <f t="shared" si="54"/>
        <v>Q1</v>
      </c>
      <c r="U849" s="2">
        <f t="shared" si="55"/>
        <v>2025</v>
      </c>
    </row>
    <row r="850" spans="1:21" x14ac:dyDescent="0.3">
      <c r="A850" t="s">
        <v>1535</v>
      </c>
      <c r="B850" t="s">
        <v>6068</v>
      </c>
      <c r="C850" t="s">
        <v>6030</v>
      </c>
      <c r="D850" t="s">
        <v>4372</v>
      </c>
      <c r="E850">
        <v>37</v>
      </c>
      <c r="F850" t="s">
        <v>6069</v>
      </c>
      <c r="G850">
        <v>9216456038</v>
      </c>
      <c r="H850" t="s">
        <v>4374</v>
      </c>
      <c r="I850" t="s">
        <v>4375</v>
      </c>
      <c r="J850" t="s">
        <v>4389</v>
      </c>
      <c r="K850">
        <v>0.8</v>
      </c>
      <c r="L850">
        <v>4.0999999999999996</v>
      </c>
      <c r="M850">
        <v>5.7</v>
      </c>
      <c r="N850" t="s">
        <v>4390</v>
      </c>
      <c r="O850" t="s">
        <v>4369</v>
      </c>
      <c r="P850" s="1">
        <v>45995</v>
      </c>
      <c r="Q850" t="str">
        <f t="shared" si="52"/>
        <v>10+ Years</v>
      </c>
      <c r="R850" t="str">
        <f>IF(Table7[[#This Row],[Age]]&lt;=25,"20-25",IF(Table7[[#This Row],[Age]]&lt;=30,"26-30",IF(Table7[[#This Row],[Age]]&lt;=35,"31-35","36+")))</f>
        <v>36+</v>
      </c>
      <c r="S850" t="str">
        <f t="shared" si="53"/>
        <v>December</v>
      </c>
      <c r="T850" s="2" t="str">
        <f t="shared" si="54"/>
        <v>Q4</v>
      </c>
      <c r="U850" s="2">
        <f t="shared" si="55"/>
        <v>2025</v>
      </c>
    </row>
    <row r="851" spans="1:21" x14ac:dyDescent="0.3">
      <c r="A851" t="s">
        <v>309</v>
      </c>
      <c r="B851" t="s">
        <v>4565</v>
      </c>
      <c r="C851" t="s">
        <v>5125</v>
      </c>
      <c r="D851" t="s">
        <v>4372</v>
      </c>
      <c r="E851">
        <v>34</v>
      </c>
      <c r="F851" t="s">
        <v>6070</v>
      </c>
      <c r="G851">
        <v>9243660477</v>
      </c>
      <c r="H851" t="s">
        <v>4491</v>
      </c>
      <c r="I851" t="s">
        <v>4491</v>
      </c>
      <c r="J851" t="s">
        <v>4367</v>
      </c>
      <c r="K851">
        <v>4.0999999999999996</v>
      </c>
      <c r="L851">
        <v>14.7</v>
      </c>
      <c r="M851">
        <v>18.399999999999999</v>
      </c>
      <c r="N851" t="s">
        <v>4406</v>
      </c>
      <c r="O851" t="s">
        <v>4391</v>
      </c>
      <c r="P851" s="1">
        <v>45940</v>
      </c>
      <c r="Q851" t="str">
        <f t="shared" si="52"/>
        <v>10+ Years</v>
      </c>
      <c r="R851" t="str">
        <f>IF(Table7[[#This Row],[Age]]&lt;=25,"20-25",IF(Table7[[#This Row],[Age]]&lt;=30,"26-30",IF(Table7[[#This Row],[Age]]&lt;=35,"31-35","36+")))</f>
        <v>31-35</v>
      </c>
      <c r="S851" t="str">
        <f t="shared" si="53"/>
        <v>October</v>
      </c>
      <c r="T851" s="2" t="str">
        <f t="shared" si="54"/>
        <v>Q4</v>
      </c>
      <c r="U851" s="2">
        <f t="shared" si="55"/>
        <v>2025</v>
      </c>
    </row>
    <row r="852" spans="1:21" x14ac:dyDescent="0.3">
      <c r="A852" t="s">
        <v>173</v>
      </c>
      <c r="B852" t="s">
        <v>4534</v>
      </c>
      <c r="C852" t="s">
        <v>5584</v>
      </c>
      <c r="D852" t="s">
        <v>4372</v>
      </c>
      <c r="E852">
        <v>32</v>
      </c>
      <c r="F852" t="s">
        <v>6071</v>
      </c>
      <c r="G852">
        <v>9533522203</v>
      </c>
      <c r="H852" t="s">
        <v>4476</v>
      </c>
      <c r="I852" t="s">
        <v>4477</v>
      </c>
      <c r="J852" t="s">
        <v>4446</v>
      </c>
      <c r="K852">
        <v>1.8</v>
      </c>
      <c r="L852">
        <v>9.9</v>
      </c>
      <c r="M852">
        <v>11.4</v>
      </c>
      <c r="O852" t="s">
        <v>4485</v>
      </c>
      <c r="P852" s="1">
        <v>45706</v>
      </c>
      <c r="Q852" t="str">
        <f t="shared" si="52"/>
        <v>10+ Years</v>
      </c>
      <c r="R852" t="str">
        <f>IF(Table7[[#This Row],[Age]]&lt;=25,"20-25",IF(Table7[[#This Row],[Age]]&lt;=30,"26-30",IF(Table7[[#This Row],[Age]]&lt;=35,"31-35","36+")))</f>
        <v>31-35</v>
      </c>
      <c r="S852" t="str">
        <f t="shared" si="53"/>
        <v>February</v>
      </c>
      <c r="T852" s="2" t="str">
        <f t="shared" si="54"/>
        <v>Q1</v>
      </c>
      <c r="U852" s="2">
        <f t="shared" si="55"/>
        <v>2025</v>
      </c>
    </row>
    <row r="853" spans="1:21" x14ac:dyDescent="0.3">
      <c r="A853" t="s">
        <v>6072</v>
      </c>
      <c r="B853" t="s">
        <v>5230</v>
      </c>
      <c r="C853" t="s">
        <v>4434</v>
      </c>
      <c r="D853" t="s">
        <v>4363</v>
      </c>
      <c r="E853">
        <v>29</v>
      </c>
      <c r="F853" t="s">
        <v>6073</v>
      </c>
      <c r="G853">
        <v>9694919521</v>
      </c>
      <c r="H853" t="s">
        <v>4473</v>
      </c>
      <c r="I853" t="s">
        <v>4473</v>
      </c>
      <c r="J853" t="s">
        <v>4376</v>
      </c>
      <c r="K853">
        <v>0.4</v>
      </c>
      <c r="L853">
        <v>9.4</v>
      </c>
      <c r="M853">
        <v>13.2</v>
      </c>
      <c r="N853" t="s">
        <v>4390</v>
      </c>
      <c r="O853" t="s">
        <v>4383</v>
      </c>
      <c r="P853" s="1">
        <v>45735</v>
      </c>
      <c r="Q853" t="str">
        <f t="shared" si="52"/>
        <v>10+ Years</v>
      </c>
      <c r="R853" t="str">
        <f>IF(Table7[[#This Row],[Age]]&lt;=25,"20-25",IF(Table7[[#This Row],[Age]]&lt;=30,"26-30",IF(Table7[[#This Row],[Age]]&lt;=35,"31-35","36+")))</f>
        <v>26-30</v>
      </c>
      <c r="S853" t="str">
        <f t="shared" si="53"/>
        <v>March</v>
      </c>
      <c r="T853" s="2" t="str">
        <f t="shared" si="54"/>
        <v>Q1</v>
      </c>
      <c r="U853" s="2">
        <f t="shared" si="55"/>
        <v>2025</v>
      </c>
    </row>
    <row r="854" spans="1:21" x14ac:dyDescent="0.3">
      <c r="A854" t="s">
        <v>4000</v>
      </c>
      <c r="B854" t="s">
        <v>4429</v>
      </c>
      <c r="C854" t="s">
        <v>5084</v>
      </c>
      <c r="D854" t="s">
        <v>4363</v>
      </c>
      <c r="E854">
        <v>24</v>
      </c>
      <c r="F854" t="s">
        <v>6074</v>
      </c>
      <c r="G854">
        <v>9537539269</v>
      </c>
      <c r="H854" t="s">
        <v>4410</v>
      </c>
      <c r="I854" t="s">
        <v>4411</v>
      </c>
      <c r="J854" t="s">
        <v>4376</v>
      </c>
      <c r="K854">
        <v>5.5</v>
      </c>
      <c r="L854">
        <v>9.6999999999999993</v>
      </c>
      <c r="M854">
        <v>11.2</v>
      </c>
      <c r="O854" t="s">
        <v>4400</v>
      </c>
      <c r="P854" s="1">
        <v>45791</v>
      </c>
      <c r="Q854" t="str">
        <f t="shared" si="52"/>
        <v>10+ Years</v>
      </c>
      <c r="R854" t="str">
        <f>IF(Table7[[#This Row],[Age]]&lt;=25,"20-25",IF(Table7[[#This Row],[Age]]&lt;=30,"26-30",IF(Table7[[#This Row],[Age]]&lt;=35,"31-35","36+")))</f>
        <v>20-25</v>
      </c>
      <c r="S854" t="str">
        <f t="shared" si="53"/>
        <v>May</v>
      </c>
      <c r="T854" s="2" t="str">
        <f t="shared" si="54"/>
        <v>Q2</v>
      </c>
      <c r="U854" s="2">
        <f t="shared" si="55"/>
        <v>2025</v>
      </c>
    </row>
    <row r="855" spans="1:21" x14ac:dyDescent="0.3">
      <c r="A855" t="s">
        <v>3776</v>
      </c>
      <c r="B855" t="s">
        <v>6075</v>
      </c>
      <c r="C855" t="s">
        <v>6076</v>
      </c>
      <c r="D855" t="s">
        <v>4372</v>
      </c>
      <c r="E855">
        <v>28</v>
      </c>
      <c r="F855" t="s">
        <v>6077</v>
      </c>
      <c r="G855">
        <v>9903449594</v>
      </c>
      <c r="H855" t="s">
        <v>4473</v>
      </c>
      <c r="I855" t="s">
        <v>4473</v>
      </c>
      <c r="J855" t="s">
        <v>4432</v>
      </c>
      <c r="K855">
        <v>3.5</v>
      </c>
      <c r="L855">
        <v>7.2</v>
      </c>
      <c r="M855">
        <v>8.4</v>
      </c>
      <c r="N855" t="s">
        <v>4368</v>
      </c>
      <c r="O855" t="s">
        <v>4456</v>
      </c>
      <c r="P855" s="1">
        <v>45891</v>
      </c>
      <c r="Q855" t="str">
        <f t="shared" si="52"/>
        <v>10+ Years</v>
      </c>
      <c r="R855" t="str">
        <f>IF(Table7[[#This Row],[Age]]&lt;=25,"20-25",IF(Table7[[#This Row],[Age]]&lt;=30,"26-30",IF(Table7[[#This Row],[Age]]&lt;=35,"31-35","36+")))</f>
        <v>26-30</v>
      </c>
      <c r="S855" t="str">
        <f t="shared" si="53"/>
        <v>August</v>
      </c>
      <c r="T855" s="2" t="str">
        <f t="shared" si="54"/>
        <v>Q3</v>
      </c>
      <c r="U855" s="2">
        <f t="shared" si="55"/>
        <v>2025</v>
      </c>
    </row>
    <row r="856" spans="1:21" x14ac:dyDescent="0.3">
      <c r="A856" t="s">
        <v>1408</v>
      </c>
      <c r="B856" t="s">
        <v>4460</v>
      </c>
      <c r="C856" t="s">
        <v>5340</v>
      </c>
      <c r="D856" t="s">
        <v>4372</v>
      </c>
      <c r="E856">
        <v>26</v>
      </c>
      <c r="F856" t="s">
        <v>6078</v>
      </c>
      <c r="G856">
        <v>9464774642</v>
      </c>
      <c r="H856" t="s">
        <v>4454</v>
      </c>
      <c r="I856" t="s">
        <v>4455</v>
      </c>
      <c r="J856" t="s">
        <v>4482</v>
      </c>
      <c r="K856">
        <v>0.3</v>
      </c>
      <c r="L856">
        <v>9.5</v>
      </c>
      <c r="M856">
        <v>12.2</v>
      </c>
      <c r="N856" t="s">
        <v>4390</v>
      </c>
      <c r="O856" t="s">
        <v>4485</v>
      </c>
      <c r="P856" s="1">
        <v>45838</v>
      </c>
      <c r="Q856" t="str">
        <f t="shared" si="52"/>
        <v>10+ Years</v>
      </c>
      <c r="R856" t="str">
        <f>IF(Table7[[#This Row],[Age]]&lt;=25,"20-25",IF(Table7[[#This Row],[Age]]&lt;=30,"26-30",IF(Table7[[#This Row],[Age]]&lt;=35,"31-35","36+")))</f>
        <v>26-30</v>
      </c>
      <c r="S856" t="str">
        <f t="shared" si="53"/>
        <v>June</v>
      </c>
      <c r="T856" s="2" t="str">
        <f t="shared" si="54"/>
        <v>Q2</v>
      </c>
      <c r="U856" s="2">
        <f t="shared" si="55"/>
        <v>2025</v>
      </c>
    </row>
    <row r="857" spans="1:21" x14ac:dyDescent="0.3">
      <c r="A857" t="s">
        <v>6079</v>
      </c>
      <c r="B857" t="s">
        <v>5937</v>
      </c>
      <c r="C857" t="s">
        <v>4398</v>
      </c>
      <c r="D857" t="s">
        <v>4363</v>
      </c>
      <c r="E857">
        <v>25</v>
      </c>
      <c r="F857" t="s">
        <v>6080</v>
      </c>
      <c r="G857">
        <v>9533461646</v>
      </c>
      <c r="H857" t="s">
        <v>4395</v>
      </c>
      <c r="I857" t="s">
        <v>4396</v>
      </c>
      <c r="J857" t="s">
        <v>4446</v>
      </c>
      <c r="K857">
        <v>1.8</v>
      </c>
      <c r="L857">
        <v>16.100000000000001</v>
      </c>
      <c r="M857">
        <v>22.1</v>
      </c>
      <c r="N857" t="s">
        <v>4390</v>
      </c>
      <c r="O857" t="s">
        <v>4391</v>
      </c>
      <c r="P857" s="1">
        <v>45798</v>
      </c>
      <c r="Q857" t="str">
        <f t="shared" si="52"/>
        <v>10+ Years</v>
      </c>
      <c r="R857" t="str">
        <f>IF(Table7[[#This Row],[Age]]&lt;=25,"20-25",IF(Table7[[#This Row],[Age]]&lt;=30,"26-30",IF(Table7[[#This Row],[Age]]&lt;=35,"31-35","36+")))</f>
        <v>20-25</v>
      </c>
      <c r="S857" t="str">
        <f t="shared" si="53"/>
        <v>May</v>
      </c>
      <c r="T857" s="2" t="str">
        <f t="shared" si="54"/>
        <v>Q2</v>
      </c>
      <c r="U857" s="2">
        <f t="shared" si="55"/>
        <v>2025</v>
      </c>
    </row>
    <row r="858" spans="1:21" x14ac:dyDescent="0.3">
      <c r="A858" t="s">
        <v>253</v>
      </c>
      <c r="B858" t="s">
        <v>4565</v>
      </c>
      <c r="C858" t="s">
        <v>5142</v>
      </c>
      <c r="D858" t="s">
        <v>4372</v>
      </c>
      <c r="E858">
        <v>24</v>
      </c>
      <c r="F858" t="s">
        <v>6081</v>
      </c>
      <c r="G858">
        <v>9959964911</v>
      </c>
      <c r="H858" t="s">
        <v>4506</v>
      </c>
      <c r="I858" t="s">
        <v>4507</v>
      </c>
      <c r="J858" t="s">
        <v>4432</v>
      </c>
      <c r="K858">
        <v>1.7</v>
      </c>
      <c r="L858">
        <v>6.8</v>
      </c>
      <c r="M858">
        <v>7.8</v>
      </c>
      <c r="N858" t="s">
        <v>4368</v>
      </c>
      <c r="O858" t="s">
        <v>4419</v>
      </c>
      <c r="P858" s="1">
        <v>45678</v>
      </c>
      <c r="Q858" t="str">
        <f t="shared" si="52"/>
        <v>10+ Years</v>
      </c>
      <c r="R858" t="str">
        <f>IF(Table7[[#This Row],[Age]]&lt;=25,"20-25",IF(Table7[[#This Row],[Age]]&lt;=30,"26-30",IF(Table7[[#This Row],[Age]]&lt;=35,"31-35","36+")))</f>
        <v>20-25</v>
      </c>
      <c r="S858" t="str">
        <f t="shared" si="53"/>
        <v>January</v>
      </c>
      <c r="T858" s="2" t="str">
        <f t="shared" si="54"/>
        <v>Q1</v>
      </c>
      <c r="U858" s="2">
        <f t="shared" si="55"/>
        <v>2025</v>
      </c>
    </row>
    <row r="859" spans="1:21" x14ac:dyDescent="0.3">
      <c r="A859" t="s">
        <v>98</v>
      </c>
      <c r="B859" t="s">
        <v>4457</v>
      </c>
      <c r="C859" t="s">
        <v>6082</v>
      </c>
      <c r="D859" t="s">
        <v>4372</v>
      </c>
      <c r="E859">
        <v>21</v>
      </c>
      <c r="F859" t="s">
        <v>6083</v>
      </c>
      <c r="G859">
        <v>9403772344</v>
      </c>
      <c r="H859" t="s">
        <v>4374</v>
      </c>
      <c r="I859" t="s">
        <v>4375</v>
      </c>
      <c r="J859" t="s">
        <v>4450</v>
      </c>
      <c r="K859">
        <v>3.1</v>
      </c>
      <c r="L859">
        <v>6.1</v>
      </c>
      <c r="M859">
        <v>7.2</v>
      </c>
      <c r="N859" t="s">
        <v>4377</v>
      </c>
      <c r="O859" t="s">
        <v>4383</v>
      </c>
      <c r="P859" s="1">
        <v>45726</v>
      </c>
      <c r="Q859" t="str">
        <f t="shared" si="52"/>
        <v>10+ Years</v>
      </c>
      <c r="R859" t="str">
        <f>IF(Table7[[#This Row],[Age]]&lt;=25,"20-25",IF(Table7[[#This Row],[Age]]&lt;=30,"26-30",IF(Table7[[#This Row],[Age]]&lt;=35,"31-35","36+")))</f>
        <v>20-25</v>
      </c>
      <c r="S859" t="str">
        <f t="shared" si="53"/>
        <v>March</v>
      </c>
      <c r="T859" s="2" t="str">
        <f t="shared" si="54"/>
        <v>Q1</v>
      </c>
      <c r="U859" s="2">
        <f t="shared" si="55"/>
        <v>2025</v>
      </c>
    </row>
    <row r="860" spans="1:21" x14ac:dyDescent="0.3">
      <c r="A860" t="s">
        <v>2765</v>
      </c>
      <c r="B860" t="s">
        <v>5235</v>
      </c>
      <c r="C860" t="s">
        <v>4616</v>
      </c>
      <c r="D860" t="s">
        <v>4363</v>
      </c>
      <c r="E860">
        <v>26</v>
      </c>
      <c r="F860" t="s">
        <v>6084</v>
      </c>
      <c r="G860">
        <v>9830122206</v>
      </c>
      <c r="H860" t="s">
        <v>4395</v>
      </c>
      <c r="I860" t="s">
        <v>4396</v>
      </c>
      <c r="K860">
        <v>5.8</v>
      </c>
      <c r="L860">
        <v>8.6</v>
      </c>
      <c r="M860">
        <v>10.9</v>
      </c>
      <c r="N860" t="s">
        <v>4390</v>
      </c>
      <c r="O860" t="s">
        <v>4400</v>
      </c>
      <c r="P860" s="1">
        <v>45658</v>
      </c>
      <c r="Q860" t="str">
        <f t="shared" si="52"/>
        <v>10+ Years</v>
      </c>
      <c r="R860" t="str">
        <f>IF(Table7[[#This Row],[Age]]&lt;=25,"20-25",IF(Table7[[#This Row],[Age]]&lt;=30,"26-30",IF(Table7[[#This Row],[Age]]&lt;=35,"31-35","36+")))</f>
        <v>26-30</v>
      </c>
      <c r="S860" t="str">
        <f t="shared" si="53"/>
        <v>January</v>
      </c>
      <c r="T860" s="2" t="str">
        <f t="shared" si="54"/>
        <v>Q1</v>
      </c>
      <c r="U860" s="2">
        <f t="shared" si="55"/>
        <v>2025</v>
      </c>
    </row>
    <row r="861" spans="1:21" x14ac:dyDescent="0.3">
      <c r="A861" t="s">
        <v>317</v>
      </c>
      <c r="B861" t="s">
        <v>4715</v>
      </c>
      <c r="C861" t="s">
        <v>6085</v>
      </c>
      <c r="D861" t="s">
        <v>4363</v>
      </c>
      <c r="E861">
        <v>28</v>
      </c>
      <c r="F861" t="s">
        <v>6086</v>
      </c>
      <c r="G861">
        <v>9342001686</v>
      </c>
      <c r="H861" t="s">
        <v>4410</v>
      </c>
      <c r="I861" t="s">
        <v>4411</v>
      </c>
      <c r="J861" t="s">
        <v>4389</v>
      </c>
      <c r="K861">
        <v>3.4</v>
      </c>
      <c r="L861">
        <v>9.4</v>
      </c>
      <c r="M861">
        <v>12.9</v>
      </c>
      <c r="N861" t="s">
        <v>4377</v>
      </c>
      <c r="O861" t="s">
        <v>4391</v>
      </c>
      <c r="P861" s="1">
        <v>45734</v>
      </c>
      <c r="Q861" t="str">
        <f t="shared" si="52"/>
        <v>10+ Years</v>
      </c>
      <c r="R861" t="str">
        <f>IF(Table7[[#This Row],[Age]]&lt;=25,"20-25",IF(Table7[[#This Row],[Age]]&lt;=30,"26-30",IF(Table7[[#This Row],[Age]]&lt;=35,"31-35","36+")))</f>
        <v>26-30</v>
      </c>
      <c r="S861" t="str">
        <f t="shared" si="53"/>
        <v>March</v>
      </c>
      <c r="T861" s="2" t="str">
        <f t="shared" si="54"/>
        <v>Q1</v>
      </c>
      <c r="U861" s="2">
        <f t="shared" si="55"/>
        <v>2025</v>
      </c>
    </row>
    <row r="862" spans="1:21" x14ac:dyDescent="0.3">
      <c r="A862" t="s">
        <v>694</v>
      </c>
      <c r="B862" t="s">
        <v>5899</v>
      </c>
      <c r="C862" t="s">
        <v>6087</v>
      </c>
      <c r="D862" t="s">
        <v>4372</v>
      </c>
      <c r="E862">
        <v>27</v>
      </c>
      <c r="F862" t="s">
        <v>6088</v>
      </c>
      <c r="G862">
        <v>9915103880</v>
      </c>
      <c r="H862" t="s">
        <v>4404</v>
      </c>
      <c r="I862" t="s">
        <v>4405</v>
      </c>
      <c r="J862" t="s">
        <v>4376</v>
      </c>
      <c r="K862">
        <v>0.6</v>
      </c>
      <c r="L862">
        <v>2.9</v>
      </c>
      <c r="M862">
        <v>4.2</v>
      </c>
      <c r="N862" t="s">
        <v>4377</v>
      </c>
      <c r="O862" t="s">
        <v>4369</v>
      </c>
      <c r="P862" s="1">
        <v>45776</v>
      </c>
      <c r="Q862" t="str">
        <f t="shared" si="52"/>
        <v>10+ Years</v>
      </c>
      <c r="R862" t="str">
        <f>IF(Table7[[#This Row],[Age]]&lt;=25,"20-25",IF(Table7[[#This Row],[Age]]&lt;=30,"26-30",IF(Table7[[#This Row],[Age]]&lt;=35,"31-35","36+")))</f>
        <v>26-30</v>
      </c>
      <c r="S862" t="str">
        <f t="shared" si="53"/>
        <v>April</v>
      </c>
      <c r="T862" s="2" t="str">
        <f t="shared" si="54"/>
        <v>Q2</v>
      </c>
      <c r="U862" s="2">
        <f t="shared" si="55"/>
        <v>2025</v>
      </c>
    </row>
    <row r="863" spans="1:21" x14ac:dyDescent="0.3">
      <c r="A863" t="s">
        <v>3097</v>
      </c>
      <c r="B863" t="s">
        <v>4460</v>
      </c>
      <c r="C863" t="s">
        <v>6089</v>
      </c>
      <c r="D863" t="s">
        <v>4363</v>
      </c>
      <c r="E863">
        <v>24</v>
      </c>
      <c r="F863" t="s">
        <v>6090</v>
      </c>
      <c r="G863">
        <v>9700181099</v>
      </c>
      <c r="H863" t="s">
        <v>4404</v>
      </c>
      <c r="I863" t="s">
        <v>4405</v>
      </c>
      <c r="J863" t="s">
        <v>4389</v>
      </c>
      <c r="K863">
        <v>8</v>
      </c>
      <c r="L863">
        <v>11.9</v>
      </c>
      <c r="M863">
        <v>17</v>
      </c>
      <c r="N863" t="s">
        <v>4406</v>
      </c>
      <c r="O863" t="s">
        <v>4391</v>
      </c>
      <c r="P863" s="1">
        <v>45722</v>
      </c>
      <c r="Q863" t="str">
        <f t="shared" si="52"/>
        <v>10+ Years</v>
      </c>
      <c r="R863" t="str">
        <f>IF(Table7[[#This Row],[Age]]&lt;=25,"20-25",IF(Table7[[#This Row],[Age]]&lt;=30,"26-30",IF(Table7[[#This Row],[Age]]&lt;=35,"31-35","36+")))</f>
        <v>20-25</v>
      </c>
      <c r="S863" t="str">
        <f t="shared" si="53"/>
        <v>March</v>
      </c>
      <c r="T863" s="2" t="str">
        <f t="shared" si="54"/>
        <v>Q1</v>
      </c>
      <c r="U863" s="2">
        <f t="shared" si="55"/>
        <v>2025</v>
      </c>
    </row>
    <row r="864" spans="1:21" x14ac:dyDescent="0.3">
      <c r="A864" t="s">
        <v>6091</v>
      </c>
      <c r="B864" t="s">
        <v>6092</v>
      </c>
      <c r="C864" t="s">
        <v>4486</v>
      </c>
      <c r="D864" t="s">
        <v>4363</v>
      </c>
      <c r="E864">
        <v>27</v>
      </c>
      <c r="F864" t="s">
        <v>6093</v>
      </c>
      <c r="G864">
        <v>9238746379</v>
      </c>
      <c r="H864" t="s">
        <v>4521</v>
      </c>
      <c r="I864" t="s">
        <v>4522</v>
      </c>
      <c r="J864" t="s">
        <v>4376</v>
      </c>
      <c r="K864">
        <v>0.4</v>
      </c>
      <c r="L864">
        <v>6.9</v>
      </c>
      <c r="M864">
        <v>9.1999999999999993</v>
      </c>
      <c r="N864" t="s">
        <v>4368</v>
      </c>
      <c r="O864" t="s">
        <v>4456</v>
      </c>
      <c r="P864" s="1">
        <v>46022</v>
      </c>
      <c r="Q864" t="str">
        <f t="shared" si="52"/>
        <v>10+ Years</v>
      </c>
      <c r="R864" t="str">
        <f>IF(Table7[[#This Row],[Age]]&lt;=25,"20-25",IF(Table7[[#This Row],[Age]]&lt;=30,"26-30",IF(Table7[[#This Row],[Age]]&lt;=35,"31-35","36+")))</f>
        <v>26-30</v>
      </c>
      <c r="S864" t="str">
        <f t="shared" si="53"/>
        <v>December</v>
      </c>
      <c r="T864" s="2" t="str">
        <f t="shared" si="54"/>
        <v>Q4</v>
      </c>
      <c r="U864" s="2">
        <f t="shared" si="55"/>
        <v>2025</v>
      </c>
    </row>
    <row r="865" spans="1:21" x14ac:dyDescent="0.3">
      <c r="A865" t="s">
        <v>2883</v>
      </c>
      <c r="B865" t="s">
        <v>4668</v>
      </c>
      <c r="C865" t="s">
        <v>5945</v>
      </c>
      <c r="D865" t="s">
        <v>4363</v>
      </c>
      <c r="E865">
        <v>21</v>
      </c>
      <c r="F865" t="s">
        <v>6094</v>
      </c>
      <c r="G865">
        <v>9857447209</v>
      </c>
      <c r="H865" t="s">
        <v>4491</v>
      </c>
      <c r="I865" t="s">
        <v>4491</v>
      </c>
      <c r="J865" t="s">
        <v>4376</v>
      </c>
      <c r="K865">
        <v>0.2</v>
      </c>
      <c r="L865">
        <v>6.8</v>
      </c>
      <c r="M865">
        <v>8.9</v>
      </c>
      <c r="N865" t="s">
        <v>4406</v>
      </c>
      <c r="O865" t="s">
        <v>4391</v>
      </c>
      <c r="P865" s="1">
        <v>45861</v>
      </c>
      <c r="Q865" t="str">
        <f t="shared" si="52"/>
        <v>10+ Years</v>
      </c>
      <c r="R865" t="str">
        <f>IF(Table7[[#This Row],[Age]]&lt;=25,"20-25",IF(Table7[[#This Row],[Age]]&lt;=30,"26-30",IF(Table7[[#This Row],[Age]]&lt;=35,"31-35","36+")))</f>
        <v>20-25</v>
      </c>
      <c r="S865" t="str">
        <f t="shared" si="53"/>
        <v>July</v>
      </c>
      <c r="T865" s="2" t="str">
        <f t="shared" si="54"/>
        <v>Q3</v>
      </c>
      <c r="U865" s="2">
        <f t="shared" si="55"/>
        <v>2025</v>
      </c>
    </row>
    <row r="866" spans="1:21" x14ac:dyDescent="0.3">
      <c r="A866" t="s">
        <v>1260</v>
      </c>
      <c r="B866" t="s">
        <v>4763</v>
      </c>
      <c r="C866" t="s">
        <v>6095</v>
      </c>
      <c r="D866" t="s">
        <v>4372</v>
      </c>
      <c r="E866">
        <v>22</v>
      </c>
      <c r="F866" t="s">
        <v>6096</v>
      </c>
      <c r="G866">
        <v>9796455703</v>
      </c>
      <c r="H866" t="s">
        <v>4491</v>
      </c>
      <c r="I866" t="s">
        <v>4491</v>
      </c>
      <c r="J866" t="s">
        <v>4367</v>
      </c>
      <c r="K866">
        <v>2.8</v>
      </c>
      <c r="L866">
        <v>9.8000000000000007</v>
      </c>
      <c r="M866">
        <v>11.4</v>
      </c>
      <c r="N866" t="s">
        <v>4406</v>
      </c>
      <c r="O866" t="s">
        <v>4383</v>
      </c>
      <c r="P866" s="1">
        <v>45822</v>
      </c>
      <c r="Q866" t="str">
        <f t="shared" si="52"/>
        <v>10+ Years</v>
      </c>
      <c r="R866" t="str">
        <f>IF(Table7[[#This Row],[Age]]&lt;=25,"20-25",IF(Table7[[#This Row],[Age]]&lt;=30,"26-30",IF(Table7[[#This Row],[Age]]&lt;=35,"31-35","36+")))</f>
        <v>20-25</v>
      </c>
      <c r="S866" t="str">
        <f t="shared" si="53"/>
        <v>June</v>
      </c>
      <c r="T866" s="2" t="str">
        <f t="shared" si="54"/>
        <v>Q2</v>
      </c>
      <c r="U866" s="2">
        <f t="shared" si="55"/>
        <v>2025</v>
      </c>
    </row>
    <row r="867" spans="1:21" x14ac:dyDescent="0.3">
      <c r="A867" t="s">
        <v>6097</v>
      </c>
      <c r="B867" t="s">
        <v>5029</v>
      </c>
      <c r="C867" t="s">
        <v>6098</v>
      </c>
      <c r="D867" t="s">
        <v>4372</v>
      </c>
      <c r="E867">
        <v>38</v>
      </c>
      <c r="F867" t="s">
        <v>6099</v>
      </c>
      <c r="G867">
        <v>9580624545</v>
      </c>
      <c r="H867" t="s">
        <v>4395</v>
      </c>
      <c r="I867" t="s">
        <v>4396</v>
      </c>
      <c r="J867" t="s">
        <v>4367</v>
      </c>
      <c r="K867">
        <v>2</v>
      </c>
      <c r="L867">
        <v>10.4</v>
      </c>
      <c r="M867">
        <v>14.8</v>
      </c>
      <c r="N867" t="s">
        <v>4377</v>
      </c>
      <c r="O867" t="s">
        <v>4383</v>
      </c>
      <c r="P867" s="1">
        <v>45885</v>
      </c>
      <c r="Q867" t="str">
        <f t="shared" si="52"/>
        <v>10+ Years</v>
      </c>
      <c r="R867" t="str">
        <f>IF(Table7[[#This Row],[Age]]&lt;=25,"20-25",IF(Table7[[#This Row],[Age]]&lt;=30,"26-30",IF(Table7[[#This Row],[Age]]&lt;=35,"31-35","36+")))</f>
        <v>36+</v>
      </c>
      <c r="S867" t="str">
        <f t="shared" si="53"/>
        <v>August</v>
      </c>
      <c r="T867" s="2" t="str">
        <f t="shared" si="54"/>
        <v>Q3</v>
      </c>
      <c r="U867" s="2">
        <f t="shared" si="55"/>
        <v>2025</v>
      </c>
    </row>
    <row r="868" spans="1:21" x14ac:dyDescent="0.3">
      <c r="A868" t="s">
        <v>349</v>
      </c>
      <c r="B868" t="s">
        <v>6100</v>
      </c>
      <c r="C868" t="s">
        <v>6101</v>
      </c>
      <c r="D868" t="s">
        <v>4363</v>
      </c>
      <c r="E868">
        <v>32</v>
      </c>
      <c r="F868" t="s">
        <v>6102</v>
      </c>
      <c r="G868">
        <v>9747203153</v>
      </c>
      <c r="H868" t="s">
        <v>4374</v>
      </c>
      <c r="I868" t="s">
        <v>4375</v>
      </c>
      <c r="J868" t="s">
        <v>4482</v>
      </c>
      <c r="K868">
        <v>0.6</v>
      </c>
      <c r="L868">
        <v>5.3</v>
      </c>
      <c r="M868">
        <v>7.6</v>
      </c>
      <c r="N868" t="s">
        <v>4494</v>
      </c>
      <c r="O868" t="s">
        <v>4456</v>
      </c>
      <c r="P868" s="1">
        <v>45878</v>
      </c>
      <c r="Q868" t="str">
        <f t="shared" si="52"/>
        <v>10+ Years</v>
      </c>
      <c r="R868" t="str">
        <f>IF(Table7[[#This Row],[Age]]&lt;=25,"20-25",IF(Table7[[#This Row],[Age]]&lt;=30,"26-30",IF(Table7[[#This Row],[Age]]&lt;=35,"31-35","36+")))</f>
        <v>31-35</v>
      </c>
      <c r="S868" t="str">
        <f t="shared" si="53"/>
        <v>August</v>
      </c>
      <c r="T868" s="2" t="str">
        <f t="shared" si="54"/>
        <v>Q3</v>
      </c>
      <c r="U868" s="2">
        <f t="shared" si="55"/>
        <v>2025</v>
      </c>
    </row>
    <row r="869" spans="1:21" x14ac:dyDescent="0.3">
      <c r="A869" t="s">
        <v>3314</v>
      </c>
      <c r="B869" t="s">
        <v>4654</v>
      </c>
      <c r="C869" t="s">
        <v>6103</v>
      </c>
      <c r="D869" t="s">
        <v>4372</v>
      </c>
      <c r="E869">
        <v>21</v>
      </c>
      <c r="F869" t="s">
        <v>6104</v>
      </c>
      <c r="G869">
        <v>9647288633</v>
      </c>
      <c r="H869" t="s">
        <v>4476</v>
      </c>
      <c r="I869" t="s">
        <v>4477</v>
      </c>
      <c r="J869" t="s">
        <v>4389</v>
      </c>
      <c r="K869">
        <v>0.2</v>
      </c>
      <c r="L869">
        <v>3.4</v>
      </c>
      <c r="M869">
        <v>4.4000000000000004</v>
      </c>
      <c r="N869" t="s">
        <v>4377</v>
      </c>
      <c r="O869" t="s">
        <v>4456</v>
      </c>
      <c r="P869" s="1">
        <v>45764</v>
      </c>
      <c r="Q869" t="str">
        <f t="shared" si="52"/>
        <v>10+ Years</v>
      </c>
      <c r="R869" t="str">
        <f>IF(Table7[[#This Row],[Age]]&lt;=25,"20-25",IF(Table7[[#This Row],[Age]]&lt;=30,"26-30",IF(Table7[[#This Row],[Age]]&lt;=35,"31-35","36+")))</f>
        <v>20-25</v>
      </c>
      <c r="S869" t="str">
        <f t="shared" si="53"/>
        <v>April</v>
      </c>
      <c r="T869" s="2" t="str">
        <f t="shared" si="54"/>
        <v>Q2</v>
      </c>
      <c r="U869" s="2">
        <f t="shared" si="55"/>
        <v>2025</v>
      </c>
    </row>
    <row r="870" spans="1:21" x14ac:dyDescent="0.3">
      <c r="A870" t="s">
        <v>3001</v>
      </c>
      <c r="B870" t="s">
        <v>5206</v>
      </c>
      <c r="C870" t="s">
        <v>6105</v>
      </c>
      <c r="D870" t="s">
        <v>4363</v>
      </c>
      <c r="E870">
        <v>21</v>
      </c>
      <c r="F870" t="s">
        <v>6106</v>
      </c>
      <c r="G870">
        <v>9357993334</v>
      </c>
      <c r="H870" t="s">
        <v>4365</v>
      </c>
      <c r="I870" t="s">
        <v>4366</v>
      </c>
      <c r="J870" t="s">
        <v>4482</v>
      </c>
      <c r="K870">
        <v>1.5</v>
      </c>
      <c r="L870">
        <v>8.6</v>
      </c>
      <c r="M870">
        <v>10.8</v>
      </c>
      <c r="O870" t="s">
        <v>4369</v>
      </c>
      <c r="P870" s="1">
        <v>45872</v>
      </c>
      <c r="Q870" t="str">
        <f t="shared" si="52"/>
        <v>10+ Years</v>
      </c>
      <c r="R870" t="str">
        <f>IF(Table7[[#This Row],[Age]]&lt;=25,"20-25",IF(Table7[[#This Row],[Age]]&lt;=30,"26-30",IF(Table7[[#This Row],[Age]]&lt;=35,"31-35","36+")))</f>
        <v>20-25</v>
      </c>
      <c r="S870" t="str">
        <f t="shared" si="53"/>
        <v>August</v>
      </c>
      <c r="T870" s="2" t="str">
        <f t="shared" si="54"/>
        <v>Q3</v>
      </c>
      <c r="U870" s="2">
        <f t="shared" si="55"/>
        <v>2025</v>
      </c>
    </row>
    <row r="871" spans="1:21" x14ac:dyDescent="0.3">
      <c r="A871" t="s">
        <v>3700</v>
      </c>
      <c r="B871" t="s">
        <v>6075</v>
      </c>
      <c r="C871" t="s">
        <v>4857</v>
      </c>
      <c r="D871" t="s">
        <v>4372</v>
      </c>
      <c r="E871">
        <v>31</v>
      </c>
      <c r="F871" t="s">
        <v>6107</v>
      </c>
      <c r="G871">
        <v>9945920866</v>
      </c>
      <c r="H871" t="s">
        <v>4374</v>
      </c>
      <c r="I871" t="s">
        <v>4375</v>
      </c>
      <c r="J871" t="s">
        <v>4482</v>
      </c>
      <c r="K871">
        <v>16.399999999999999</v>
      </c>
      <c r="L871">
        <v>22.3</v>
      </c>
      <c r="M871">
        <v>30.3</v>
      </c>
      <c r="N871" t="s">
        <v>4377</v>
      </c>
      <c r="O871" t="s">
        <v>4383</v>
      </c>
      <c r="P871" s="1">
        <v>45981</v>
      </c>
      <c r="Q871" t="str">
        <f t="shared" si="52"/>
        <v>10+ Years</v>
      </c>
      <c r="R871" t="str">
        <f>IF(Table7[[#This Row],[Age]]&lt;=25,"20-25",IF(Table7[[#This Row],[Age]]&lt;=30,"26-30",IF(Table7[[#This Row],[Age]]&lt;=35,"31-35","36+")))</f>
        <v>31-35</v>
      </c>
      <c r="S871" t="str">
        <f t="shared" si="53"/>
        <v>November</v>
      </c>
      <c r="T871" s="2" t="str">
        <f t="shared" si="54"/>
        <v>Q4</v>
      </c>
      <c r="U871" s="2">
        <f t="shared" si="55"/>
        <v>2025</v>
      </c>
    </row>
    <row r="872" spans="1:21" x14ac:dyDescent="0.3">
      <c r="A872" t="s">
        <v>2866</v>
      </c>
      <c r="B872" t="s">
        <v>4952</v>
      </c>
      <c r="C872" t="s">
        <v>6108</v>
      </c>
      <c r="D872" t="s">
        <v>4363</v>
      </c>
      <c r="E872">
        <v>33</v>
      </c>
      <c r="F872" t="s">
        <v>6109</v>
      </c>
      <c r="G872">
        <v>9587819547</v>
      </c>
      <c r="H872" t="s">
        <v>4491</v>
      </c>
      <c r="I872" t="s">
        <v>4491</v>
      </c>
      <c r="J872" t="s">
        <v>4446</v>
      </c>
      <c r="K872">
        <v>1.6</v>
      </c>
      <c r="L872">
        <v>12.5</v>
      </c>
      <c r="M872">
        <v>15.7</v>
      </c>
      <c r="N872" t="s">
        <v>4406</v>
      </c>
      <c r="O872" t="s">
        <v>4485</v>
      </c>
      <c r="P872" s="1">
        <v>45823</v>
      </c>
      <c r="Q872" t="str">
        <f t="shared" si="52"/>
        <v>10+ Years</v>
      </c>
      <c r="R872" t="str">
        <f>IF(Table7[[#This Row],[Age]]&lt;=25,"20-25",IF(Table7[[#This Row],[Age]]&lt;=30,"26-30",IF(Table7[[#This Row],[Age]]&lt;=35,"31-35","36+")))</f>
        <v>31-35</v>
      </c>
      <c r="S872" t="str">
        <f t="shared" si="53"/>
        <v>June</v>
      </c>
      <c r="T872" s="2" t="str">
        <f t="shared" si="54"/>
        <v>Q2</v>
      </c>
      <c r="U872" s="2">
        <f t="shared" si="55"/>
        <v>2025</v>
      </c>
    </row>
    <row r="873" spans="1:21" x14ac:dyDescent="0.3">
      <c r="A873" t="s">
        <v>2810</v>
      </c>
      <c r="B873" t="s">
        <v>4654</v>
      </c>
      <c r="C873" t="s">
        <v>6110</v>
      </c>
      <c r="D873" t="s">
        <v>4372</v>
      </c>
      <c r="E873">
        <v>26</v>
      </c>
      <c r="F873" t="s">
        <v>6111</v>
      </c>
      <c r="G873">
        <v>9129642570</v>
      </c>
      <c r="H873" t="s">
        <v>4506</v>
      </c>
      <c r="I873" t="s">
        <v>4507</v>
      </c>
      <c r="J873" t="s">
        <v>4389</v>
      </c>
      <c r="K873">
        <v>0.5</v>
      </c>
      <c r="L873">
        <v>4.5</v>
      </c>
      <c r="M873">
        <v>6.4</v>
      </c>
      <c r="N873" t="s">
        <v>4377</v>
      </c>
      <c r="O873" t="s">
        <v>4369</v>
      </c>
      <c r="P873" s="1">
        <v>45847</v>
      </c>
      <c r="Q873" t="str">
        <f t="shared" si="52"/>
        <v>10+ Years</v>
      </c>
      <c r="R873" t="str">
        <f>IF(Table7[[#This Row],[Age]]&lt;=25,"20-25",IF(Table7[[#This Row],[Age]]&lt;=30,"26-30",IF(Table7[[#This Row],[Age]]&lt;=35,"31-35","36+")))</f>
        <v>26-30</v>
      </c>
      <c r="S873" t="str">
        <f t="shared" si="53"/>
        <v>July</v>
      </c>
      <c r="T873" s="2" t="str">
        <f t="shared" si="54"/>
        <v>Q3</v>
      </c>
      <c r="U873" s="2">
        <f t="shared" si="55"/>
        <v>2025</v>
      </c>
    </row>
    <row r="874" spans="1:21" x14ac:dyDescent="0.3">
      <c r="A874" t="s">
        <v>6112</v>
      </c>
      <c r="B874" t="s">
        <v>4508</v>
      </c>
      <c r="C874" t="s">
        <v>5949</v>
      </c>
      <c r="D874" t="s">
        <v>4363</v>
      </c>
      <c r="E874">
        <v>31</v>
      </c>
      <c r="F874" t="s">
        <v>6113</v>
      </c>
      <c r="G874">
        <v>9219454530</v>
      </c>
      <c r="H874" t="s">
        <v>4476</v>
      </c>
      <c r="I874" t="s">
        <v>4477</v>
      </c>
      <c r="J874" t="s">
        <v>4367</v>
      </c>
      <c r="K874">
        <v>14.5</v>
      </c>
      <c r="L874">
        <v>24.3</v>
      </c>
      <c r="M874">
        <v>30</v>
      </c>
      <c r="N874" t="s">
        <v>4368</v>
      </c>
      <c r="O874" t="s">
        <v>4383</v>
      </c>
      <c r="P874" s="1">
        <v>45715</v>
      </c>
      <c r="Q874" t="str">
        <f t="shared" si="52"/>
        <v>10+ Years</v>
      </c>
      <c r="R874" t="str">
        <f>IF(Table7[[#This Row],[Age]]&lt;=25,"20-25",IF(Table7[[#This Row],[Age]]&lt;=30,"26-30",IF(Table7[[#This Row],[Age]]&lt;=35,"31-35","36+")))</f>
        <v>31-35</v>
      </c>
      <c r="S874" t="str">
        <f t="shared" si="53"/>
        <v>February</v>
      </c>
      <c r="T874" s="2" t="str">
        <f t="shared" si="54"/>
        <v>Q1</v>
      </c>
      <c r="U874" s="2">
        <f t="shared" si="55"/>
        <v>2025</v>
      </c>
    </row>
    <row r="875" spans="1:21" x14ac:dyDescent="0.3">
      <c r="A875" t="s">
        <v>993</v>
      </c>
      <c r="B875" t="s">
        <v>4934</v>
      </c>
      <c r="C875" t="s">
        <v>5195</v>
      </c>
      <c r="D875" t="s">
        <v>4363</v>
      </c>
      <c r="E875">
        <v>29</v>
      </c>
      <c r="F875" t="s">
        <v>6114</v>
      </c>
      <c r="G875">
        <v>9454616542</v>
      </c>
      <c r="H875" t="s">
        <v>4387</v>
      </c>
      <c r="I875" t="s">
        <v>4388</v>
      </c>
      <c r="J875" t="s">
        <v>4389</v>
      </c>
      <c r="K875">
        <v>5.5</v>
      </c>
      <c r="M875">
        <v>21.3</v>
      </c>
      <c r="N875" t="s">
        <v>4406</v>
      </c>
      <c r="O875" t="s">
        <v>4400</v>
      </c>
      <c r="P875" s="1">
        <v>45669</v>
      </c>
      <c r="Q875" t="str">
        <f t="shared" si="52"/>
        <v>10+ Years</v>
      </c>
      <c r="R875" t="str">
        <f>IF(Table7[[#This Row],[Age]]&lt;=25,"20-25",IF(Table7[[#This Row],[Age]]&lt;=30,"26-30",IF(Table7[[#This Row],[Age]]&lt;=35,"31-35","36+")))</f>
        <v>26-30</v>
      </c>
      <c r="S875" t="str">
        <f t="shared" si="53"/>
        <v>January</v>
      </c>
      <c r="T875" s="2" t="str">
        <f t="shared" si="54"/>
        <v>Q1</v>
      </c>
      <c r="U875" s="2">
        <f t="shared" si="55"/>
        <v>2025</v>
      </c>
    </row>
    <row r="876" spans="1:21" x14ac:dyDescent="0.3">
      <c r="A876" t="s">
        <v>2235</v>
      </c>
      <c r="B876" t="s">
        <v>4705</v>
      </c>
      <c r="C876" t="s">
        <v>4434</v>
      </c>
      <c r="D876" t="s">
        <v>4363</v>
      </c>
      <c r="E876">
        <v>26</v>
      </c>
      <c r="F876" t="s">
        <v>6115</v>
      </c>
      <c r="G876">
        <v>9595771382</v>
      </c>
      <c r="H876" t="s">
        <v>4374</v>
      </c>
      <c r="I876" t="s">
        <v>4375</v>
      </c>
      <c r="J876" t="s">
        <v>4608</v>
      </c>
      <c r="K876">
        <v>1.8</v>
      </c>
      <c r="L876">
        <v>2.7</v>
      </c>
      <c r="M876">
        <v>3.3</v>
      </c>
      <c r="N876" t="s">
        <v>4368</v>
      </c>
      <c r="O876" t="s">
        <v>4383</v>
      </c>
      <c r="P876" s="1">
        <v>45659</v>
      </c>
      <c r="Q876" t="str">
        <f t="shared" si="52"/>
        <v>10+ Years</v>
      </c>
      <c r="R876" t="str">
        <f>IF(Table7[[#This Row],[Age]]&lt;=25,"20-25",IF(Table7[[#This Row],[Age]]&lt;=30,"26-30",IF(Table7[[#This Row],[Age]]&lt;=35,"31-35","36+")))</f>
        <v>26-30</v>
      </c>
      <c r="S876" t="str">
        <f t="shared" si="53"/>
        <v>January</v>
      </c>
      <c r="T876" s="2" t="str">
        <f t="shared" si="54"/>
        <v>Q1</v>
      </c>
      <c r="U876" s="2">
        <f t="shared" si="55"/>
        <v>2025</v>
      </c>
    </row>
    <row r="877" spans="1:21" x14ac:dyDescent="0.3">
      <c r="A877" t="s">
        <v>457</v>
      </c>
      <c r="B877" t="s">
        <v>5258</v>
      </c>
      <c r="C877" t="s">
        <v>4561</v>
      </c>
      <c r="D877" t="s">
        <v>4372</v>
      </c>
      <c r="E877">
        <v>32</v>
      </c>
      <c r="F877" t="s">
        <v>6116</v>
      </c>
      <c r="G877">
        <v>9674314958</v>
      </c>
      <c r="H877" t="s">
        <v>4454</v>
      </c>
      <c r="I877" t="s">
        <v>4455</v>
      </c>
      <c r="J877" t="s">
        <v>4618</v>
      </c>
      <c r="K877">
        <v>4.4000000000000004</v>
      </c>
      <c r="L877">
        <v>12.4</v>
      </c>
      <c r="M877">
        <v>14.9</v>
      </c>
      <c r="N877" t="s">
        <v>4406</v>
      </c>
      <c r="O877" t="s">
        <v>4485</v>
      </c>
      <c r="P877" s="1">
        <v>45793</v>
      </c>
      <c r="Q877" t="str">
        <f t="shared" si="52"/>
        <v>10+ Years</v>
      </c>
      <c r="R877" t="str">
        <f>IF(Table7[[#This Row],[Age]]&lt;=25,"20-25",IF(Table7[[#This Row],[Age]]&lt;=30,"26-30",IF(Table7[[#This Row],[Age]]&lt;=35,"31-35","36+")))</f>
        <v>31-35</v>
      </c>
      <c r="S877" t="str">
        <f t="shared" si="53"/>
        <v>May</v>
      </c>
      <c r="T877" s="2" t="str">
        <f t="shared" si="54"/>
        <v>Q2</v>
      </c>
      <c r="U877" s="2">
        <f t="shared" si="55"/>
        <v>2025</v>
      </c>
    </row>
    <row r="878" spans="1:21" x14ac:dyDescent="0.3">
      <c r="A878" t="s">
        <v>735</v>
      </c>
      <c r="B878" t="s">
        <v>5361</v>
      </c>
      <c r="C878" t="s">
        <v>5438</v>
      </c>
      <c r="D878" t="s">
        <v>4363</v>
      </c>
      <c r="E878">
        <v>21</v>
      </c>
      <c r="F878" t="s">
        <v>6117</v>
      </c>
      <c r="G878">
        <v>9487192610</v>
      </c>
      <c r="H878" t="s">
        <v>4445</v>
      </c>
      <c r="I878" t="s">
        <v>4396</v>
      </c>
      <c r="J878" t="s">
        <v>4376</v>
      </c>
      <c r="K878">
        <v>13.8</v>
      </c>
      <c r="L878">
        <v>25.1</v>
      </c>
      <c r="M878">
        <v>35.799999999999997</v>
      </c>
      <c r="N878" t="s">
        <v>4494</v>
      </c>
      <c r="O878" t="s">
        <v>4485</v>
      </c>
      <c r="P878" s="1">
        <v>45789</v>
      </c>
      <c r="Q878" t="str">
        <f t="shared" si="52"/>
        <v>10+ Years</v>
      </c>
      <c r="R878" t="str">
        <f>IF(Table7[[#This Row],[Age]]&lt;=25,"20-25",IF(Table7[[#This Row],[Age]]&lt;=30,"26-30",IF(Table7[[#This Row],[Age]]&lt;=35,"31-35","36+")))</f>
        <v>20-25</v>
      </c>
      <c r="S878" t="str">
        <f t="shared" si="53"/>
        <v>May</v>
      </c>
      <c r="T878" s="2" t="str">
        <f t="shared" si="54"/>
        <v>Q2</v>
      </c>
      <c r="U878" s="2">
        <f t="shared" si="55"/>
        <v>2025</v>
      </c>
    </row>
    <row r="879" spans="1:21" x14ac:dyDescent="0.3">
      <c r="A879" t="s">
        <v>3815</v>
      </c>
      <c r="B879" t="s">
        <v>5352</v>
      </c>
      <c r="C879" t="s">
        <v>5882</v>
      </c>
      <c r="D879" t="s">
        <v>4363</v>
      </c>
      <c r="E879">
        <v>29</v>
      </c>
      <c r="F879" t="s">
        <v>6118</v>
      </c>
      <c r="G879">
        <v>9119740936</v>
      </c>
      <c r="H879" t="s">
        <v>4476</v>
      </c>
      <c r="I879" t="s">
        <v>4477</v>
      </c>
      <c r="J879" t="s">
        <v>4482</v>
      </c>
      <c r="K879">
        <v>15.3</v>
      </c>
      <c r="L879">
        <v>24.5</v>
      </c>
      <c r="M879">
        <v>35.1</v>
      </c>
      <c r="N879" t="s">
        <v>4368</v>
      </c>
      <c r="O879" t="s">
        <v>4391</v>
      </c>
      <c r="P879" s="1">
        <v>45955</v>
      </c>
      <c r="Q879" t="str">
        <f t="shared" si="52"/>
        <v>10+ Years</v>
      </c>
      <c r="R879" t="str">
        <f>IF(Table7[[#This Row],[Age]]&lt;=25,"20-25",IF(Table7[[#This Row],[Age]]&lt;=30,"26-30",IF(Table7[[#This Row],[Age]]&lt;=35,"31-35","36+")))</f>
        <v>26-30</v>
      </c>
      <c r="S879" t="str">
        <f t="shared" si="53"/>
        <v>October</v>
      </c>
      <c r="T879" s="2" t="str">
        <f t="shared" si="54"/>
        <v>Q4</v>
      </c>
      <c r="U879" s="2">
        <f t="shared" si="55"/>
        <v>2025</v>
      </c>
    </row>
    <row r="880" spans="1:21" x14ac:dyDescent="0.3">
      <c r="A880" t="s">
        <v>2089</v>
      </c>
      <c r="B880" t="s">
        <v>4763</v>
      </c>
      <c r="C880" t="s">
        <v>4576</v>
      </c>
      <c r="D880" t="s">
        <v>4372</v>
      </c>
      <c r="E880">
        <v>29</v>
      </c>
      <c r="F880" t="s">
        <v>6119</v>
      </c>
      <c r="G880">
        <v>9860637231</v>
      </c>
      <c r="H880" t="s">
        <v>4374</v>
      </c>
      <c r="I880" t="s">
        <v>4375</v>
      </c>
      <c r="J880" t="s">
        <v>4376</v>
      </c>
      <c r="K880">
        <v>0.7</v>
      </c>
      <c r="L880">
        <v>11.9</v>
      </c>
      <c r="M880">
        <v>13.7</v>
      </c>
      <c r="N880" t="s">
        <v>4377</v>
      </c>
      <c r="O880" t="s">
        <v>4369</v>
      </c>
      <c r="P880" s="1">
        <v>46014</v>
      </c>
      <c r="Q880" t="str">
        <f t="shared" si="52"/>
        <v>10+ Years</v>
      </c>
      <c r="R880" t="str">
        <f>IF(Table7[[#This Row],[Age]]&lt;=25,"20-25",IF(Table7[[#This Row],[Age]]&lt;=30,"26-30",IF(Table7[[#This Row],[Age]]&lt;=35,"31-35","36+")))</f>
        <v>26-30</v>
      </c>
      <c r="S880" t="str">
        <f t="shared" si="53"/>
        <v>December</v>
      </c>
      <c r="T880" s="2" t="str">
        <f t="shared" si="54"/>
        <v>Q4</v>
      </c>
      <c r="U880" s="2">
        <f t="shared" si="55"/>
        <v>2025</v>
      </c>
    </row>
    <row r="881" spans="1:21" x14ac:dyDescent="0.3">
      <c r="A881" t="s">
        <v>3411</v>
      </c>
      <c r="B881" t="s">
        <v>4606</v>
      </c>
      <c r="C881" t="s">
        <v>5809</v>
      </c>
      <c r="D881" t="s">
        <v>4372</v>
      </c>
      <c r="E881">
        <v>25</v>
      </c>
      <c r="F881" t="s">
        <v>6120</v>
      </c>
      <c r="G881">
        <v>9254165404</v>
      </c>
      <c r="H881" t="s">
        <v>4445</v>
      </c>
      <c r="I881" t="s">
        <v>4396</v>
      </c>
      <c r="J881" t="s">
        <v>4389</v>
      </c>
      <c r="K881">
        <v>1.6</v>
      </c>
      <c r="L881">
        <v>4.0999999999999996</v>
      </c>
      <c r="M881">
        <v>5.7</v>
      </c>
      <c r="N881" t="s">
        <v>4377</v>
      </c>
      <c r="O881" t="s">
        <v>4391</v>
      </c>
      <c r="P881" s="1">
        <v>45778</v>
      </c>
      <c r="Q881" t="str">
        <f t="shared" si="52"/>
        <v>10+ Years</v>
      </c>
      <c r="R881" t="str">
        <f>IF(Table7[[#This Row],[Age]]&lt;=25,"20-25",IF(Table7[[#This Row],[Age]]&lt;=30,"26-30",IF(Table7[[#This Row],[Age]]&lt;=35,"31-35","36+")))</f>
        <v>20-25</v>
      </c>
      <c r="S881" t="str">
        <f t="shared" si="53"/>
        <v>May</v>
      </c>
      <c r="T881" s="2" t="str">
        <f t="shared" si="54"/>
        <v>Q2</v>
      </c>
      <c r="U881" s="2">
        <f t="shared" si="55"/>
        <v>2025</v>
      </c>
    </row>
    <row r="882" spans="1:21" x14ac:dyDescent="0.3">
      <c r="A882" t="s">
        <v>6121</v>
      </c>
      <c r="B882" t="s">
        <v>6122</v>
      </c>
      <c r="C882" t="s">
        <v>4693</v>
      </c>
      <c r="D882" t="s">
        <v>4363</v>
      </c>
      <c r="E882">
        <v>27</v>
      </c>
      <c r="F882" t="s">
        <v>6123</v>
      </c>
      <c r="G882">
        <v>9671796827</v>
      </c>
      <c r="H882" t="s">
        <v>4473</v>
      </c>
      <c r="I882" t="s">
        <v>4473</v>
      </c>
      <c r="J882" t="s">
        <v>4432</v>
      </c>
      <c r="K882">
        <v>5.3</v>
      </c>
      <c r="L882">
        <v>11.8</v>
      </c>
      <c r="M882">
        <v>15.2</v>
      </c>
      <c r="N882" t="s">
        <v>4494</v>
      </c>
      <c r="O882" t="s">
        <v>4400</v>
      </c>
      <c r="P882" s="1">
        <v>46000</v>
      </c>
      <c r="Q882" t="str">
        <f t="shared" si="52"/>
        <v>10+ Years</v>
      </c>
      <c r="R882" t="str">
        <f>IF(Table7[[#This Row],[Age]]&lt;=25,"20-25",IF(Table7[[#This Row],[Age]]&lt;=30,"26-30",IF(Table7[[#This Row],[Age]]&lt;=35,"31-35","36+")))</f>
        <v>26-30</v>
      </c>
      <c r="S882" t="str">
        <f t="shared" si="53"/>
        <v>December</v>
      </c>
      <c r="T882" s="2" t="str">
        <f t="shared" si="54"/>
        <v>Q4</v>
      </c>
      <c r="U882" s="2">
        <f t="shared" si="55"/>
        <v>2025</v>
      </c>
    </row>
    <row r="883" spans="1:21" x14ac:dyDescent="0.3">
      <c r="A883" t="s">
        <v>2629</v>
      </c>
      <c r="B883" t="s">
        <v>5249</v>
      </c>
      <c r="C883" t="s">
        <v>5421</v>
      </c>
      <c r="D883" t="s">
        <v>4363</v>
      </c>
      <c r="E883">
        <v>23</v>
      </c>
      <c r="F883" t="s">
        <v>6124</v>
      </c>
      <c r="G883">
        <v>9539059622</v>
      </c>
      <c r="H883" t="s">
        <v>4521</v>
      </c>
      <c r="I883" t="s">
        <v>4522</v>
      </c>
      <c r="J883" t="s">
        <v>4376</v>
      </c>
      <c r="K883">
        <v>0.1</v>
      </c>
      <c r="L883">
        <v>8.1999999999999993</v>
      </c>
      <c r="M883">
        <v>11.5</v>
      </c>
      <c r="N883" t="s">
        <v>4368</v>
      </c>
      <c r="O883" t="s">
        <v>4485</v>
      </c>
      <c r="P883" s="1">
        <v>45670</v>
      </c>
      <c r="Q883" t="str">
        <f t="shared" si="52"/>
        <v>10+ Years</v>
      </c>
      <c r="R883" t="str">
        <f>IF(Table7[[#This Row],[Age]]&lt;=25,"20-25",IF(Table7[[#This Row],[Age]]&lt;=30,"26-30",IF(Table7[[#This Row],[Age]]&lt;=35,"31-35","36+")))</f>
        <v>20-25</v>
      </c>
      <c r="S883" t="str">
        <f t="shared" si="53"/>
        <v>January</v>
      </c>
      <c r="T883" s="2" t="str">
        <f t="shared" si="54"/>
        <v>Q1</v>
      </c>
      <c r="U883" s="2">
        <f t="shared" si="55"/>
        <v>2025</v>
      </c>
    </row>
    <row r="884" spans="1:21" x14ac:dyDescent="0.3">
      <c r="A884" t="s">
        <v>675</v>
      </c>
      <c r="B884" t="s">
        <v>5308</v>
      </c>
      <c r="C884" t="s">
        <v>4751</v>
      </c>
      <c r="D884" t="s">
        <v>4363</v>
      </c>
      <c r="E884">
        <v>30</v>
      </c>
      <c r="F884" t="s">
        <v>6125</v>
      </c>
      <c r="G884">
        <v>9161667320</v>
      </c>
      <c r="H884" t="s">
        <v>4395</v>
      </c>
      <c r="I884" t="s">
        <v>4396</v>
      </c>
      <c r="J884" t="s">
        <v>4389</v>
      </c>
      <c r="K884">
        <v>0.5</v>
      </c>
      <c r="L884">
        <v>5.4</v>
      </c>
      <c r="M884">
        <v>7.5</v>
      </c>
      <c r="N884" t="s">
        <v>4368</v>
      </c>
      <c r="O884" t="s">
        <v>4391</v>
      </c>
      <c r="P884" s="1">
        <v>45960</v>
      </c>
      <c r="Q884" t="str">
        <f t="shared" si="52"/>
        <v>10+ Years</v>
      </c>
      <c r="R884" t="str">
        <f>IF(Table7[[#This Row],[Age]]&lt;=25,"20-25",IF(Table7[[#This Row],[Age]]&lt;=30,"26-30",IF(Table7[[#This Row],[Age]]&lt;=35,"31-35","36+")))</f>
        <v>26-30</v>
      </c>
      <c r="S884" t="str">
        <f t="shared" si="53"/>
        <v>October</v>
      </c>
      <c r="T884" s="2" t="str">
        <f t="shared" si="54"/>
        <v>Q4</v>
      </c>
      <c r="U884" s="2">
        <f t="shared" si="55"/>
        <v>2025</v>
      </c>
    </row>
    <row r="885" spans="1:21" x14ac:dyDescent="0.3">
      <c r="A885" t="s">
        <v>2724</v>
      </c>
      <c r="B885" t="s">
        <v>4634</v>
      </c>
      <c r="C885" t="s">
        <v>4461</v>
      </c>
      <c r="D885" t="s">
        <v>4372</v>
      </c>
      <c r="E885">
        <v>28</v>
      </c>
      <c r="F885" t="s">
        <v>6126</v>
      </c>
      <c r="G885">
        <v>9103132541</v>
      </c>
      <c r="H885" t="s">
        <v>4395</v>
      </c>
      <c r="I885" t="s">
        <v>4396</v>
      </c>
      <c r="J885" t="s">
        <v>4367</v>
      </c>
      <c r="K885">
        <v>5.5</v>
      </c>
      <c r="L885">
        <v>13.3</v>
      </c>
      <c r="M885">
        <v>18</v>
      </c>
      <c r="N885" t="s">
        <v>4406</v>
      </c>
      <c r="O885" t="s">
        <v>4369</v>
      </c>
      <c r="P885" s="1">
        <v>45961</v>
      </c>
      <c r="Q885" t="str">
        <f t="shared" si="52"/>
        <v>10+ Years</v>
      </c>
      <c r="R885" t="str">
        <f>IF(Table7[[#This Row],[Age]]&lt;=25,"20-25",IF(Table7[[#This Row],[Age]]&lt;=30,"26-30",IF(Table7[[#This Row],[Age]]&lt;=35,"31-35","36+")))</f>
        <v>26-30</v>
      </c>
      <c r="S885" t="str">
        <f t="shared" si="53"/>
        <v>October</v>
      </c>
      <c r="T885" s="2" t="str">
        <f t="shared" si="54"/>
        <v>Q4</v>
      </c>
      <c r="U885" s="2">
        <f t="shared" si="55"/>
        <v>2025</v>
      </c>
    </row>
    <row r="886" spans="1:21" x14ac:dyDescent="0.3">
      <c r="A886" t="s">
        <v>408</v>
      </c>
      <c r="B886" t="s">
        <v>5030</v>
      </c>
      <c r="C886" t="s">
        <v>4461</v>
      </c>
      <c r="D886" t="s">
        <v>4363</v>
      </c>
      <c r="E886">
        <v>23</v>
      </c>
      <c r="F886" t="s">
        <v>6127</v>
      </c>
      <c r="G886">
        <v>9287364987</v>
      </c>
      <c r="H886" t="s">
        <v>4404</v>
      </c>
      <c r="I886" t="s">
        <v>4405</v>
      </c>
      <c r="J886" t="s">
        <v>4367</v>
      </c>
      <c r="K886">
        <v>0.8</v>
      </c>
      <c r="L886">
        <v>7.5</v>
      </c>
      <c r="M886">
        <v>10.3</v>
      </c>
      <c r="N886" t="s">
        <v>4390</v>
      </c>
      <c r="O886" t="s">
        <v>4391</v>
      </c>
      <c r="P886" s="1">
        <v>45667</v>
      </c>
      <c r="Q886" t="str">
        <f t="shared" si="52"/>
        <v>10+ Years</v>
      </c>
      <c r="R886" t="str">
        <f>IF(Table7[[#This Row],[Age]]&lt;=25,"20-25",IF(Table7[[#This Row],[Age]]&lt;=30,"26-30",IF(Table7[[#This Row],[Age]]&lt;=35,"31-35","36+")))</f>
        <v>20-25</v>
      </c>
      <c r="S886" t="str">
        <f t="shared" si="53"/>
        <v>January</v>
      </c>
      <c r="T886" s="2" t="str">
        <f t="shared" si="54"/>
        <v>Q1</v>
      </c>
      <c r="U886" s="2">
        <f t="shared" si="55"/>
        <v>2025</v>
      </c>
    </row>
    <row r="887" spans="1:21" x14ac:dyDescent="0.3">
      <c r="A887" t="s">
        <v>1799</v>
      </c>
      <c r="B887" t="s">
        <v>5184</v>
      </c>
      <c r="C887" t="s">
        <v>4398</v>
      </c>
      <c r="D887" t="s">
        <v>4372</v>
      </c>
      <c r="E887">
        <v>25</v>
      </c>
      <c r="F887" t="s">
        <v>6128</v>
      </c>
      <c r="G887">
        <v>9354634404</v>
      </c>
      <c r="H887" t="s">
        <v>4365</v>
      </c>
      <c r="I887" t="s">
        <v>4366</v>
      </c>
      <c r="J887" t="s">
        <v>4376</v>
      </c>
      <c r="K887">
        <v>8.1999999999999993</v>
      </c>
      <c r="L887">
        <v>14.3</v>
      </c>
      <c r="M887">
        <v>20.6</v>
      </c>
      <c r="N887" t="s">
        <v>4368</v>
      </c>
      <c r="O887" t="s">
        <v>4369</v>
      </c>
      <c r="P887" s="1">
        <v>46013</v>
      </c>
      <c r="Q887" t="str">
        <f t="shared" si="52"/>
        <v>10+ Years</v>
      </c>
      <c r="R887" t="str">
        <f>IF(Table7[[#This Row],[Age]]&lt;=25,"20-25",IF(Table7[[#This Row],[Age]]&lt;=30,"26-30",IF(Table7[[#This Row],[Age]]&lt;=35,"31-35","36+")))</f>
        <v>20-25</v>
      </c>
      <c r="S887" t="str">
        <f t="shared" si="53"/>
        <v>December</v>
      </c>
      <c r="T887" s="2" t="str">
        <f t="shared" si="54"/>
        <v>Q4</v>
      </c>
      <c r="U887" s="2">
        <f t="shared" si="55"/>
        <v>2025</v>
      </c>
    </row>
    <row r="888" spans="1:21" x14ac:dyDescent="0.3">
      <c r="A888" t="s">
        <v>1656</v>
      </c>
      <c r="B888" t="s">
        <v>4470</v>
      </c>
      <c r="C888" t="s">
        <v>4571</v>
      </c>
      <c r="D888" t="s">
        <v>4372</v>
      </c>
      <c r="E888">
        <v>24</v>
      </c>
      <c r="F888" t="s">
        <v>6129</v>
      </c>
      <c r="G888">
        <v>9339395125</v>
      </c>
      <c r="H888" t="s">
        <v>4445</v>
      </c>
      <c r="I888" t="s">
        <v>4396</v>
      </c>
      <c r="J888" t="s">
        <v>4415</v>
      </c>
      <c r="K888">
        <v>3.2</v>
      </c>
      <c r="L888">
        <v>3.3</v>
      </c>
      <c r="M888">
        <v>4.8</v>
      </c>
      <c r="N888" t="s">
        <v>4368</v>
      </c>
      <c r="O888" t="s">
        <v>4391</v>
      </c>
      <c r="P888" s="1">
        <v>45901</v>
      </c>
      <c r="Q888" t="str">
        <f t="shared" si="52"/>
        <v>10+ Years</v>
      </c>
      <c r="R888" t="str">
        <f>IF(Table7[[#This Row],[Age]]&lt;=25,"20-25",IF(Table7[[#This Row],[Age]]&lt;=30,"26-30",IF(Table7[[#This Row],[Age]]&lt;=35,"31-35","36+")))</f>
        <v>20-25</v>
      </c>
      <c r="S888" t="str">
        <f t="shared" si="53"/>
        <v>September</v>
      </c>
      <c r="T888" s="2" t="str">
        <f t="shared" si="54"/>
        <v>Q3</v>
      </c>
      <c r="U888" s="2">
        <f t="shared" si="55"/>
        <v>2025</v>
      </c>
    </row>
    <row r="889" spans="1:21" x14ac:dyDescent="0.3">
      <c r="A889" t="s">
        <v>958</v>
      </c>
      <c r="B889" t="s">
        <v>6130</v>
      </c>
      <c r="C889" t="s">
        <v>4890</v>
      </c>
      <c r="D889" t="s">
        <v>4363</v>
      </c>
      <c r="E889">
        <v>29</v>
      </c>
      <c r="F889" t="s">
        <v>6131</v>
      </c>
      <c r="G889">
        <v>9605718450</v>
      </c>
      <c r="H889" t="s">
        <v>4404</v>
      </c>
      <c r="I889" t="s">
        <v>4405</v>
      </c>
      <c r="J889" t="s">
        <v>4367</v>
      </c>
      <c r="K889">
        <v>9.6999999999999993</v>
      </c>
      <c r="L889">
        <v>16.2</v>
      </c>
      <c r="M889">
        <v>20.2</v>
      </c>
      <c r="N889" t="s">
        <v>4390</v>
      </c>
      <c r="O889" t="s">
        <v>4383</v>
      </c>
      <c r="P889" s="1">
        <v>46005</v>
      </c>
      <c r="Q889" t="str">
        <f t="shared" si="52"/>
        <v>10+ Years</v>
      </c>
      <c r="R889" t="str">
        <f>IF(Table7[[#This Row],[Age]]&lt;=25,"20-25",IF(Table7[[#This Row],[Age]]&lt;=30,"26-30",IF(Table7[[#This Row],[Age]]&lt;=35,"31-35","36+")))</f>
        <v>26-30</v>
      </c>
      <c r="S889" t="str">
        <f t="shared" si="53"/>
        <v>December</v>
      </c>
      <c r="T889" s="2" t="str">
        <f t="shared" si="54"/>
        <v>Q4</v>
      </c>
      <c r="U889" s="2">
        <f t="shared" si="55"/>
        <v>2025</v>
      </c>
    </row>
    <row r="890" spans="1:21" x14ac:dyDescent="0.3">
      <c r="A890" t="s">
        <v>431</v>
      </c>
      <c r="B890" t="s">
        <v>4563</v>
      </c>
      <c r="C890" t="s">
        <v>4480</v>
      </c>
      <c r="D890" t="s">
        <v>4363</v>
      </c>
      <c r="E890">
        <v>21</v>
      </c>
      <c r="F890" t="s">
        <v>6132</v>
      </c>
      <c r="G890">
        <v>9702493158</v>
      </c>
      <c r="H890" t="s">
        <v>4387</v>
      </c>
      <c r="I890" t="s">
        <v>4388</v>
      </c>
      <c r="J890" t="s">
        <v>4415</v>
      </c>
      <c r="K890">
        <v>6.6</v>
      </c>
      <c r="L890">
        <v>17.5</v>
      </c>
      <c r="M890">
        <v>20</v>
      </c>
      <c r="N890" t="s">
        <v>4368</v>
      </c>
      <c r="O890" t="s">
        <v>4400</v>
      </c>
      <c r="P890" s="1">
        <v>45723</v>
      </c>
      <c r="Q890" t="str">
        <f t="shared" si="52"/>
        <v>10+ Years</v>
      </c>
      <c r="R890" t="str">
        <f>IF(Table7[[#This Row],[Age]]&lt;=25,"20-25",IF(Table7[[#This Row],[Age]]&lt;=30,"26-30",IF(Table7[[#This Row],[Age]]&lt;=35,"31-35","36+")))</f>
        <v>20-25</v>
      </c>
      <c r="S890" t="str">
        <f t="shared" si="53"/>
        <v>March</v>
      </c>
      <c r="T890" s="2" t="str">
        <f t="shared" si="54"/>
        <v>Q1</v>
      </c>
      <c r="U890" s="2">
        <f t="shared" si="55"/>
        <v>2025</v>
      </c>
    </row>
    <row r="891" spans="1:21" x14ac:dyDescent="0.3">
      <c r="A891" t="s">
        <v>3382</v>
      </c>
      <c r="B891" t="s">
        <v>4763</v>
      </c>
      <c r="C891" t="s">
        <v>4849</v>
      </c>
      <c r="D891" t="s">
        <v>4372</v>
      </c>
      <c r="E891">
        <v>22</v>
      </c>
      <c r="F891" t="s">
        <v>6133</v>
      </c>
      <c r="G891">
        <v>9914162296</v>
      </c>
      <c r="H891" t="s">
        <v>4381</v>
      </c>
      <c r="I891" t="s">
        <v>4382</v>
      </c>
      <c r="J891" t="s">
        <v>4415</v>
      </c>
      <c r="K891">
        <v>1.9</v>
      </c>
      <c r="L891">
        <v>9.1999999999999993</v>
      </c>
      <c r="M891">
        <v>11.7</v>
      </c>
      <c r="N891" t="s">
        <v>4390</v>
      </c>
      <c r="O891" t="s">
        <v>4383</v>
      </c>
      <c r="P891" s="1">
        <v>45874</v>
      </c>
      <c r="Q891" t="str">
        <f t="shared" si="52"/>
        <v>10+ Years</v>
      </c>
      <c r="R891" t="str">
        <f>IF(Table7[[#This Row],[Age]]&lt;=25,"20-25",IF(Table7[[#This Row],[Age]]&lt;=30,"26-30",IF(Table7[[#This Row],[Age]]&lt;=35,"31-35","36+")))</f>
        <v>20-25</v>
      </c>
      <c r="S891" t="str">
        <f t="shared" si="53"/>
        <v>August</v>
      </c>
      <c r="T891" s="2" t="str">
        <f t="shared" si="54"/>
        <v>Q3</v>
      </c>
      <c r="U891" s="2">
        <f t="shared" si="55"/>
        <v>2025</v>
      </c>
    </row>
    <row r="892" spans="1:21" x14ac:dyDescent="0.3">
      <c r="A892" t="s">
        <v>365</v>
      </c>
      <c r="B892" t="s">
        <v>4465</v>
      </c>
      <c r="C892" t="s">
        <v>6134</v>
      </c>
      <c r="D892" t="s">
        <v>4372</v>
      </c>
      <c r="E892">
        <v>36</v>
      </c>
      <c r="F892" t="s">
        <v>6135</v>
      </c>
      <c r="G892">
        <v>9409048049</v>
      </c>
      <c r="H892" t="s">
        <v>4374</v>
      </c>
      <c r="I892" t="s">
        <v>4375</v>
      </c>
      <c r="J892" t="s">
        <v>4367</v>
      </c>
      <c r="K892">
        <v>1.7</v>
      </c>
      <c r="L892">
        <v>6.1</v>
      </c>
      <c r="M892">
        <v>8</v>
      </c>
      <c r="N892" t="s">
        <v>4377</v>
      </c>
      <c r="O892" t="s">
        <v>4369</v>
      </c>
      <c r="P892" s="1">
        <v>45848</v>
      </c>
      <c r="Q892" t="str">
        <f t="shared" si="52"/>
        <v>10+ Years</v>
      </c>
      <c r="R892" t="str">
        <f>IF(Table7[[#This Row],[Age]]&lt;=25,"20-25",IF(Table7[[#This Row],[Age]]&lt;=30,"26-30",IF(Table7[[#This Row],[Age]]&lt;=35,"31-35","36+")))</f>
        <v>36+</v>
      </c>
      <c r="S892" t="str">
        <f t="shared" si="53"/>
        <v>July</v>
      </c>
      <c r="T892" s="2" t="str">
        <f t="shared" si="54"/>
        <v>Q3</v>
      </c>
      <c r="U892" s="2">
        <f t="shared" si="55"/>
        <v>2025</v>
      </c>
    </row>
    <row r="893" spans="1:21" x14ac:dyDescent="0.3">
      <c r="A893" t="s">
        <v>3346</v>
      </c>
      <c r="B893" t="s">
        <v>6136</v>
      </c>
      <c r="C893" t="s">
        <v>5195</v>
      </c>
      <c r="D893" t="s">
        <v>4372</v>
      </c>
      <c r="E893">
        <v>33</v>
      </c>
      <c r="F893" t="s">
        <v>6137</v>
      </c>
      <c r="G893">
        <v>9974903335</v>
      </c>
      <c r="H893" t="s">
        <v>4404</v>
      </c>
      <c r="I893" t="s">
        <v>4405</v>
      </c>
      <c r="J893" t="s">
        <v>4432</v>
      </c>
      <c r="K893">
        <v>9.6999999999999993</v>
      </c>
      <c r="L893">
        <v>14.1</v>
      </c>
      <c r="M893">
        <v>17.899999999999999</v>
      </c>
      <c r="N893" t="s">
        <v>4377</v>
      </c>
      <c r="O893" t="s">
        <v>4485</v>
      </c>
      <c r="P893" s="1">
        <v>45915</v>
      </c>
      <c r="Q893" t="str">
        <f t="shared" si="52"/>
        <v>10+ Years</v>
      </c>
      <c r="R893" t="str">
        <f>IF(Table7[[#This Row],[Age]]&lt;=25,"20-25",IF(Table7[[#This Row],[Age]]&lt;=30,"26-30",IF(Table7[[#This Row],[Age]]&lt;=35,"31-35","36+")))</f>
        <v>31-35</v>
      </c>
      <c r="S893" t="str">
        <f t="shared" si="53"/>
        <v>September</v>
      </c>
      <c r="T893" s="2" t="str">
        <f t="shared" si="54"/>
        <v>Q3</v>
      </c>
      <c r="U893" s="2">
        <f t="shared" si="55"/>
        <v>2025</v>
      </c>
    </row>
    <row r="894" spans="1:21" x14ac:dyDescent="0.3">
      <c r="A894" t="s">
        <v>820</v>
      </c>
      <c r="B894" t="s">
        <v>4370</v>
      </c>
      <c r="C894" t="s">
        <v>6138</v>
      </c>
      <c r="D894" t="s">
        <v>4363</v>
      </c>
      <c r="E894">
        <v>29</v>
      </c>
      <c r="F894" t="s">
        <v>6139</v>
      </c>
      <c r="G894">
        <v>9678625827</v>
      </c>
      <c r="H894" t="s">
        <v>4395</v>
      </c>
      <c r="I894" t="s">
        <v>4396</v>
      </c>
      <c r="J894" t="s">
        <v>4389</v>
      </c>
      <c r="K894">
        <v>0.2</v>
      </c>
      <c r="L894">
        <v>7.9</v>
      </c>
      <c r="M894">
        <v>9.1999999999999993</v>
      </c>
      <c r="N894" t="s">
        <v>4368</v>
      </c>
      <c r="O894" t="s">
        <v>4400</v>
      </c>
      <c r="P894" s="1">
        <v>45827</v>
      </c>
      <c r="Q894" t="str">
        <f t="shared" si="52"/>
        <v>10+ Years</v>
      </c>
      <c r="R894" t="str">
        <f>IF(Table7[[#This Row],[Age]]&lt;=25,"20-25",IF(Table7[[#This Row],[Age]]&lt;=30,"26-30",IF(Table7[[#This Row],[Age]]&lt;=35,"31-35","36+")))</f>
        <v>26-30</v>
      </c>
      <c r="S894" t="str">
        <f t="shared" si="53"/>
        <v>June</v>
      </c>
      <c r="T894" s="2" t="str">
        <f t="shared" si="54"/>
        <v>Q2</v>
      </c>
      <c r="U894" s="2">
        <f t="shared" si="55"/>
        <v>2025</v>
      </c>
    </row>
    <row r="895" spans="1:21" x14ac:dyDescent="0.3">
      <c r="A895" t="s">
        <v>6140</v>
      </c>
      <c r="B895" t="s">
        <v>4803</v>
      </c>
      <c r="C895" t="s">
        <v>5067</v>
      </c>
      <c r="D895" t="s">
        <v>4372</v>
      </c>
      <c r="E895">
        <v>32</v>
      </c>
      <c r="F895" t="s">
        <v>6141</v>
      </c>
      <c r="G895">
        <v>9226526889</v>
      </c>
      <c r="H895" t="s">
        <v>4491</v>
      </c>
      <c r="I895" t="s">
        <v>4491</v>
      </c>
      <c r="J895" t="s">
        <v>4367</v>
      </c>
      <c r="K895">
        <v>3.8</v>
      </c>
      <c r="L895">
        <v>10.6</v>
      </c>
      <c r="M895">
        <v>13.5</v>
      </c>
      <c r="N895" t="s">
        <v>4494</v>
      </c>
      <c r="O895" t="s">
        <v>4485</v>
      </c>
      <c r="P895" s="1">
        <v>45897</v>
      </c>
      <c r="Q895" t="str">
        <f t="shared" si="52"/>
        <v>10+ Years</v>
      </c>
      <c r="R895" t="str">
        <f>IF(Table7[[#This Row],[Age]]&lt;=25,"20-25",IF(Table7[[#This Row],[Age]]&lt;=30,"26-30",IF(Table7[[#This Row],[Age]]&lt;=35,"31-35","36+")))</f>
        <v>31-35</v>
      </c>
      <c r="S895" t="str">
        <f t="shared" si="53"/>
        <v>August</v>
      </c>
      <c r="T895" s="2" t="str">
        <f t="shared" si="54"/>
        <v>Q3</v>
      </c>
      <c r="U895" s="2">
        <f t="shared" si="55"/>
        <v>2025</v>
      </c>
    </row>
    <row r="896" spans="1:21" x14ac:dyDescent="0.3">
      <c r="A896" t="s">
        <v>2502</v>
      </c>
      <c r="B896" t="s">
        <v>4793</v>
      </c>
      <c r="C896" t="s">
        <v>4705</v>
      </c>
      <c r="D896" t="s">
        <v>4372</v>
      </c>
      <c r="E896">
        <v>38</v>
      </c>
      <c r="F896" t="s">
        <v>6142</v>
      </c>
      <c r="G896">
        <v>9722393471</v>
      </c>
      <c r="H896" t="s">
        <v>4410</v>
      </c>
      <c r="I896" t="s">
        <v>4411</v>
      </c>
      <c r="J896" t="s">
        <v>4376</v>
      </c>
      <c r="K896">
        <v>0.2</v>
      </c>
      <c r="L896">
        <v>11.4</v>
      </c>
      <c r="M896">
        <v>13.5</v>
      </c>
      <c r="N896" t="s">
        <v>4494</v>
      </c>
      <c r="O896" t="s">
        <v>4485</v>
      </c>
      <c r="P896" s="1">
        <v>45722</v>
      </c>
      <c r="Q896" t="str">
        <f t="shared" si="52"/>
        <v>10+ Years</v>
      </c>
      <c r="R896" t="str">
        <f>IF(Table7[[#This Row],[Age]]&lt;=25,"20-25",IF(Table7[[#This Row],[Age]]&lt;=30,"26-30",IF(Table7[[#This Row],[Age]]&lt;=35,"31-35","36+")))</f>
        <v>36+</v>
      </c>
      <c r="S896" t="str">
        <f t="shared" si="53"/>
        <v>March</v>
      </c>
      <c r="T896" s="2" t="str">
        <f t="shared" si="54"/>
        <v>Q1</v>
      </c>
      <c r="U896" s="2">
        <f t="shared" si="55"/>
        <v>2025</v>
      </c>
    </row>
    <row r="897" spans="1:21" x14ac:dyDescent="0.3">
      <c r="A897" t="s">
        <v>3672</v>
      </c>
      <c r="B897" t="s">
        <v>4526</v>
      </c>
      <c r="C897" t="s">
        <v>4541</v>
      </c>
      <c r="D897" t="s">
        <v>4372</v>
      </c>
      <c r="E897">
        <v>27</v>
      </c>
      <c r="F897" t="s">
        <v>6143</v>
      </c>
      <c r="G897">
        <v>9544105825</v>
      </c>
      <c r="H897" t="s">
        <v>4476</v>
      </c>
      <c r="I897" t="s">
        <v>4477</v>
      </c>
      <c r="J897" t="s">
        <v>4618</v>
      </c>
      <c r="K897">
        <v>1.7</v>
      </c>
      <c r="L897">
        <v>4.8</v>
      </c>
      <c r="M897">
        <v>5.9</v>
      </c>
      <c r="N897" t="s">
        <v>4390</v>
      </c>
      <c r="O897" t="s">
        <v>4383</v>
      </c>
      <c r="P897" s="1">
        <v>45792</v>
      </c>
      <c r="Q897" t="str">
        <f t="shared" si="52"/>
        <v>10+ Years</v>
      </c>
      <c r="R897" t="str">
        <f>IF(Table7[[#This Row],[Age]]&lt;=25,"20-25",IF(Table7[[#This Row],[Age]]&lt;=30,"26-30",IF(Table7[[#This Row],[Age]]&lt;=35,"31-35","36+")))</f>
        <v>26-30</v>
      </c>
      <c r="S897" t="str">
        <f t="shared" si="53"/>
        <v>May</v>
      </c>
      <c r="T897" s="2" t="str">
        <f t="shared" si="54"/>
        <v>Q2</v>
      </c>
      <c r="U897" s="2">
        <f t="shared" si="55"/>
        <v>2025</v>
      </c>
    </row>
    <row r="898" spans="1:21" x14ac:dyDescent="0.3">
      <c r="A898" t="s">
        <v>3760</v>
      </c>
      <c r="B898" t="s">
        <v>4488</v>
      </c>
      <c r="C898" t="s">
        <v>4693</v>
      </c>
      <c r="D898" t="s">
        <v>4372</v>
      </c>
      <c r="E898">
        <v>33</v>
      </c>
      <c r="F898" t="s">
        <v>6144</v>
      </c>
      <c r="G898">
        <v>9367979136</v>
      </c>
      <c r="H898" t="s">
        <v>4476</v>
      </c>
      <c r="I898" t="s">
        <v>4477</v>
      </c>
      <c r="J898" t="s">
        <v>4389</v>
      </c>
      <c r="K898">
        <v>1.3</v>
      </c>
      <c r="L898">
        <v>4.5</v>
      </c>
      <c r="M898">
        <v>6.3</v>
      </c>
      <c r="N898" t="s">
        <v>4406</v>
      </c>
      <c r="O898" t="s">
        <v>4456</v>
      </c>
      <c r="P898" s="1">
        <v>45665</v>
      </c>
      <c r="Q898" t="str">
        <f t="shared" ref="Q898:Q961" si="56">IF(P898&lt;=2,"0-2 Years",IF(P898&lt;=5,"3-5 Years",IF(P898&lt;=10,"6-10 Years","10+ Years")))</f>
        <v>10+ Years</v>
      </c>
      <c r="R898" t="str">
        <f>IF(Table7[[#This Row],[Age]]&lt;=25,"20-25",IF(Table7[[#This Row],[Age]]&lt;=30,"26-30",IF(Table7[[#This Row],[Age]]&lt;=35,"31-35","36+")))</f>
        <v>31-35</v>
      </c>
      <c r="S898" t="str">
        <f t="shared" ref="S898:S961" si="57">TEXT(P898,"mmmm")</f>
        <v>January</v>
      </c>
      <c r="T898" s="2" t="str">
        <f t="shared" ref="T898:T961" si="58">"Q"&amp;ROUNDUP(MONTH(P898)/3,0)</f>
        <v>Q1</v>
      </c>
      <c r="U898" s="2">
        <f t="shared" ref="U898:U961" si="59">YEAR(P898)</f>
        <v>2025</v>
      </c>
    </row>
    <row r="899" spans="1:21" x14ac:dyDescent="0.3">
      <c r="A899" t="s">
        <v>1593</v>
      </c>
      <c r="B899" t="s">
        <v>6145</v>
      </c>
      <c r="C899" t="s">
        <v>5748</v>
      </c>
      <c r="D899" t="s">
        <v>4363</v>
      </c>
      <c r="E899">
        <v>34</v>
      </c>
      <c r="F899" t="s">
        <v>6146</v>
      </c>
      <c r="G899">
        <v>9126347673</v>
      </c>
      <c r="H899" t="s">
        <v>4473</v>
      </c>
      <c r="I899" t="s">
        <v>4473</v>
      </c>
      <c r="J899" t="s">
        <v>4618</v>
      </c>
      <c r="K899">
        <v>5</v>
      </c>
      <c r="L899">
        <v>11.3</v>
      </c>
      <c r="M899">
        <v>16.3</v>
      </c>
      <c r="N899" t="s">
        <v>4377</v>
      </c>
      <c r="O899" t="s">
        <v>4400</v>
      </c>
      <c r="P899" s="1">
        <v>45840</v>
      </c>
      <c r="Q899" t="str">
        <f t="shared" si="56"/>
        <v>10+ Years</v>
      </c>
      <c r="R899" t="str">
        <f>IF(Table7[[#This Row],[Age]]&lt;=25,"20-25",IF(Table7[[#This Row],[Age]]&lt;=30,"26-30",IF(Table7[[#This Row],[Age]]&lt;=35,"31-35","36+")))</f>
        <v>31-35</v>
      </c>
      <c r="S899" t="str">
        <f t="shared" si="57"/>
        <v>July</v>
      </c>
      <c r="T899" s="2" t="str">
        <f t="shared" si="58"/>
        <v>Q3</v>
      </c>
      <c r="U899" s="2">
        <f t="shared" si="59"/>
        <v>2025</v>
      </c>
    </row>
    <row r="900" spans="1:21" x14ac:dyDescent="0.3">
      <c r="A900" t="s">
        <v>2212</v>
      </c>
      <c r="B900" t="s">
        <v>4727</v>
      </c>
      <c r="C900" t="s">
        <v>4757</v>
      </c>
      <c r="D900" t="s">
        <v>4720</v>
      </c>
      <c r="E900">
        <v>33</v>
      </c>
      <c r="F900" t="s">
        <v>6147</v>
      </c>
      <c r="G900">
        <v>9781644601</v>
      </c>
      <c r="H900" t="s">
        <v>4404</v>
      </c>
      <c r="I900" t="s">
        <v>4405</v>
      </c>
      <c r="J900" t="s">
        <v>4376</v>
      </c>
      <c r="K900">
        <v>4</v>
      </c>
      <c r="L900">
        <v>10.1</v>
      </c>
      <c r="M900">
        <v>12.8</v>
      </c>
      <c r="N900" t="s">
        <v>4390</v>
      </c>
      <c r="O900" t="s">
        <v>4369</v>
      </c>
      <c r="P900" s="1">
        <v>46002</v>
      </c>
      <c r="Q900" t="str">
        <f t="shared" si="56"/>
        <v>10+ Years</v>
      </c>
      <c r="R900" t="str">
        <f>IF(Table7[[#This Row],[Age]]&lt;=25,"20-25",IF(Table7[[#This Row],[Age]]&lt;=30,"26-30",IF(Table7[[#This Row],[Age]]&lt;=35,"31-35","36+")))</f>
        <v>31-35</v>
      </c>
      <c r="S900" t="str">
        <f t="shared" si="57"/>
        <v>December</v>
      </c>
      <c r="T900" s="2" t="str">
        <f t="shared" si="58"/>
        <v>Q4</v>
      </c>
      <c r="U900" s="2">
        <f t="shared" si="59"/>
        <v>2025</v>
      </c>
    </row>
    <row r="901" spans="1:21" x14ac:dyDescent="0.3">
      <c r="A901" t="s">
        <v>3592</v>
      </c>
      <c r="B901" t="s">
        <v>4763</v>
      </c>
      <c r="C901" t="s">
        <v>4417</v>
      </c>
      <c r="D901" t="s">
        <v>4363</v>
      </c>
      <c r="E901">
        <v>21</v>
      </c>
      <c r="F901" t="s">
        <v>6148</v>
      </c>
      <c r="G901">
        <v>9435787012</v>
      </c>
      <c r="H901" t="s">
        <v>4521</v>
      </c>
      <c r="I901" t="s">
        <v>4522</v>
      </c>
      <c r="J901" t="s">
        <v>4432</v>
      </c>
      <c r="K901">
        <v>1.6</v>
      </c>
      <c r="L901">
        <v>8.9</v>
      </c>
      <c r="M901">
        <v>12.7</v>
      </c>
      <c r="N901" t="s">
        <v>4390</v>
      </c>
      <c r="O901" t="s">
        <v>4369</v>
      </c>
      <c r="P901" s="1">
        <v>45832</v>
      </c>
      <c r="Q901" t="str">
        <f t="shared" si="56"/>
        <v>10+ Years</v>
      </c>
      <c r="R901" t="str">
        <f>IF(Table7[[#This Row],[Age]]&lt;=25,"20-25",IF(Table7[[#This Row],[Age]]&lt;=30,"26-30",IF(Table7[[#This Row],[Age]]&lt;=35,"31-35","36+")))</f>
        <v>20-25</v>
      </c>
      <c r="S901" t="str">
        <f t="shared" si="57"/>
        <v>June</v>
      </c>
      <c r="T901" s="2" t="str">
        <f t="shared" si="58"/>
        <v>Q2</v>
      </c>
      <c r="U901" s="2">
        <f t="shared" si="59"/>
        <v>2025</v>
      </c>
    </row>
    <row r="902" spans="1:21" x14ac:dyDescent="0.3">
      <c r="A902" t="s">
        <v>2131</v>
      </c>
      <c r="B902" t="s">
        <v>5551</v>
      </c>
      <c r="C902" t="s">
        <v>5949</v>
      </c>
      <c r="D902" t="s">
        <v>4363</v>
      </c>
      <c r="E902">
        <v>29</v>
      </c>
      <c r="F902" t="s">
        <v>6149</v>
      </c>
      <c r="G902">
        <v>9172596370</v>
      </c>
      <c r="H902" t="s">
        <v>4473</v>
      </c>
      <c r="I902" t="s">
        <v>4473</v>
      </c>
      <c r="J902" t="s">
        <v>4618</v>
      </c>
      <c r="K902">
        <v>13.1</v>
      </c>
      <c r="L902">
        <v>26.3</v>
      </c>
      <c r="M902">
        <v>37.299999999999997</v>
      </c>
      <c r="N902" t="s">
        <v>4377</v>
      </c>
      <c r="O902" t="s">
        <v>4369</v>
      </c>
      <c r="P902" s="1">
        <v>45871</v>
      </c>
      <c r="Q902" t="str">
        <f t="shared" si="56"/>
        <v>10+ Years</v>
      </c>
      <c r="R902" t="str">
        <f>IF(Table7[[#This Row],[Age]]&lt;=25,"20-25",IF(Table7[[#This Row],[Age]]&lt;=30,"26-30",IF(Table7[[#This Row],[Age]]&lt;=35,"31-35","36+")))</f>
        <v>26-30</v>
      </c>
      <c r="S902" t="str">
        <f t="shared" si="57"/>
        <v>August</v>
      </c>
      <c r="T902" s="2" t="str">
        <f t="shared" si="58"/>
        <v>Q3</v>
      </c>
      <c r="U902" s="2">
        <f t="shared" si="59"/>
        <v>2025</v>
      </c>
    </row>
    <row r="903" spans="1:21" x14ac:dyDescent="0.3">
      <c r="A903" t="s">
        <v>2610</v>
      </c>
      <c r="B903" t="s">
        <v>5198</v>
      </c>
      <c r="C903" t="s">
        <v>4772</v>
      </c>
      <c r="D903" t="s">
        <v>4363</v>
      </c>
      <c r="E903">
        <v>25</v>
      </c>
      <c r="F903" t="s">
        <v>6150</v>
      </c>
      <c r="G903">
        <v>9614928360</v>
      </c>
      <c r="H903" t="s">
        <v>4473</v>
      </c>
      <c r="I903" t="s">
        <v>4473</v>
      </c>
      <c r="J903" t="s">
        <v>4446</v>
      </c>
      <c r="K903">
        <v>6</v>
      </c>
      <c r="M903">
        <v>17.7</v>
      </c>
      <c r="N903" t="s">
        <v>4377</v>
      </c>
      <c r="O903" t="s">
        <v>4369</v>
      </c>
      <c r="P903" s="1">
        <v>45857</v>
      </c>
      <c r="Q903" t="str">
        <f t="shared" si="56"/>
        <v>10+ Years</v>
      </c>
      <c r="R903" t="str">
        <f>IF(Table7[[#This Row],[Age]]&lt;=25,"20-25",IF(Table7[[#This Row],[Age]]&lt;=30,"26-30",IF(Table7[[#This Row],[Age]]&lt;=35,"31-35","36+")))</f>
        <v>20-25</v>
      </c>
      <c r="S903" t="str">
        <f t="shared" si="57"/>
        <v>July</v>
      </c>
      <c r="T903" s="2" t="str">
        <f t="shared" si="58"/>
        <v>Q3</v>
      </c>
      <c r="U903" s="2">
        <f t="shared" si="59"/>
        <v>2025</v>
      </c>
    </row>
    <row r="904" spans="1:21" x14ac:dyDescent="0.3">
      <c r="A904" t="s">
        <v>3386</v>
      </c>
      <c r="B904" t="s">
        <v>4715</v>
      </c>
      <c r="C904" t="s">
        <v>4775</v>
      </c>
      <c r="D904" t="s">
        <v>4372</v>
      </c>
      <c r="E904">
        <v>28</v>
      </c>
      <c r="F904" t="s">
        <v>6151</v>
      </c>
      <c r="G904">
        <v>9990358322</v>
      </c>
      <c r="H904" t="s">
        <v>4395</v>
      </c>
      <c r="I904" t="s">
        <v>4396</v>
      </c>
      <c r="J904" t="s">
        <v>4415</v>
      </c>
      <c r="K904">
        <v>1.4</v>
      </c>
      <c r="L904">
        <v>6.5</v>
      </c>
      <c r="M904">
        <v>7.8</v>
      </c>
      <c r="N904" t="s">
        <v>4377</v>
      </c>
      <c r="O904" t="s">
        <v>4369</v>
      </c>
      <c r="P904" s="1">
        <v>45824</v>
      </c>
      <c r="Q904" t="str">
        <f t="shared" si="56"/>
        <v>10+ Years</v>
      </c>
      <c r="R904" t="str">
        <f>IF(Table7[[#This Row],[Age]]&lt;=25,"20-25",IF(Table7[[#This Row],[Age]]&lt;=30,"26-30",IF(Table7[[#This Row],[Age]]&lt;=35,"31-35","36+")))</f>
        <v>26-30</v>
      </c>
      <c r="S904" t="str">
        <f t="shared" si="57"/>
        <v>June</v>
      </c>
      <c r="T904" s="2" t="str">
        <f t="shared" si="58"/>
        <v>Q2</v>
      </c>
      <c r="U904" s="2">
        <f t="shared" si="59"/>
        <v>2025</v>
      </c>
    </row>
    <row r="905" spans="1:21" x14ac:dyDescent="0.3">
      <c r="A905" t="s">
        <v>1841</v>
      </c>
      <c r="B905" t="s">
        <v>5640</v>
      </c>
      <c r="C905" t="s">
        <v>5032</v>
      </c>
      <c r="D905" t="s">
        <v>4363</v>
      </c>
      <c r="E905">
        <v>21</v>
      </c>
      <c r="F905" t="s">
        <v>6152</v>
      </c>
      <c r="G905">
        <v>9657317997</v>
      </c>
      <c r="H905" t="s">
        <v>4381</v>
      </c>
      <c r="I905" t="s">
        <v>4382</v>
      </c>
      <c r="J905" t="s">
        <v>4389</v>
      </c>
      <c r="K905">
        <v>4.5</v>
      </c>
      <c r="M905">
        <v>15.8</v>
      </c>
      <c r="N905" t="s">
        <v>4390</v>
      </c>
      <c r="O905" t="s">
        <v>4369</v>
      </c>
      <c r="P905" s="1">
        <v>45929</v>
      </c>
      <c r="Q905" t="str">
        <f t="shared" si="56"/>
        <v>10+ Years</v>
      </c>
      <c r="R905" t="str">
        <f>IF(Table7[[#This Row],[Age]]&lt;=25,"20-25",IF(Table7[[#This Row],[Age]]&lt;=30,"26-30",IF(Table7[[#This Row],[Age]]&lt;=35,"31-35","36+")))</f>
        <v>20-25</v>
      </c>
      <c r="S905" t="str">
        <f t="shared" si="57"/>
        <v>September</v>
      </c>
      <c r="T905" s="2" t="str">
        <f t="shared" si="58"/>
        <v>Q3</v>
      </c>
      <c r="U905" s="2">
        <f t="shared" si="59"/>
        <v>2025</v>
      </c>
    </row>
    <row r="906" spans="1:21" x14ac:dyDescent="0.3">
      <c r="A906" t="s">
        <v>219</v>
      </c>
      <c r="B906" t="s">
        <v>4461</v>
      </c>
      <c r="C906" t="s">
        <v>5113</v>
      </c>
      <c r="D906" t="s">
        <v>4363</v>
      </c>
      <c r="E906">
        <v>33</v>
      </c>
      <c r="F906" t="s">
        <v>6153</v>
      </c>
      <c r="G906">
        <v>9108550519</v>
      </c>
      <c r="H906" t="s">
        <v>4445</v>
      </c>
      <c r="I906" t="s">
        <v>4396</v>
      </c>
      <c r="J906" t="s">
        <v>4367</v>
      </c>
      <c r="K906">
        <v>3</v>
      </c>
      <c r="L906">
        <v>6.1</v>
      </c>
      <c r="M906">
        <v>7.3</v>
      </c>
      <c r="N906" t="s">
        <v>4368</v>
      </c>
      <c r="O906" t="s">
        <v>4419</v>
      </c>
      <c r="P906" s="1">
        <v>45858</v>
      </c>
      <c r="Q906" t="str">
        <f t="shared" si="56"/>
        <v>10+ Years</v>
      </c>
      <c r="R906" t="str">
        <f>IF(Table7[[#This Row],[Age]]&lt;=25,"20-25",IF(Table7[[#This Row],[Age]]&lt;=30,"26-30",IF(Table7[[#This Row],[Age]]&lt;=35,"31-35","36+")))</f>
        <v>31-35</v>
      </c>
      <c r="S906" t="str">
        <f t="shared" si="57"/>
        <v>July</v>
      </c>
      <c r="T906" s="2" t="str">
        <f t="shared" si="58"/>
        <v>Q3</v>
      </c>
      <c r="U906" s="2">
        <f t="shared" si="59"/>
        <v>2025</v>
      </c>
    </row>
    <row r="907" spans="1:21" x14ac:dyDescent="0.3">
      <c r="A907" t="s">
        <v>3362</v>
      </c>
      <c r="B907" t="s">
        <v>4534</v>
      </c>
      <c r="C907" t="s">
        <v>5919</v>
      </c>
      <c r="D907" t="s">
        <v>4720</v>
      </c>
      <c r="E907">
        <v>26</v>
      </c>
      <c r="F907" t="s">
        <v>6154</v>
      </c>
      <c r="G907">
        <v>9471293087</v>
      </c>
      <c r="H907" t="s">
        <v>4381</v>
      </c>
      <c r="I907" t="s">
        <v>4382</v>
      </c>
      <c r="J907" t="s">
        <v>4389</v>
      </c>
      <c r="K907">
        <v>0.3</v>
      </c>
      <c r="L907">
        <v>4.5</v>
      </c>
      <c r="M907">
        <v>5.8</v>
      </c>
      <c r="N907" t="s">
        <v>4377</v>
      </c>
      <c r="O907" t="s">
        <v>4369</v>
      </c>
      <c r="P907" s="1">
        <v>45813</v>
      </c>
      <c r="Q907" t="str">
        <f t="shared" si="56"/>
        <v>10+ Years</v>
      </c>
      <c r="R907" t="str">
        <f>IF(Table7[[#This Row],[Age]]&lt;=25,"20-25",IF(Table7[[#This Row],[Age]]&lt;=30,"26-30",IF(Table7[[#This Row],[Age]]&lt;=35,"31-35","36+")))</f>
        <v>26-30</v>
      </c>
      <c r="S907" t="str">
        <f t="shared" si="57"/>
        <v>June</v>
      </c>
      <c r="T907" s="2" t="str">
        <f t="shared" si="58"/>
        <v>Q2</v>
      </c>
      <c r="U907" s="2">
        <f t="shared" si="59"/>
        <v>2025</v>
      </c>
    </row>
    <row r="908" spans="1:21" x14ac:dyDescent="0.3">
      <c r="A908" t="s">
        <v>3859</v>
      </c>
      <c r="B908" t="s">
        <v>4634</v>
      </c>
      <c r="C908" t="s">
        <v>4769</v>
      </c>
      <c r="D908" t="s">
        <v>4372</v>
      </c>
      <c r="E908">
        <v>31</v>
      </c>
      <c r="F908" t="s">
        <v>6155</v>
      </c>
      <c r="G908">
        <v>9317431757</v>
      </c>
      <c r="H908" t="s">
        <v>4476</v>
      </c>
      <c r="I908" t="s">
        <v>4477</v>
      </c>
      <c r="J908" t="s">
        <v>4608</v>
      </c>
      <c r="K908">
        <v>5.4</v>
      </c>
      <c r="L908">
        <v>12.4</v>
      </c>
      <c r="M908">
        <v>14.7</v>
      </c>
      <c r="N908" t="s">
        <v>4390</v>
      </c>
      <c r="O908" t="s">
        <v>4485</v>
      </c>
      <c r="P908" s="1">
        <v>45776</v>
      </c>
      <c r="Q908" t="str">
        <f t="shared" si="56"/>
        <v>10+ Years</v>
      </c>
      <c r="R908" t="str">
        <f>IF(Table7[[#This Row],[Age]]&lt;=25,"20-25",IF(Table7[[#This Row],[Age]]&lt;=30,"26-30",IF(Table7[[#This Row],[Age]]&lt;=35,"31-35","36+")))</f>
        <v>31-35</v>
      </c>
      <c r="S908" t="str">
        <f t="shared" si="57"/>
        <v>April</v>
      </c>
      <c r="T908" s="2" t="str">
        <f t="shared" si="58"/>
        <v>Q2</v>
      </c>
      <c r="U908" s="2">
        <f t="shared" si="59"/>
        <v>2025</v>
      </c>
    </row>
    <row r="909" spans="1:21" x14ac:dyDescent="0.3">
      <c r="A909" t="s">
        <v>130</v>
      </c>
      <c r="B909" t="s">
        <v>6038</v>
      </c>
      <c r="C909" t="s">
        <v>4554</v>
      </c>
      <c r="D909" t="s">
        <v>4372</v>
      </c>
      <c r="E909">
        <v>31</v>
      </c>
      <c r="F909" t="s">
        <v>6156</v>
      </c>
      <c r="G909">
        <v>9891560438</v>
      </c>
      <c r="H909" t="s">
        <v>4381</v>
      </c>
      <c r="I909" t="s">
        <v>4382</v>
      </c>
      <c r="J909" t="s">
        <v>4376</v>
      </c>
      <c r="K909">
        <v>2.9</v>
      </c>
      <c r="L909">
        <v>12.7</v>
      </c>
      <c r="M909">
        <v>15.9</v>
      </c>
      <c r="N909" t="s">
        <v>4390</v>
      </c>
      <c r="O909" t="s">
        <v>4369</v>
      </c>
      <c r="P909" s="1">
        <v>45707</v>
      </c>
      <c r="Q909" t="str">
        <f t="shared" si="56"/>
        <v>10+ Years</v>
      </c>
      <c r="R909" t="str">
        <f>IF(Table7[[#This Row],[Age]]&lt;=25,"20-25",IF(Table7[[#This Row],[Age]]&lt;=30,"26-30",IF(Table7[[#This Row],[Age]]&lt;=35,"31-35","36+")))</f>
        <v>31-35</v>
      </c>
      <c r="S909" t="str">
        <f t="shared" si="57"/>
        <v>February</v>
      </c>
      <c r="T909" s="2" t="str">
        <f t="shared" si="58"/>
        <v>Q1</v>
      </c>
      <c r="U909" s="2">
        <f t="shared" si="59"/>
        <v>2025</v>
      </c>
    </row>
    <row r="910" spans="1:21" x14ac:dyDescent="0.3">
      <c r="A910" t="s">
        <v>2622</v>
      </c>
      <c r="B910" t="s">
        <v>4924</v>
      </c>
      <c r="C910" t="s">
        <v>4781</v>
      </c>
      <c r="D910" t="s">
        <v>4372</v>
      </c>
      <c r="E910">
        <v>36</v>
      </c>
      <c r="F910" t="s">
        <v>6157</v>
      </c>
      <c r="G910">
        <v>9232412809</v>
      </c>
      <c r="H910" t="s">
        <v>4491</v>
      </c>
      <c r="I910" t="s">
        <v>4491</v>
      </c>
      <c r="J910" t="s">
        <v>4367</v>
      </c>
      <c r="K910">
        <v>2</v>
      </c>
      <c r="L910">
        <v>7.5</v>
      </c>
      <c r="M910">
        <v>10.199999999999999</v>
      </c>
      <c r="N910" t="s">
        <v>4390</v>
      </c>
      <c r="O910" t="s">
        <v>4383</v>
      </c>
      <c r="P910" s="1">
        <v>45763</v>
      </c>
      <c r="Q910" t="str">
        <f t="shared" si="56"/>
        <v>10+ Years</v>
      </c>
      <c r="R910" t="str">
        <f>IF(Table7[[#This Row],[Age]]&lt;=25,"20-25",IF(Table7[[#This Row],[Age]]&lt;=30,"26-30",IF(Table7[[#This Row],[Age]]&lt;=35,"31-35","36+")))</f>
        <v>36+</v>
      </c>
      <c r="S910" t="str">
        <f t="shared" si="57"/>
        <v>April</v>
      </c>
      <c r="T910" s="2" t="str">
        <f t="shared" si="58"/>
        <v>Q2</v>
      </c>
      <c r="U910" s="2">
        <f t="shared" si="59"/>
        <v>2025</v>
      </c>
    </row>
    <row r="911" spans="1:21" x14ac:dyDescent="0.3">
      <c r="A911" t="s">
        <v>1851</v>
      </c>
      <c r="B911" t="s">
        <v>5019</v>
      </c>
      <c r="C911" t="s">
        <v>4591</v>
      </c>
      <c r="D911" t="s">
        <v>4372</v>
      </c>
      <c r="E911">
        <v>32</v>
      </c>
      <c r="F911" t="s">
        <v>6158</v>
      </c>
      <c r="G911">
        <v>9986735611</v>
      </c>
      <c r="H911" t="s">
        <v>4387</v>
      </c>
      <c r="I911" t="s">
        <v>4388</v>
      </c>
      <c r="J911" t="s">
        <v>4376</v>
      </c>
      <c r="K911">
        <v>6.1</v>
      </c>
      <c r="L911">
        <v>18.3</v>
      </c>
      <c r="M911">
        <v>21.9</v>
      </c>
      <c r="N911" t="s">
        <v>4390</v>
      </c>
      <c r="O911" t="s">
        <v>4391</v>
      </c>
      <c r="P911" s="1">
        <v>45795</v>
      </c>
      <c r="Q911" t="str">
        <f t="shared" si="56"/>
        <v>10+ Years</v>
      </c>
      <c r="R911" t="str">
        <f>IF(Table7[[#This Row],[Age]]&lt;=25,"20-25",IF(Table7[[#This Row],[Age]]&lt;=30,"26-30",IF(Table7[[#This Row],[Age]]&lt;=35,"31-35","36+")))</f>
        <v>31-35</v>
      </c>
      <c r="S911" t="str">
        <f t="shared" si="57"/>
        <v>May</v>
      </c>
      <c r="T911" s="2" t="str">
        <f t="shared" si="58"/>
        <v>Q2</v>
      </c>
      <c r="U911" s="2">
        <f t="shared" si="59"/>
        <v>2025</v>
      </c>
    </row>
    <row r="912" spans="1:21" x14ac:dyDescent="0.3">
      <c r="A912" t="s">
        <v>3862</v>
      </c>
      <c r="B912" t="s">
        <v>5134</v>
      </c>
      <c r="C912" t="s">
        <v>5424</v>
      </c>
      <c r="D912" t="s">
        <v>4372</v>
      </c>
      <c r="E912">
        <v>35</v>
      </c>
      <c r="F912" t="s">
        <v>6159</v>
      </c>
      <c r="G912">
        <v>9464513229</v>
      </c>
      <c r="H912" t="s">
        <v>4395</v>
      </c>
      <c r="I912" t="s">
        <v>4396</v>
      </c>
      <c r="J912" t="s">
        <v>4415</v>
      </c>
      <c r="K912">
        <v>3.7</v>
      </c>
      <c r="L912">
        <v>7</v>
      </c>
      <c r="M912">
        <v>10.1</v>
      </c>
      <c r="N912" t="s">
        <v>4390</v>
      </c>
      <c r="O912" t="s">
        <v>4419</v>
      </c>
      <c r="P912" s="1">
        <v>45896</v>
      </c>
      <c r="Q912" t="str">
        <f t="shared" si="56"/>
        <v>10+ Years</v>
      </c>
      <c r="R912" t="str">
        <f>IF(Table7[[#This Row],[Age]]&lt;=25,"20-25",IF(Table7[[#This Row],[Age]]&lt;=30,"26-30",IF(Table7[[#This Row],[Age]]&lt;=35,"31-35","36+")))</f>
        <v>31-35</v>
      </c>
      <c r="S912" t="str">
        <f t="shared" si="57"/>
        <v>August</v>
      </c>
      <c r="T912" s="2" t="str">
        <f t="shared" si="58"/>
        <v>Q3</v>
      </c>
      <c r="U912" s="2">
        <f t="shared" si="59"/>
        <v>2025</v>
      </c>
    </row>
    <row r="913" spans="1:21" x14ac:dyDescent="0.3">
      <c r="A913" t="s">
        <v>1559</v>
      </c>
      <c r="B913" t="s">
        <v>6160</v>
      </c>
      <c r="C913" t="s">
        <v>5157</v>
      </c>
      <c r="D913" t="s">
        <v>4372</v>
      </c>
      <c r="E913">
        <v>31</v>
      </c>
      <c r="F913" t="s">
        <v>6161</v>
      </c>
      <c r="G913">
        <v>9334020791</v>
      </c>
      <c r="H913" t="s">
        <v>4374</v>
      </c>
      <c r="I913" t="s">
        <v>4375</v>
      </c>
      <c r="J913" t="s">
        <v>4432</v>
      </c>
      <c r="K913">
        <v>3.9</v>
      </c>
      <c r="L913">
        <v>15.4</v>
      </c>
      <c r="M913">
        <v>18.8</v>
      </c>
      <c r="O913" t="s">
        <v>4456</v>
      </c>
      <c r="P913" s="1">
        <v>45954</v>
      </c>
      <c r="Q913" t="str">
        <f t="shared" si="56"/>
        <v>10+ Years</v>
      </c>
      <c r="R913" t="str">
        <f>IF(Table7[[#This Row],[Age]]&lt;=25,"20-25",IF(Table7[[#This Row],[Age]]&lt;=30,"26-30",IF(Table7[[#This Row],[Age]]&lt;=35,"31-35","36+")))</f>
        <v>31-35</v>
      </c>
      <c r="S913" t="str">
        <f t="shared" si="57"/>
        <v>October</v>
      </c>
      <c r="T913" s="2" t="str">
        <f t="shared" si="58"/>
        <v>Q4</v>
      </c>
      <c r="U913" s="2">
        <f t="shared" si="59"/>
        <v>2025</v>
      </c>
    </row>
    <row r="914" spans="1:21" x14ac:dyDescent="0.3">
      <c r="A914" t="s">
        <v>2718</v>
      </c>
      <c r="B914" t="s">
        <v>4426</v>
      </c>
      <c r="C914" t="s">
        <v>6162</v>
      </c>
      <c r="D914" t="s">
        <v>4363</v>
      </c>
      <c r="E914">
        <v>30</v>
      </c>
      <c r="F914" t="s">
        <v>6163</v>
      </c>
      <c r="G914">
        <v>9493405170</v>
      </c>
      <c r="H914" t="s">
        <v>4395</v>
      </c>
      <c r="I914" t="s">
        <v>4396</v>
      </c>
      <c r="J914" t="s">
        <v>4367</v>
      </c>
      <c r="K914">
        <v>20</v>
      </c>
      <c r="L914">
        <v>27.8</v>
      </c>
      <c r="M914">
        <v>40.1</v>
      </c>
      <c r="N914" t="s">
        <v>4377</v>
      </c>
      <c r="O914" t="s">
        <v>4369</v>
      </c>
      <c r="P914" s="1">
        <v>45715</v>
      </c>
      <c r="Q914" t="str">
        <f t="shared" si="56"/>
        <v>10+ Years</v>
      </c>
      <c r="R914" t="str">
        <f>IF(Table7[[#This Row],[Age]]&lt;=25,"20-25",IF(Table7[[#This Row],[Age]]&lt;=30,"26-30",IF(Table7[[#This Row],[Age]]&lt;=35,"31-35","36+")))</f>
        <v>26-30</v>
      </c>
      <c r="S914" t="str">
        <f t="shared" si="57"/>
        <v>February</v>
      </c>
      <c r="T914" s="2" t="str">
        <f t="shared" si="58"/>
        <v>Q1</v>
      </c>
      <c r="U914" s="2">
        <f t="shared" si="59"/>
        <v>2025</v>
      </c>
    </row>
    <row r="915" spans="1:21" x14ac:dyDescent="0.3">
      <c r="A915" t="s">
        <v>2494</v>
      </c>
      <c r="B915" t="s">
        <v>4763</v>
      </c>
      <c r="C915" t="s">
        <v>6164</v>
      </c>
      <c r="D915" t="s">
        <v>4720</v>
      </c>
      <c r="E915">
        <v>30</v>
      </c>
      <c r="F915" t="s">
        <v>6165</v>
      </c>
      <c r="G915">
        <v>9806560056</v>
      </c>
      <c r="H915" t="s">
        <v>4395</v>
      </c>
      <c r="I915" t="s">
        <v>4396</v>
      </c>
      <c r="J915" t="s">
        <v>4367</v>
      </c>
      <c r="K915">
        <v>3</v>
      </c>
      <c r="L915">
        <v>13.2</v>
      </c>
      <c r="M915">
        <v>14.9</v>
      </c>
      <c r="N915" t="s">
        <v>4390</v>
      </c>
      <c r="O915" t="s">
        <v>4369</v>
      </c>
      <c r="P915" s="1">
        <v>45790</v>
      </c>
      <c r="Q915" t="str">
        <f t="shared" si="56"/>
        <v>10+ Years</v>
      </c>
      <c r="R915" t="str">
        <f>IF(Table7[[#This Row],[Age]]&lt;=25,"20-25",IF(Table7[[#This Row],[Age]]&lt;=30,"26-30",IF(Table7[[#This Row],[Age]]&lt;=35,"31-35","36+")))</f>
        <v>26-30</v>
      </c>
      <c r="S915" t="str">
        <f t="shared" si="57"/>
        <v>May</v>
      </c>
      <c r="T915" s="2" t="str">
        <f t="shared" si="58"/>
        <v>Q2</v>
      </c>
      <c r="U915" s="2">
        <f t="shared" si="59"/>
        <v>2025</v>
      </c>
    </row>
    <row r="916" spans="1:21" x14ac:dyDescent="0.3">
      <c r="A916" t="s">
        <v>402</v>
      </c>
      <c r="B916" t="s">
        <v>4998</v>
      </c>
      <c r="C916" t="s">
        <v>5619</v>
      </c>
      <c r="D916" t="s">
        <v>4372</v>
      </c>
      <c r="E916">
        <v>33</v>
      </c>
      <c r="F916" t="s">
        <v>6166</v>
      </c>
      <c r="G916">
        <v>9619343445</v>
      </c>
      <c r="H916" t="s">
        <v>4410</v>
      </c>
      <c r="I916" t="s">
        <v>4411</v>
      </c>
      <c r="J916" t="s">
        <v>4446</v>
      </c>
      <c r="K916">
        <v>3.7</v>
      </c>
      <c r="L916">
        <v>10.8</v>
      </c>
      <c r="M916">
        <v>14.5</v>
      </c>
      <c r="N916" t="s">
        <v>4377</v>
      </c>
      <c r="O916" t="s">
        <v>4369</v>
      </c>
      <c r="P916" s="1">
        <v>45792</v>
      </c>
      <c r="Q916" t="str">
        <f t="shared" si="56"/>
        <v>10+ Years</v>
      </c>
      <c r="R916" t="str">
        <f>IF(Table7[[#This Row],[Age]]&lt;=25,"20-25",IF(Table7[[#This Row],[Age]]&lt;=30,"26-30",IF(Table7[[#This Row],[Age]]&lt;=35,"31-35","36+")))</f>
        <v>31-35</v>
      </c>
      <c r="S916" t="str">
        <f t="shared" si="57"/>
        <v>May</v>
      </c>
      <c r="T916" s="2" t="str">
        <f t="shared" si="58"/>
        <v>Q2</v>
      </c>
      <c r="U916" s="2">
        <f t="shared" si="59"/>
        <v>2025</v>
      </c>
    </row>
    <row r="917" spans="1:21" x14ac:dyDescent="0.3">
      <c r="A917" t="s">
        <v>323</v>
      </c>
      <c r="B917" t="s">
        <v>4622</v>
      </c>
      <c r="C917" t="s">
        <v>5154</v>
      </c>
      <c r="D917" t="s">
        <v>4372</v>
      </c>
      <c r="E917">
        <v>36</v>
      </c>
      <c r="F917" t="s">
        <v>6167</v>
      </c>
      <c r="G917">
        <v>9257770089</v>
      </c>
      <c r="H917" t="s">
        <v>4410</v>
      </c>
      <c r="I917" t="s">
        <v>4411</v>
      </c>
      <c r="J917" t="s">
        <v>4415</v>
      </c>
      <c r="K917">
        <v>1.4</v>
      </c>
      <c r="L917">
        <v>5.4</v>
      </c>
      <c r="M917">
        <v>6.6</v>
      </c>
      <c r="O917" t="s">
        <v>4456</v>
      </c>
      <c r="P917" s="1">
        <v>45990</v>
      </c>
      <c r="Q917" t="str">
        <f t="shared" si="56"/>
        <v>10+ Years</v>
      </c>
      <c r="R917" t="str">
        <f>IF(Table7[[#This Row],[Age]]&lt;=25,"20-25",IF(Table7[[#This Row],[Age]]&lt;=30,"26-30",IF(Table7[[#This Row],[Age]]&lt;=35,"31-35","36+")))</f>
        <v>36+</v>
      </c>
      <c r="S917" t="str">
        <f t="shared" si="57"/>
        <v>November</v>
      </c>
      <c r="T917" s="2" t="str">
        <f t="shared" si="58"/>
        <v>Q4</v>
      </c>
      <c r="U917" s="2">
        <f t="shared" si="59"/>
        <v>2025</v>
      </c>
    </row>
    <row r="918" spans="1:21" x14ac:dyDescent="0.3">
      <c r="A918" t="s">
        <v>1792</v>
      </c>
      <c r="B918" t="s">
        <v>4612</v>
      </c>
      <c r="C918" t="s">
        <v>4938</v>
      </c>
      <c r="D918" t="s">
        <v>4372</v>
      </c>
      <c r="E918">
        <v>26</v>
      </c>
      <c r="F918" t="s">
        <v>6168</v>
      </c>
      <c r="G918">
        <v>9590945094</v>
      </c>
      <c r="H918" t="s">
        <v>4395</v>
      </c>
      <c r="I918" t="s">
        <v>4396</v>
      </c>
      <c r="J918" t="s">
        <v>4367</v>
      </c>
      <c r="K918">
        <v>8.9</v>
      </c>
      <c r="L918">
        <v>9.6</v>
      </c>
      <c r="M918">
        <v>13.3</v>
      </c>
      <c r="N918" t="s">
        <v>4377</v>
      </c>
      <c r="O918" t="s">
        <v>4369</v>
      </c>
      <c r="P918" s="1">
        <v>45914</v>
      </c>
      <c r="Q918" t="str">
        <f t="shared" si="56"/>
        <v>10+ Years</v>
      </c>
      <c r="R918" t="str">
        <f>IF(Table7[[#This Row],[Age]]&lt;=25,"20-25",IF(Table7[[#This Row],[Age]]&lt;=30,"26-30",IF(Table7[[#This Row],[Age]]&lt;=35,"31-35","36+")))</f>
        <v>26-30</v>
      </c>
      <c r="S918" t="str">
        <f t="shared" si="57"/>
        <v>September</v>
      </c>
      <c r="T918" s="2" t="str">
        <f t="shared" si="58"/>
        <v>Q3</v>
      </c>
      <c r="U918" s="2">
        <f t="shared" si="59"/>
        <v>2025</v>
      </c>
    </row>
    <row r="919" spans="1:21" x14ac:dyDescent="0.3">
      <c r="A919" t="s">
        <v>2534</v>
      </c>
      <c r="B919" t="s">
        <v>5322</v>
      </c>
      <c r="C919" t="s">
        <v>4680</v>
      </c>
      <c r="D919" t="s">
        <v>4372</v>
      </c>
      <c r="E919">
        <v>29</v>
      </c>
      <c r="F919" t="s">
        <v>6169</v>
      </c>
      <c r="G919">
        <v>9105590612</v>
      </c>
      <c r="H919" t="s">
        <v>4476</v>
      </c>
      <c r="I919" t="s">
        <v>4477</v>
      </c>
      <c r="J919" t="s">
        <v>4367</v>
      </c>
      <c r="K919">
        <v>1</v>
      </c>
      <c r="L919">
        <v>11</v>
      </c>
      <c r="M919">
        <v>14.3</v>
      </c>
      <c r="N919" t="s">
        <v>4368</v>
      </c>
      <c r="O919" t="s">
        <v>4383</v>
      </c>
      <c r="P919" s="1">
        <v>45851</v>
      </c>
      <c r="Q919" t="str">
        <f t="shared" si="56"/>
        <v>10+ Years</v>
      </c>
      <c r="R919" t="str">
        <f>IF(Table7[[#This Row],[Age]]&lt;=25,"20-25",IF(Table7[[#This Row],[Age]]&lt;=30,"26-30",IF(Table7[[#This Row],[Age]]&lt;=35,"31-35","36+")))</f>
        <v>26-30</v>
      </c>
      <c r="S919" t="str">
        <f t="shared" si="57"/>
        <v>July</v>
      </c>
      <c r="T919" s="2" t="str">
        <f t="shared" si="58"/>
        <v>Q3</v>
      </c>
      <c r="U919" s="2">
        <f t="shared" si="59"/>
        <v>2025</v>
      </c>
    </row>
    <row r="920" spans="1:21" x14ac:dyDescent="0.3">
      <c r="A920" t="s">
        <v>1528</v>
      </c>
      <c r="B920" t="s">
        <v>5660</v>
      </c>
      <c r="C920" t="s">
        <v>6170</v>
      </c>
      <c r="D920" t="s">
        <v>4372</v>
      </c>
      <c r="E920">
        <v>31</v>
      </c>
      <c r="F920" t="s">
        <v>6171</v>
      </c>
      <c r="G920">
        <v>9117335908</v>
      </c>
      <c r="H920" t="s">
        <v>4365</v>
      </c>
      <c r="I920" t="s">
        <v>4366</v>
      </c>
      <c r="J920" t="s">
        <v>4446</v>
      </c>
      <c r="K920">
        <v>1.3</v>
      </c>
      <c r="L920">
        <v>16.899999999999999</v>
      </c>
      <c r="M920">
        <v>23.8</v>
      </c>
      <c r="N920" t="s">
        <v>4377</v>
      </c>
      <c r="O920" t="s">
        <v>4369</v>
      </c>
      <c r="P920" s="1">
        <v>45717</v>
      </c>
      <c r="Q920" t="str">
        <f t="shared" si="56"/>
        <v>10+ Years</v>
      </c>
      <c r="R920" t="str">
        <f>IF(Table7[[#This Row],[Age]]&lt;=25,"20-25",IF(Table7[[#This Row],[Age]]&lt;=30,"26-30",IF(Table7[[#This Row],[Age]]&lt;=35,"31-35","36+")))</f>
        <v>31-35</v>
      </c>
      <c r="S920" t="str">
        <f t="shared" si="57"/>
        <v>March</v>
      </c>
      <c r="T920" s="2" t="str">
        <f t="shared" si="58"/>
        <v>Q1</v>
      </c>
      <c r="U920" s="2">
        <f t="shared" si="59"/>
        <v>2025</v>
      </c>
    </row>
    <row r="921" spans="1:21" x14ac:dyDescent="0.3">
      <c r="A921" t="s">
        <v>1075</v>
      </c>
      <c r="B921" t="s">
        <v>4898</v>
      </c>
      <c r="C921" t="s">
        <v>4362</v>
      </c>
      <c r="D921" t="s">
        <v>4372</v>
      </c>
      <c r="E921">
        <v>28</v>
      </c>
      <c r="F921" t="s">
        <v>6172</v>
      </c>
      <c r="G921">
        <v>9224649226</v>
      </c>
      <c r="H921" t="s">
        <v>4365</v>
      </c>
      <c r="I921" t="s">
        <v>4366</v>
      </c>
      <c r="J921" t="s">
        <v>4376</v>
      </c>
      <c r="K921">
        <v>2.6</v>
      </c>
      <c r="M921">
        <v>11.2</v>
      </c>
      <c r="N921" t="s">
        <v>4494</v>
      </c>
      <c r="O921" t="s">
        <v>4419</v>
      </c>
      <c r="P921" s="1">
        <v>45800</v>
      </c>
      <c r="Q921" t="str">
        <f t="shared" si="56"/>
        <v>10+ Years</v>
      </c>
      <c r="R921" t="str">
        <f>IF(Table7[[#This Row],[Age]]&lt;=25,"20-25",IF(Table7[[#This Row],[Age]]&lt;=30,"26-30",IF(Table7[[#This Row],[Age]]&lt;=35,"31-35","36+")))</f>
        <v>26-30</v>
      </c>
      <c r="S921" t="str">
        <f t="shared" si="57"/>
        <v>May</v>
      </c>
      <c r="T921" s="2" t="str">
        <f t="shared" si="58"/>
        <v>Q2</v>
      </c>
      <c r="U921" s="2">
        <f t="shared" si="59"/>
        <v>2025</v>
      </c>
    </row>
    <row r="922" spans="1:21" x14ac:dyDescent="0.3">
      <c r="A922" t="s">
        <v>50</v>
      </c>
      <c r="B922" t="s">
        <v>6173</v>
      </c>
      <c r="C922" t="s">
        <v>4486</v>
      </c>
      <c r="D922" t="s">
        <v>4363</v>
      </c>
      <c r="E922">
        <v>32</v>
      </c>
      <c r="F922" t="s">
        <v>6174</v>
      </c>
      <c r="G922">
        <v>9535025093</v>
      </c>
      <c r="H922" t="s">
        <v>4521</v>
      </c>
      <c r="I922" t="s">
        <v>4522</v>
      </c>
      <c r="J922" t="s">
        <v>4367</v>
      </c>
      <c r="K922">
        <v>2</v>
      </c>
      <c r="L922">
        <v>11.4</v>
      </c>
      <c r="M922">
        <v>14.3</v>
      </c>
      <c r="N922" t="s">
        <v>4368</v>
      </c>
      <c r="O922" t="s">
        <v>4391</v>
      </c>
      <c r="P922" s="1">
        <v>45875</v>
      </c>
      <c r="Q922" t="str">
        <f t="shared" si="56"/>
        <v>10+ Years</v>
      </c>
      <c r="R922" t="str">
        <f>IF(Table7[[#This Row],[Age]]&lt;=25,"20-25",IF(Table7[[#This Row],[Age]]&lt;=30,"26-30",IF(Table7[[#This Row],[Age]]&lt;=35,"31-35","36+")))</f>
        <v>31-35</v>
      </c>
      <c r="S922" t="str">
        <f t="shared" si="57"/>
        <v>August</v>
      </c>
      <c r="T922" s="2" t="str">
        <f t="shared" si="58"/>
        <v>Q3</v>
      </c>
      <c r="U922" s="2">
        <f t="shared" si="59"/>
        <v>2025</v>
      </c>
    </row>
    <row r="923" spans="1:21" x14ac:dyDescent="0.3">
      <c r="A923" t="s">
        <v>2625</v>
      </c>
      <c r="B923" t="s">
        <v>6175</v>
      </c>
      <c r="C923" t="s">
        <v>6176</v>
      </c>
      <c r="D923" t="s">
        <v>4363</v>
      </c>
      <c r="E923">
        <v>27</v>
      </c>
      <c r="F923" t="s">
        <v>6177</v>
      </c>
      <c r="G923">
        <v>9274782453</v>
      </c>
      <c r="H923" t="s">
        <v>4395</v>
      </c>
      <c r="I923" t="s">
        <v>4396</v>
      </c>
      <c r="J923" t="s">
        <v>4446</v>
      </c>
      <c r="K923">
        <v>3.9</v>
      </c>
      <c r="L923">
        <v>5.7</v>
      </c>
      <c r="M923">
        <v>6.7</v>
      </c>
      <c r="N923" t="s">
        <v>4390</v>
      </c>
      <c r="O923" t="s">
        <v>4369</v>
      </c>
      <c r="P923" s="1">
        <v>46014</v>
      </c>
      <c r="Q923" t="str">
        <f t="shared" si="56"/>
        <v>10+ Years</v>
      </c>
      <c r="R923" t="str">
        <f>IF(Table7[[#This Row],[Age]]&lt;=25,"20-25",IF(Table7[[#This Row],[Age]]&lt;=30,"26-30",IF(Table7[[#This Row],[Age]]&lt;=35,"31-35","36+")))</f>
        <v>26-30</v>
      </c>
      <c r="S923" t="str">
        <f t="shared" si="57"/>
        <v>December</v>
      </c>
      <c r="T923" s="2" t="str">
        <f t="shared" si="58"/>
        <v>Q4</v>
      </c>
      <c r="U923" s="2">
        <f t="shared" si="59"/>
        <v>2025</v>
      </c>
    </row>
    <row r="924" spans="1:21" x14ac:dyDescent="0.3">
      <c r="A924" t="s">
        <v>277</v>
      </c>
      <c r="B924" t="s">
        <v>4921</v>
      </c>
      <c r="C924" t="s">
        <v>4443</v>
      </c>
      <c r="D924" t="s">
        <v>4363</v>
      </c>
      <c r="E924">
        <v>21</v>
      </c>
      <c r="F924" t="s">
        <v>6178</v>
      </c>
      <c r="G924">
        <v>9630009896</v>
      </c>
      <c r="H924" t="s">
        <v>4374</v>
      </c>
      <c r="I924" t="s">
        <v>4375</v>
      </c>
      <c r="J924" t="s">
        <v>4618</v>
      </c>
      <c r="K924">
        <v>18</v>
      </c>
      <c r="L924">
        <v>36.1</v>
      </c>
      <c r="M924">
        <v>42.9</v>
      </c>
      <c r="N924" t="s">
        <v>4368</v>
      </c>
      <c r="O924" t="s">
        <v>4391</v>
      </c>
      <c r="P924" s="1">
        <v>45898</v>
      </c>
      <c r="Q924" t="str">
        <f t="shared" si="56"/>
        <v>10+ Years</v>
      </c>
      <c r="R924" t="str">
        <f>IF(Table7[[#This Row],[Age]]&lt;=25,"20-25",IF(Table7[[#This Row],[Age]]&lt;=30,"26-30",IF(Table7[[#This Row],[Age]]&lt;=35,"31-35","36+")))</f>
        <v>20-25</v>
      </c>
      <c r="S924" t="str">
        <f t="shared" si="57"/>
        <v>August</v>
      </c>
      <c r="T924" s="2" t="str">
        <f t="shared" si="58"/>
        <v>Q3</v>
      </c>
      <c r="U924" s="2">
        <f t="shared" si="59"/>
        <v>2025</v>
      </c>
    </row>
    <row r="925" spans="1:21" x14ac:dyDescent="0.3">
      <c r="A925" t="s">
        <v>351</v>
      </c>
      <c r="B925" t="s">
        <v>4830</v>
      </c>
      <c r="C925" t="s">
        <v>4486</v>
      </c>
      <c r="D925" t="s">
        <v>4372</v>
      </c>
      <c r="E925">
        <v>21</v>
      </c>
      <c r="F925" t="s">
        <v>6179</v>
      </c>
      <c r="G925">
        <v>9804522418</v>
      </c>
      <c r="H925" t="s">
        <v>4395</v>
      </c>
      <c r="I925" t="s">
        <v>4396</v>
      </c>
      <c r="J925" t="s">
        <v>4367</v>
      </c>
      <c r="K925">
        <v>0.4</v>
      </c>
      <c r="M925">
        <v>10</v>
      </c>
      <c r="N925" t="s">
        <v>4390</v>
      </c>
      <c r="O925" t="s">
        <v>4383</v>
      </c>
      <c r="P925" s="1">
        <v>45671</v>
      </c>
      <c r="Q925" t="str">
        <f t="shared" si="56"/>
        <v>10+ Years</v>
      </c>
      <c r="R925" t="str">
        <f>IF(Table7[[#This Row],[Age]]&lt;=25,"20-25",IF(Table7[[#This Row],[Age]]&lt;=30,"26-30",IF(Table7[[#This Row],[Age]]&lt;=35,"31-35","36+")))</f>
        <v>20-25</v>
      </c>
      <c r="S925" t="str">
        <f t="shared" si="57"/>
        <v>January</v>
      </c>
      <c r="T925" s="2" t="str">
        <f t="shared" si="58"/>
        <v>Q1</v>
      </c>
      <c r="U925" s="2">
        <f t="shared" si="59"/>
        <v>2025</v>
      </c>
    </row>
    <row r="926" spans="1:21" x14ac:dyDescent="0.3">
      <c r="A926" t="s">
        <v>6180</v>
      </c>
      <c r="B926" t="s">
        <v>4679</v>
      </c>
      <c r="C926" t="s">
        <v>5159</v>
      </c>
      <c r="D926" t="s">
        <v>4363</v>
      </c>
      <c r="E926">
        <v>43</v>
      </c>
      <c r="F926" t="s">
        <v>6181</v>
      </c>
      <c r="G926">
        <v>9707707138</v>
      </c>
      <c r="H926" t="s">
        <v>4521</v>
      </c>
      <c r="I926" t="s">
        <v>4522</v>
      </c>
      <c r="J926" t="s">
        <v>4389</v>
      </c>
      <c r="K926">
        <v>10.1</v>
      </c>
      <c r="L926">
        <v>16.899999999999999</v>
      </c>
      <c r="M926">
        <v>19.5</v>
      </c>
      <c r="N926" t="s">
        <v>4390</v>
      </c>
      <c r="O926" t="s">
        <v>4485</v>
      </c>
      <c r="P926" s="1">
        <v>45873</v>
      </c>
      <c r="Q926" t="str">
        <f t="shared" si="56"/>
        <v>10+ Years</v>
      </c>
      <c r="R926" t="str">
        <f>IF(Table7[[#This Row],[Age]]&lt;=25,"20-25",IF(Table7[[#This Row],[Age]]&lt;=30,"26-30",IF(Table7[[#This Row],[Age]]&lt;=35,"31-35","36+")))</f>
        <v>36+</v>
      </c>
      <c r="S926" t="str">
        <f t="shared" si="57"/>
        <v>August</v>
      </c>
      <c r="T926" s="2" t="str">
        <f t="shared" si="58"/>
        <v>Q3</v>
      </c>
      <c r="U926" s="2">
        <f t="shared" si="59"/>
        <v>2025</v>
      </c>
    </row>
    <row r="927" spans="1:21" x14ac:dyDescent="0.3">
      <c r="A927" t="s">
        <v>3056</v>
      </c>
      <c r="B927" t="s">
        <v>4778</v>
      </c>
      <c r="C927" t="s">
        <v>5667</v>
      </c>
      <c r="D927" t="s">
        <v>4372</v>
      </c>
      <c r="E927">
        <v>26</v>
      </c>
      <c r="F927" t="s">
        <v>6182</v>
      </c>
      <c r="G927">
        <v>9501752318</v>
      </c>
      <c r="H927" t="s">
        <v>4404</v>
      </c>
      <c r="I927" t="s">
        <v>4405</v>
      </c>
      <c r="K927">
        <v>1.2</v>
      </c>
      <c r="L927">
        <v>9.9</v>
      </c>
      <c r="M927">
        <v>12.5</v>
      </c>
      <c r="N927" t="s">
        <v>4390</v>
      </c>
      <c r="O927" t="s">
        <v>4400</v>
      </c>
      <c r="P927" s="1">
        <v>45741</v>
      </c>
      <c r="Q927" t="str">
        <f t="shared" si="56"/>
        <v>10+ Years</v>
      </c>
      <c r="R927" t="str">
        <f>IF(Table7[[#This Row],[Age]]&lt;=25,"20-25",IF(Table7[[#This Row],[Age]]&lt;=30,"26-30",IF(Table7[[#This Row],[Age]]&lt;=35,"31-35","36+")))</f>
        <v>26-30</v>
      </c>
      <c r="S927" t="str">
        <f t="shared" si="57"/>
        <v>March</v>
      </c>
      <c r="T927" s="2" t="str">
        <f t="shared" si="58"/>
        <v>Q1</v>
      </c>
      <c r="U927" s="2">
        <f t="shared" si="59"/>
        <v>2025</v>
      </c>
    </row>
    <row r="928" spans="1:21" x14ac:dyDescent="0.3">
      <c r="A928" t="s">
        <v>178</v>
      </c>
      <c r="B928" t="s">
        <v>4537</v>
      </c>
      <c r="C928" t="s">
        <v>6183</v>
      </c>
      <c r="D928" t="s">
        <v>4363</v>
      </c>
      <c r="E928">
        <v>33</v>
      </c>
      <c r="F928" t="s">
        <v>6184</v>
      </c>
      <c r="G928">
        <v>9869714601</v>
      </c>
      <c r="H928" t="s">
        <v>4473</v>
      </c>
      <c r="I928" t="s">
        <v>4473</v>
      </c>
      <c r="J928" t="s">
        <v>4376</v>
      </c>
      <c r="K928">
        <v>5.4</v>
      </c>
      <c r="L928">
        <v>8.6999999999999993</v>
      </c>
      <c r="M928">
        <v>12.5</v>
      </c>
      <c r="N928" t="s">
        <v>4494</v>
      </c>
      <c r="O928" t="s">
        <v>4400</v>
      </c>
      <c r="P928" s="1">
        <v>45768</v>
      </c>
      <c r="Q928" t="str">
        <f t="shared" si="56"/>
        <v>10+ Years</v>
      </c>
      <c r="R928" t="str">
        <f>IF(Table7[[#This Row],[Age]]&lt;=25,"20-25",IF(Table7[[#This Row],[Age]]&lt;=30,"26-30",IF(Table7[[#This Row],[Age]]&lt;=35,"31-35","36+")))</f>
        <v>31-35</v>
      </c>
      <c r="S928" t="str">
        <f t="shared" si="57"/>
        <v>April</v>
      </c>
      <c r="T928" s="2" t="str">
        <f t="shared" si="58"/>
        <v>Q2</v>
      </c>
      <c r="U928" s="2">
        <f t="shared" si="59"/>
        <v>2025</v>
      </c>
    </row>
    <row r="929" spans="1:21" x14ac:dyDescent="0.3">
      <c r="A929" t="s">
        <v>1488</v>
      </c>
      <c r="B929" t="s">
        <v>5134</v>
      </c>
      <c r="C929" t="s">
        <v>4594</v>
      </c>
      <c r="D929" t="s">
        <v>4372</v>
      </c>
      <c r="E929">
        <v>21</v>
      </c>
      <c r="F929" t="s">
        <v>6185</v>
      </c>
      <c r="G929">
        <v>9571934895</v>
      </c>
      <c r="H929" t="s">
        <v>4387</v>
      </c>
      <c r="I929" t="s">
        <v>4388</v>
      </c>
      <c r="J929" t="s">
        <v>4432</v>
      </c>
      <c r="K929">
        <v>7.6</v>
      </c>
      <c r="L929">
        <v>8.1999999999999993</v>
      </c>
      <c r="M929">
        <v>11.3</v>
      </c>
      <c r="N929" t="s">
        <v>4368</v>
      </c>
      <c r="O929" t="s">
        <v>4456</v>
      </c>
      <c r="P929" s="1">
        <v>45908</v>
      </c>
      <c r="Q929" t="str">
        <f t="shared" si="56"/>
        <v>10+ Years</v>
      </c>
      <c r="R929" t="str">
        <f>IF(Table7[[#This Row],[Age]]&lt;=25,"20-25",IF(Table7[[#This Row],[Age]]&lt;=30,"26-30",IF(Table7[[#This Row],[Age]]&lt;=35,"31-35","36+")))</f>
        <v>20-25</v>
      </c>
      <c r="S929" t="str">
        <f t="shared" si="57"/>
        <v>September</v>
      </c>
      <c r="T929" s="2" t="str">
        <f t="shared" si="58"/>
        <v>Q3</v>
      </c>
      <c r="U929" s="2">
        <f t="shared" si="59"/>
        <v>2025</v>
      </c>
    </row>
    <row r="930" spans="1:21" x14ac:dyDescent="0.3">
      <c r="A930" t="s">
        <v>3661</v>
      </c>
      <c r="B930" t="s">
        <v>5034</v>
      </c>
      <c r="C930" t="s">
        <v>5149</v>
      </c>
      <c r="D930" t="s">
        <v>4363</v>
      </c>
      <c r="E930">
        <v>24</v>
      </c>
      <c r="F930" t="s">
        <v>6186</v>
      </c>
      <c r="G930">
        <v>9858786796</v>
      </c>
      <c r="H930" t="s">
        <v>4454</v>
      </c>
      <c r="I930" t="s">
        <v>4455</v>
      </c>
      <c r="J930" t="s">
        <v>4389</v>
      </c>
      <c r="K930">
        <v>4.9000000000000004</v>
      </c>
      <c r="L930">
        <v>9.6999999999999993</v>
      </c>
      <c r="M930">
        <v>14</v>
      </c>
      <c r="N930" t="s">
        <v>4494</v>
      </c>
      <c r="O930" t="s">
        <v>4400</v>
      </c>
      <c r="P930" s="1">
        <v>45793</v>
      </c>
      <c r="Q930" t="str">
        <f t="shared" si="56"/>
        <v>10+ Years</v>
      </c>
      <c r="R930" t="str">
        <f>IF(Table7[[#This Row],[Age]]&lt;=25,"20-25",IF(Table7[[#This Row],[Age]]&lt;=30,"26-30",IF(Table7[[#This Row],[Age]]&lt;=35,"31-35","36+")))</f>
        <v>20-25</v>
      </c>
      <c r="S930" t="str">
        <f t="shared" si="57"/>
        <v>May</v>
      </c>
      <c r="T930" s="2" t="str">
        <f t="shared" si="58"/>
        <v>Q2</v>
      </c>
      <c r="U930" s="2">
        <f t="shared" si="59"/>
        <v>2025</v>
      </c>
    </row>
    <row r="931" spans="1:21" x14ac:dyDescent="0.3">
      <c r="A931" t="s">
        <v>2333</v>
      </c>
      <c r="B931" t="s">
        <v>4457</v>
      </c>
      <c r="C931" t="s">
        <v>4729</v>
      </c>
      <c r="D931" t="s">
        <v>4363</v>
      </c>
      <c r="E931">
        <v>27</v>
      </c>
      <c r="F931" t="s">
        <v>6187</v>
      </c>
      <c r="G931">
        <v>9847407873</v>
      </c>
      <c r="H931" t="s">
        <v>4410</v>
      </c>
      <c r="I931" t="s">
        <v>4411</v>
      </c>
      <c r="K931">
        <v>2.5</v>
      </c>
      <c r="L931">
        <v>6.3</v>
      </c>
      <c r="M931">
        <v>7.8</v>
      </c>
      <c r="N931" t="s">
        <v>4406</v>
      </c>
      <c r="O931" t="s">
        <v>4391</v>
      </c>
      <c r="P931" s="1">
        <v>45930</v>
      </c>
      <c r="Q931" t="str">
        <f t="shared" si="56"/>
        <v>10+ Years</v>
      </c>
      <c r="R931" t="str">
        <f>IF(Table7[[#This Row],[Age]]&lt;=25,"20-25",IF(Table7[[#This Row],[Age]]&lt;=30,"26-30",IF(Table7[[#This Row],[Age]]&lt;=35,"31-35","36+")))</f>
        <v>26-30</v>
      </c>
      <c r="S931" t="str">
        <f t="shared" si="57"/>
        <v>September</v>
      </c>
      <c r="T931" s="2" t="str">
        <f t="shared" si="58"/>
        <v>Q3</v>
      </c>
      <c r="U931" s="2">
        <f t="shared" si="59"/>
        <v>2025</v>
      </c>
    </row>
    <row r="932" spans="1:21" x14ac:dyDescent="0.3">
      <c r="A932" t="s">
        <v>2855</v>
      </c>
      <c r="B932" t="s">
        <v>4461</v>
      </c>
      <c r="C932" t="s">
        <v>4890</v>
      </c>
      <c r="D932" t="s">
        <v>4363</v>
      </c>
      <c r="E932">
        <v>25</v>
      </c>
      <c r="F932" t="s">
        <v>6188</v>
      </c>
      <c r="G932">
        <v>9212993095</v>
      </c>
      <c r="H932" t="s">
        <v>4491</v>
      </c>
      <c r="I932" t="s">
        <v>4491</v>
      </c>
      <c r="J932" t="s">
        <v>4415</v>
      </c>
      <c r="K932">
        <v>0.5</v>
      </c>
      <c r="L932">
        <v>2.5</v>
      </c>
      <c r="M932">
        <v>2.9</v>
      </c>
      <c r="N932" t="s">
        <v>4368</v>
      </c>
      <c r="O932" t="s">
        <v>4391</v>
      </c>
      <c r="P932" s="1">
        <v>45836</v>
      </c>
      <c r="Q932" t="str">
        <f t="shared" si="56"/>
        <v>10+ Years</v>
      </c>
      <c r="R932" t="str">
        <f>IF(Table7[[#This Row],[Age]]&lt;=25,"20-25",IF(Table7[[#This Row],[Age]]&lt;=30,"26-30",IF(Table7[[#This Row],[Age]]&lt;=35,"31-35","36+")))</f>
        <v>20-25</v>
      </c>
      <c r="S932" t="str">
        <f t="shared" si="57"/>
        <v>June</v>
      </c>
      <c r="T932" s="2" t="str">
        <f t="shared" si="58"/>
        <v>Q2</v>
      </c>
      <c r="U932" s="2">
        <f t="shared" si="59"/>
        <v>2025</v>
      </c>
    </row>
    <row r="933" spans="1:21" x14ac:dyDescent="0.3">
      <c r="A933" t="s">
        <v>6189</v>
      </c>
      <c r="B933" t="s">
        <v>4461</v>
      </c>
      <c r="C933" t="s">
        <v>5765</v>
      </c>
      <c r="D933" t="s">
        <v>4372</v>
      </c>
      <c r="E933">
        <v>28</v>
      </c>
      <c r="F933" t="s">
        <v>6190</v>
      </c>
      <c r="G933">
        <v>9669204683</v>
      </c>
      <c r="H933" t="s">
        <v>4476</v>
      </c>
      <c r="I933" t="s">
        <v>4477</v>
      </c>
      <c r="J933" t="s">
        <v>4482</v>
      </c>
      <c r="K933">
        <v>5</v>
      </c>
      <c r="L933">
        <v>10.199999999999999</v>
      </c>
      <c r="M933">
        <v>11.9</v>
      </c>
      <c r="N933" t="s">
        <v>4406</v>
      </c>
      <c r="O933" t="s">
        <v>4383</v>
      </c>
      <c r="P933" s="1">
        <v>45845</v>
      </c>
      <c r="Q933" t="str">
        <f t="shared" si="56"/>
        <v>10+ Years</v>
      </c>
      <c r="R933" t="str">
        <f>IF(Table7[[#This Row],[Age]]&lt;=25,"20-25",IF(Table7[[#This Row],[Age]]&lt;=30,"26-30",IF(Table7[[#This Row],[Age]]&lt;=35,"31-35","36+")))</f>
        <v>26-30</v>
      </c>
      <c r="S933" t="str">
        <f t="shared" si="57"/>
        <v>July</v>
      </c>
      <c r="T933" s="2" t="str">
        <f t="shared" si="58"/>
        <v>Q3</v>
      </c>
      <c r="U933" s="2">
        <f t="shared" si="59"/>
        <v>2025</v>
      </c>
    </row>
    <row r="934" spans="1:21" x14ac:dyDescent="0.3">
      <c r="A934" t="s">
        <v>426</v>
      </c>
      <c r="B934" t="s">
        <v>4378</v>
      </c>
      <c r="C934" t="s">
        <v>4597</v>
      </c>
      <c r="D934" t="s">
        <v>4372</v>
      </c>
      <c r="E934">
        <v>26</v>
      </c>
      <c r="F934" t="s">
        <v>6191</v>
      </c>
      <c r="G934">
        <v>9936441709</v>
      </c>
      <c r="H934" t="s">
        <v>4476</v>
      </c>
      <c r="I934" t="s">
        <v>4477</v>
      </c>
      <c r="J934" t="s">
        <v>4482</v>
      </c>
      <c r="K934">
        <v>4.5999999999999996</v>
      </c>
      <c r="L934">
        <v>12.2</v>
      </c>
      <c r="M934">
        <v>15.3</v>
      </c>
      <c r="N934" t="s">
        <v>4390</v>
      </c>
      <c r="O934" t="s">
        <v>4400</v>
      </c>
      <c r="P934" s="1">
        <v>45734</v>
      </c>
      <c r="Q934" t="str">
        <f t="shared" si="56"/>
        <v>10+ Years</v>
      </c>
      <c r="R934" t="str">
        <f>IF(Table7[[#This Row],[Age]]&lt;=25,"20-25",IF(Table7[[#This Row],[Age]]&lt;=30,"26-30",IF(Table7[[#This Row],[Age]]&lt;=35,"31-35","36+")))</f>
        <v>26-30</v>
      </c>
      <c r="S934" t="str">
        <f t="shared" si="57"/>
        <v>March</v>
      </c>
      <c r="T934" s="2" t="str">
        <f t="shared" si="58"/>
        <v>Q1</v>
      </c>
      <c r="U934" s="2">
        <f t="shared" si="59"/>
        <v>2025</v>
      </c>
    </row>
    <row r="935" spans="1:21" x14ac:dyDescent="0.3">
      <c r="A935" t="s">
        <v>2041</v>
      </c>
      <c r="B935" t="s">
        <v>5386</v>
      </c>
      <c r="C935" t="s">
        <v>6192</v>
      </c>
      <c r="D935" t="s">
        <v>4372</v>
      </c>
      <c r="E935">
        <v>32</v>
      </c>
      <c r="F935" t="s">
        <v>6193</v>
      </c>
      <c r="G935">
        <v>9496095422</v>
      </c>
      <c r="H935" t="s">
        <v>4365</v>
      </c>
      <c r="I935" t="s">
        <v>4366</v>
      </c>
      <c r="K935">
        <v>8.3000000000000007</v>
      </c>
      <c r="L935">
        <v>10.7</v>
      </c>
      <c r="M935">
        <v>13.3</v>
      </c>
      <c r="N935" t="s">
        <v>4494</v>
      </c>
      <c r="O935" t="s">
        <v>4391</v>
      </c>
      <c r="P935" s="1">
        <v>45952</v>
      </c>
      <c r="Q935" t="str">
        <f t="shared" si="56"/>
        <v>10+ Years</v>
      </c>
      <c r="R935" t="str">
        <f>IF(Table7[[#This Row],[Age]]&lt;=25,"20-25",IF(Table7[[#This Row],[Age]]&lt;=30,"26-30",IF(Table7[[#This Row],[Age]]&lt;=35,"31-35","36+")))</f>
        <v>31-35</v>
      </c>
      <c r="S935" t="str">
        <f t="shared" si="57"/>
        <v>October</v>
      </c>
      <c r="T935" s="2" t="str">
        <f t="shared" si="58"/>
        <v>Q4</v>
      </c>
      <c r="U935" s="2">
        <f t="shared" si="59"/>
        <v>2025</v>
      </c>
    </row>
    <row r="936" spans="1:21" x14ac:dyDescent="0.3">
      <c r="A936" t="s">
        <v>2350</v>
      </c>
      <c r="B936" t="s">
        <v>4447</v>
      </c>
      <c r="C936" t="s">
        <v>5107</v>
      </c>
      <c r="D936" t="s">
        <v>4372</v>
      </c>
      <c r="E936">
        <v>25</v>
      </c>
      <c r="F936" t="s">
        <v>6194</v>
      </c>
      <c r="G936">
        <v>9789240501</v>
      </c>
      <c r="H936" t="s">
        <v>4521</v>
      </c>
      <c r="I936" t="s">
        <v>4522</v>
      </c>
      <c r="J936" t="s">
        <v>4376</v>
      </c>
      <c r="K936">
        <v>18.899999999999999</v>
      </c>
      <c r="L936">
        <v>27</v>
      </c>
      <c r="M936">
        <v>37.6</v>
      </c>
      <c r="N936" t="s">
        <v>4368</v>
      </c>
      <c r="O936" t="s">
        <v>4369</v>
      </c>
      <c r="P936" s="1">
        <v>45731</v>
      </c>
      <c r="Q936" t="str">
        <f t="shared" si="56"/>
        <v>10+ Years</v>
      </c>
      <c r="R936" t="str">
        <f>IF(Table7[[#This Row],[Age]]&lt;=25,"20-25",IF(Table7[[#This Row],[Age]]&lt;=30,"26-30",IF(Table7[[#This Row],[Age]]&lt;=35,"31-35","36+")))</f>
        <v>20-25</v>
      </c>
      <c r="S936" t="str">
        <f t="shared" si="57"/>
        <v>March</v>
      </c>
      <c r="T936" s="2" t="str">
        <f t="shared" si="58"/>
        <v>Q1</v>
      </c>
      <c r="U936" s="2">
        <f t="shared" si="59"/>
        <v>2025</v>
      </c>
    </row>
    <row r="937" spans="1:21" x14ac:dyDescent="0.3">
      <c r="A937" t="s">
        <v>3548</v>
      </c>
      <c r="B937" t="s">
        <v>4793</v>
      </c>
      <c r="C937" t="s">
        <v>6195</v>
      </c>
      <c r="D937" t="s">
        <v>4372</v>
      </c>
      <c r="E937">
        <v>21</v>
      </c>
      <c r="F937" t="s">
        <v>6196</v>
      </c>
      <c r="G937">
        <v>9706218277</v>
      </c>
      <c r="H937" t="s">
        <v>4445</v>
      </c>
      <c r="I937" t="s">
        <v>4396</v>
      </c>
      <c r="J937" t="s">
        <v>4450</v>
      </c>
      <c r="K937">
        <v>1.3</v>
      </c>
      <c r="L937">
        <v>3.6</v>
      </c>
      <c r="M937">
        <v>4.4000000000000004</v>
      </c>
      <c r="N937" t="s">
        <v>4390</v>
      </c>
      <c r="O937" t="s">
        <v>4391</v>
      </c>
      <c r="P937" s="1">
        <v>45850</v>
      </c>
      <c r="Q937" t="str">
        <f t="shared" si="56"/>
        <v>10+ Years</v>
      </c>
      <c r="R937" t="str">
        <f>IF(Table7[[#This Row],[Age]]&lt;=25,"20-25",IF(Table7[[#This Row],[Age]]&lt;=30,"26-30",IF(Table7[[#This Row],[Age]]&lt;=35,"31-35","36+")))</f>
        <v>20-25</v>
      </c>
      <c r="S937" t="str">
        <f t="shared" si="57"/>
        <v>July</v>
      </c>
      <c r="T937" s="2" t="str">
        <f t="shared" si="58"/>
        <v>Q3</v>
      </c>
      <c r="U937" s="2">
        <f t="shared" si="59"/>
        <v>2025</v>
      </c>
    </row>
    <row r="938" spans="1:21" x14ac:dyDescent="0.3">
      <c r="A938" t="s">
        <v>3713</v>
      </c>
      <c r="B938" t="s">
        <v>6197</v>
      </c>
      <c r="C938" t="s">
        <v>4532</v>
      </c>
      <c r="D938" t="s">
        <v>4363</v>
      </c>
      <c r="E938">
        <v>35</v>
      </c>
      <c r="F938" t="s">
        <v>6198</v>
      </c>
      <c r="G938">
        <v>9316826222</v>
      </c>
      <c r="H938" t="s">
        <v>4454</v>
      </c>
      <c r="I938" t="s">
        <v>4455</v>
      </c>
      <c r="J938" t="s">
        <v>4415</v>
      </c>
      <c r="K938">
        <v>8.4</v>
      </c>
      <c r="L938">
        <v>19.100000000000001</v>
      </c>
      <c r="M938">
        <v>22.9</v>
      </c>
      <c r="N938" t="s">
        <v>4390</v>
      </c>
      <c r="O938" t="s">
        <v>4369</v>
      </c>
      <c r="P938" s="1">
        <v>45938</v>
      </c>
      <c r="Q938" t="str">
        <f t="shared" si="56"/>
        <v>10+ Years</v>
      </c>
      <c r="R938" t="str">
        <f>IF(Table7[[#This Row],[Age]]&lt;=25,"20-25",IF(Table7[[#This Row],[Age]]&lt;=30,"26-30",IF(Table7[[#This Row],[Age]]&lt;=35,"31-35","36+")))</f>
        <v>31-35</v>
      </c>
      <c r="S938" t="str">
        <f t="shared" si="57"/>
        <v>October</v>
      </c>
      <c r="T938" s="2" t="str">
        <f t="shared" si="58"/>
        <v>Q4</v>
      </c>
      <c r="U938" s="2">
        <f t="shared" si="59"/>
        <v>2025</v>
      </c>
    </row>
    <row r="939" spans="1:21" x14ac:dyDescent="0.3">
      <c r="A939" t="s">
        <v>319</v>
      </c>
      <c r="B939" t="s">
        <v>4597</v>
      </c>
      <c r="C939" t="s">
        <v>4440</v>
      </c>
      <c r="D939" t="s">
        <v>4372</v>
      </c>
      <c r="E939">
        <v>35</v>
      </c>
      <c r="F939" t="s">
        <v>6199</v>
      </c>
      <c r="G939">
        <v>9603725511</v>
      </c>
      <c r="H939" t="s">
        <v>4473</v>
      </c>
      <c r="I939" t="s">
        <v>4473</v>
      </c>
      <c r="J939" t="s">
        <v>4446</v>
      </c>
      <c r="K939">
        <v>2.2000000000000002</v>
      </c>
      <c r="L939">
        <v>10.5</v>
      </c>
      <c r="M939">
        <v>15.2</v>
      </c>
      <c r="N939" t="s">
        <v>4390</v>
      </c>
      <c r="O939" t="s">
        <v>4456</v>
      </c>
      <c r="P939" s="1">
        <v>45788</v>
      </c>
      <c r="Q939" t="str">
        <f t="shared" si="56"/>
        <v>10+ Years</v>
      </c>
      <c r="R939" t="str">
        <f>IF(Table7[[#This Row],[Age]]&lt;=25,"20-25",IF(Table7[[#This Row],[Age]]&lt;=30,"26-30",IF(Table7[[#This Row],[Age]]&lt;=35,"31-35","36+")))</f>
        <v>31-35</v>
      </c>
      <c r="S939" t="str">
        <f t="shared" si="57"/>
        <v>May</v>
      </c>
      <c r="T939" s="2" t="str">
        <f t="shared" si="58"/>
        <v>Q2</v>
      </c>
      <c r="U939" s="2">
        <f t="shared" si="59"/>
        <v>2025</v>
      </c>
    </row>
    <row r="940" spans="1:21" x14ac:dyDescent="0.3">
      <c r="A940" t="s">
        <v>4007</v>
      </c>
      <c r="B940" t="s">
        <v>5210</v>
      </c>
      <c r="C940" t="s">
        <v>6200</v>
      </c>
      <c r="D940" t="s">
        <v>4363</v>
      </c>
      <c r="E940">
        <v>26</v>
      </c>
      <c r="F940" t="s">
        <v>6201</v>
      </c>
      <c r="G940">
        <v>9922579547</v>
      </c>
      <c r="H940" t="s">
        <v>4387</v>
      </c>
      <c r="I940" t="s">
        <v>4388</v>
      </c>
      <c r="J940" t="s">
        <v>4367</v>
      </c>
      <c r="K940">
        <v>0.3</v>
      </c>
      <c r="L940">
        <v>2.9</v>
      </c>
      <c r="M940">
        <v>3.7</v>
      </c>
      <c r="N940" t="s">
        <v>4368</v>
      </c>
      <c r="O940" t="s">
        <v>4369</v>
      </c>
      <c r="P940" s="1">
        <v>45902</v>
      </c>
      <c r="Q940" t="str">
        <f t="shared" si="56"/>
        <v>10+ Years</v>
      </c>
      <c r="R940" t="str">
        <f>IF(Table7[[#This Row],[Age]]&lt;=25,"20-25",IF(Table7[[#This Row],[Age]]&lt;=30,"26-30",IF(Table7[[#This Row],[Age]]&lt;=35,"31-35","36+")))</f>
        <v>26-30</v>
      </c>
      <c r="S940" t="str">
        <f t="shared" si="57"/>
        <v>September</v>
      </c>
      <c r="T940" s="2" t="str">
        <f t="shared" si="58"/>
        <v>Q3</v>
      </c>
      <c r="U940" s="2">
        <f t="shared" si="59"/>
        <v>2025</v>
      </c>
    </row>
    <row r="941" spans="1:21" x14ac:dyDescent="0.3">
      <c r="A941" t="s">
        <v>3004</v>
      </c>
      <c r="B941" t="s">
        <v>4837</v>
      </c>
      <c r="C941" t="s">
        <v>5635</v>
      </c>
      <c r="D941" t="s">
        <v>4372</v>
      </c>
      <c r="E941">
        <v>28</v>
      </c>
      <c r="F941" t="s">
        <v>6202</v>
      </c>
      <c r="G941">
        <v>9633077772</v>
      </c>
      <c r="H941" t="s">
        <v>4395</v>
      </c>
      <c r="I941" t="s">
        <v>4396</v>
      </c>
      <c r="J941" t="s">
        <v>4367</v>
      </c>
      <c r="K941">
        <v>0.4</v>
      </c>
      <c r="L941">
        <v>4.5999999999999996</v>
      </c>
      <c r="M941">
        <v>5.4</v>
      </c>
      <c r="N941" t="s">
        <v>4377</v>
      </c>
      <c r="O941" t="s">
        <v>4383</v>
      </c>
      <c r="P941" s="1">
        <v>45966</v>
      </c>
      <c r="Q941" t="str">
        <f t="shared" si="56"/>
        <v>10+ Years</v>
      </c>
      <c r="R941" t="str">
        <f>IF(Table7[[#This Row],[Age]]&lt;=25,"20-25",IF(Table7[[#This Row],[Age]]&lt;=30,"26-30",IF(Table7[[#This Row],[Age]]&lt;=35,"31-35","36+")))</f>
        <v>26-30</v>
      </c>
      <c r="S941" t="str">
        <f t="shared" si="57"/>
        <v>November</v>
      </c>
      <c r="T941" s="2" t="str">
        <f t="shared" si="58"/>
        <v>Q4</v>
      </c>
      <c r="U941" s="2">
        <f t="shared" si="59"/>
        <v>2025</v>
      </c>
    </row>
    <row r="942" spans="1:21" x14ac:dyDescent="0.3">
      <c r="A942" t="s">
        <v>1085</v>
      </c>
      <c r="B942" t="s">
        <v>6203</v>
      </c>
      <c r="C942" t="s">
        <v>4996</v>
      </c>
      <c r="D942" t="s">
        <v>4372</v>
      </c>
      <c r="E942">
        <v>22</v>
      </c>
      <c r="F942" t="s">
        <v>6204</v>
      </c>
      <c r="G942">
        <v>9385773360</v>
      </c>
      <c r="H942" t="s">
        <v>4491</v>
      </c>
      <c r="I942" t="s">
        <v>4491</v>
      </c>
      <c r="J942" t="s">
        <v>4367</v>
      </c>
      <c r="K942">
        <v>4.3</v>
      </c>
      <c r="L942">
        <v>10.199999999999999</v>
      </c>
      <c r="M942">
        <v>12.8</v>
      </c>
      <c r="N942" t="s">
        <v>4390</v>
      </c>
      <c r="O942" t="s">
        <v>4456</v>
      </c>
      <c r="P942" s="1">
        <v>45778</v>
      </c>
      <c r="Q942" t="str">
        <f t="shared" si="56"/>
        <v>10+ Years</v>
      </c>
      <c r="R942" t="str">
        <f>IF(Table7[[#This Row],[Age]]&lt;=25,"20-25",IF(Table7[[#This Row],[Age]]&lt;=30,"26-30",IF(Table7[[#This Row],[Age]]&lt;=35,"31-35","36+")))</f>
        <v>20-25</v>
      </c>
      <c r="S942" t="str">
        <f t="shared" si="57"/>
        <v>May</v>
      </c>
      <c r="T942" s="2" t="str">
        <f t="shared" si="58"/>
        <v>Q2</v>
      </c>
      <c r="U942" s="2">
        <f t="shared" si="59"/>
        <v>2025</v>
      </c>
    </row>
    <row r="943" spans="1:21" x14ac:dyDescent="0.3">
      <c r="A943" t="s">
        <v>1585</v>
      </c>
      <c r="B943" t="s">
        <v>4668</v>
      </c>
      <c r="C943" t="s">
        <v>5877</v>
      </c>
      <c r="D943" t="s">
        <v>4372</v>
      </c>
      <c r="E943">
        <v>27</v>
      </c>
      <c r="F943" t="s">
        <v>6205</v>
      </c>
      <c r="G943">
        <v>9405242885</v>
      </c>
      <c r="H943" t="s">
        <v>4506</v>
      </c>
      <c r="I943" t="s">
        <v>4507</v>
      </c>
      <c r="J943" t="s">
        <v>4367</v>
      </c>
      <c r="K943">
        <v>1.6</v>
      </c>
      <c r="L943">
        <v>7.2</v>
      </c>
      <c r="M943">
        <v>8.8000000000000007</v>
      </c>
      <c r="O943" t="s">
        <v>4369</v>
      </c>
      <c r="P943" s="1">
        <v>45983</v>
      </c>
      <c r="Q943" t="str">
        <f t="shared" si="56"/>
        <v>10+ Years</v>
      </c>
      <c r="R943" t="str">
        <f>IF(Table7[[#This Row],[Age]]&lt;=25,"20-25",IF(Table7[[#This Row],[Age]]&lt;=30,"26-30",IF(Table7[[#This Row],[Age]]&lt;=35,"31-35","36+")))</f>
        <v>26-30</v>
      </c>
      <c r="S943" t="str">
        <f t="shared" si="57"/>
        <v>November</v>
      </c>
      <c r="T943" s="2" t="str">
        <f t="shared" si="58"/>
        <v>Q4</v>
      </c>
      <c r="U943" s="2">
        <f t="shared" si="59"/>
        <v>2025</v>
      </c>
    </row>
    <row r="944" spans="1:21" x14ac:dyDescent="0.3">
      <c r="A944" t="s">
        <v>3205</v>
      </c>
      <c r="B944" t="s">
        <v>4465</v>
      </c>
      <c r="C944" t="s">
        <v>5062</v>
      </c>
      <c r="D944" t="s">
        <v>4372</v>
      </c>
      <c r="E944">
        <v>28</v>
      </c>
      <c r="F944" t="s">
        <v>6206</v>
      </c>
      <c r="G944">
        <v>9791983302</v>
      </c>
      <c r="H944" t="s">
        <v>4395</v>
      </c>
      <c r="I944" t="s">
        <v>4396</v>
      </c>
      <c r="K944">
        <v>7.9</v>
      </c>
      <c r="L944">
        <v>18.3</v>
      </c>
      <c r="M944">
        <v>26</v>
      </c>
      <c r="N944" t="s">
        <v>4494</v>
      </c>
      <c r="O944" t="s">
        <v>4369</v>
      </c>
      <c r="P944" s="1">
        <v>45662</v>
      </c>
      <c r="Q944" t="str">
        <f t="shared" si="56"/>
        <v>10+ Years</v>
      </c>
      <c r="R944" t="str">
        <f>IF(Table7[[#This Row],[Age]]&lt;=25,"20-25",IF(Table7[[#This Row],[Age]]&lt;=30,"26-30",IF(Table7[[#This Row],[Age]]&lt;=35,"31-35","36+")))</f>
        <v>26-30</v>
      </c>
      <c r="S944" t="str">
        <f t="shared" si="57"/>
        <v>January</v>
      </c>
      <c r="T944" s="2" t="str">
        <f t="shared" si="58"/>
        <v>Q1</v>
      </c>
      <c r="U944" s="2">
        <f t="shared" si="59"/>
        <v>2025</v>
      </c>
    </row>
    <row r="945" spans="1:21" x14ac:dyDescent="0.3">
      <c r="A945" t="s">
        <v>3163</v>
      </c>
      <c r="B945" t="s">
        <v>5287</v>
      </c>
      <c r="C945" t="s">
        <v>6207</v>
      </c>
      <c r="D945" t="s">
        <v>4372</v>
      </c>
      <c r="E945">
        <v>23</v>
      </c>
      <c r="F945" t="s">
        <v>6208</v>
      </c>
      <c r="G945">
        <v>9945110789</v>
      </c>
      <c r="H945" t="s">
        <v>4374</v>
      </c>
      <c r="I945" t="s">
        <v>4375</v>
      </c>
      <c r="J945" t="s">
        <v>4482</v>
      </c>
      <c r="K945">
        <v>6</v>
      </c>
      <c r="L945">
        <v>15</v>
      </c>
      <c r="M945">
        <v>18.2</v>
      </c>
      <c r="N945" t="s">
        <v>4494</v>
      </c>
      <c r="O945" t="s">
        <v>4369</v>
      </c>
      <c r="P945" s="1">
        <v>45820</v>
      </c>
      <c r="Q945" t="str">
        <f t="shared" si="56"/>
        <v>10+ Years</v>
      </c>
      <c r="R945" t="str">
        <f>IF(Table7[[#This Row],[Age]]&lt;=25,"20-25",IF(Table7[[#This Row],[Age]]&lt;=30,"26-30",IF(Table7[[#This Row],[Age]]&lt;=35,"31-35","36+")))</f>
        <v>20-25</v>
      </c>
      <c r="S945" t="str">
        <f t="shared" si="57"/>
        <v>June</v>
      </c>
      <c r="T945" s="2" t="str">
        <f t="shared" si="58"/>
        <v>Q2</v>
      </c>
      <c r="U945" s="2">
        <f t="shared" si="59"/>
        <v>2025</v>
      </c>
    </row>
    <row r="946" spans="1:21" x14ac:dyDescent="0.3">
      <c r="A946" t="s">
        <v>6209</v>
      </c>
      <c r="B946" t="s">
        <v>4787</v>
      </c>
      <c r="C946" t="s">
        <v>4532</v>
      </c>
      <c r="D946" t="s">
        <v>4720</v>
      </c>
      <c r="E946">
        <v>36</v>
      </c>
      <c r="F946" t="s">
        <v>6210</v>
      </c>
      <c r="G946">
        <v>9347346605</v>
      </c>
      <c r="H946" t="s">
        <v>4381</v>
      </c>
      <c r="I946" t="s">
        <v>4382</v>
      </c>
      <c r="J946" t="s">
        <v>4432</v>
      </c>
      <c r="K946">
        <v>4.9000000000000004</v>
      </c>
      <c r="L946">
        <v>6.4</v>
      </c>
      <c r="M946">
        <v>7.5</v>
      </c>
      <c r="N946" t="s">
        <v>4377</v>
      </c>
      <c r="O946" t="s">
        <v>4485</v>
      </c>
      <c r="P946" s="1">
        <v>45716</v>
      </c>
      <c r="Q946" t="str">
        <f t="shared" si="56"/>
        <v>10+ Years</v>
      </c>
      <c r="R946" t="str">
        <f>IF(Table7[[#This Row],[Age]]&lt;=25,"20-25",IF(Table7[[#This Row],[Age]]&lt;=30,"26-30",IF(Table7[[#This Row],[Age]]&lt;=35,"31-35","36+")))</f>
        <v>36+</v>
      </c>
      <c r="S946" t="str">
        <f t="shared" si="57"/>
        <v>February</v>
      </c>
      <c r="T946" s="2" t="str">
        <f t="shared" si="58"/>
        <v>Q1</v>
      </c>
      <c r="U946" s="2">
        <f t="shared" si="59"/>
        <v>2025</v>
      </c>
    </row>
    <row r="947" spans="1:21" x14ac:dyDescent="0.3">
      <c r="A947" t="s">
        <v>6211</v>
      </c>
      <c r="B947" t="s">
        <v>4436</v>
      </c>
      <c r="C947" t="s">
        <v>5773</v>
      </c>
      <c r="D947" t="s">
        <v>4372</v>
      </c>
      <c r="E947">
        <v>30</v>
      </c>
      <c r="F947" t="s">
        <v>6212</v>
      </c>
      <c r="G947">
        <v>9332549396</v>
      </c>
      <c r="H947" t="s">
        <v>4387</v>
      </c>
      <c r="I947" t="s">
        <v>4388</v>
      </c>
      <c r="J947" t="s">
        <v>4446</v>
      </c>
      <c r="K947">
        <v>1</v>
      </c>
      <c r="L947">
        <v>5.9</v>
      </c>
      <c r="M947">
        <v>6.9</v>
      </c>
      <c r="N947" t="s">
        <v>4368</v>
      </c>
      <c r="O947" t="s">
        <v>4391</v>
      </c>
      <c r="P947" s="1">
        <v>45851</v>
      </c>
      <c r="Q947" t="str">
        <f t="shared" si="56"/>
        <v>10+ Years</v>
      </c>
      <c r="R947" t="str">
        <f>IF(Table7[[#This Row],[Age]]&lt;=25,"20-25",IF(Table7[[#This Row],[Age]]&lt;=30,"26-30",IF(Table7[[#This Row],[Age]]&lt;=35,"31-35","36+")))</f>
        <v>26-30</v>
      </c>
      <c r="S947" t="str">
        <f t="shared" si="57"/>
        <v>July</v>
      </c>
      <c r="T947" s="2" t="str">
        <f t="shared" si="58"/>
        <v>Q3</v>
      </c>
      <c r="U947" s="2">
        <f t="shared" si="59"/>
        <v>2025</v>
      </c>
    </row>
    <row r="948" spans="1:21" x14ac:dyDescent="0.3">
      <c r="A948" t="s">
        <v>161</v>
      </c>
      <c r="B948" t="s">
        <v>4470</v>
      </c>
      <c r="C948" t="s">
        <v>4362</v>
      </c>
      <c r="D948" t="s">
        <v>4363</v>
      </c>
      <c r="E948">
        <v>30</v>
      </c>
      <c r="F948" t="s">
        <v>6213</v>
      </c>
      <c r="G948">
        <v>9264523829</v>
      </c>
      <c r="H948" t="s">
        <v>4454</v>
      </c>
      <c r="I948" t="s">
        <v>4455</v>
      </c>
      <c r="J948" t="s">
        <v>4618</v>
      </c>
      <c r="K948">
        <v>9.9</v>
      </c>
      <c r="L948">
        <v>19.7</v>
      </c>
      <c r="M948">
        <v>24.7</v>
      </c>
      <c r="N948" t="s">
        <v>4377</v>
      </c>
      <c r="O948" t="s">
        <v>4391</v>
      </c>
      <c r="P948" s="1">
        <v>45691</v>
      </c>
      <c r="Q948" t="str">
        <f t="shared" si="56"/>
        <v>10+ Years</v>
      </c>
      <c r="R948" t="str">
        <f>IF(Table7[[#This Row],[Age]]&lt;=25,"20-25",IF(Table7[[#This Row],[Age]]&lt;=30,"26-30",IF(Table7[[#This Row],[Age]]&lt;=35,"31-35","36+")))</f>
        <v>26-30</v>
      </c>
      <c r="S948" t="str">
        <f t="shared" si="57"/>
        <v>February</v>
      </c>
      <c r="T948" s="2" t="str">
        <f t="shared" si="58"/>
        <v>Q1</v>
      </c>
      <c r="U948" s="2">
        <f t="shared" si="59"/>
        <v>2025</v>
      </c>
    </row>
    <row r="949" spans="1:21" x14ac:dyDescent="0.3">
      <c r="A949" t="s">
        <v>2207</v>
      </c>
      <c r="B949" t="s">
        <v>5322</v>
      </c>
      <c r="C949" t="s">
        <v>5443</v>
      </c>
      <c r="D949" t="s">
        <v>4363</v>
      </c>
      <c r="E949">
        <v>27</v>
      </c>
      <c r="F949" t="s">
        <v>6214</v>
      </c>
      <c r="G949">
        <v>9272084130</v>
      </c>
      <c r="H949" t="s">
        <v>4365</v>
      </c>
      <c r="I949" t="s">
        <v>4366</v>
      </c>
      <c r="J949" t="s">
        <v>4389</v>
      </c>
      <c r="K949">
        <v>4.7</v>
      </c>
      <c r="L949">
        <v>13.5</v>
      </c>
      <c r="M949">
        <v>15.6</v>
      </c>
      <c r="N949" t="s">
        <v>4368</v>
      </c>
      <c r="O949" t="s">
        <v>4391</v>
      </c>
      <c r="P949" s="1">
        <v>45992</v>
      </c>
      <c r="Q949" t="str">
        <f t="shared" si="56"/>
        <v>10+ Years</v>
      </c>
      <c r="R949" t="str">
        <f>IF(Table7[[#This Row],[Age]]&lt;=25,"20-25",IF(Table7[[#This Row],[Age]]&lt;=30,"26-30",IF(Table7[[#This Row],[Age]]&lt;=35,"31-35","36+")))</f>
        <v>26-30</v>
      </c>
      <c r="S949" t="str">
        <f t="shared" si="57"/>
        <v>December</v>
      </c>
      <c r="T949" s="2" t="str">
        <f t="shared" si="58"/>
        <v>Q4</v>
      </c>
      <c r="U949" s="2">
        <f t="shared" si="59"/>
        <v>2025</v>
      </c>
    </row>
    <row r="950" spans="1:21" x14ac:dyDescent="0.3">
      <c r="A950" t="s">
        <v>2441</v>
      </c>
      <c r="B950" t="s">
        <v>6215</v>
      </c>
      <c r="C950" t="s">
        <v>6216</v>
      </c>
      <c r="D950" t="s">
        <v>4372</v>
      </c>
      <c r="E950">
        <v>41</v>
      </c>
      <c r="F950" t="s">
        <v>6217</v>
      </c>
      <c r="G950">
        <v>9659296493</v>
      </c>
      <c r="H950" t="s">
        <v>4476</v>
      </c>
      <c r="I950" t="s">
        <v>4477</v>
      </c>
      <c r="J950" t="s">
        <v>4367</v>
      </c>
      <c r="K950">
        <v>0.2</v>
      </c>
      <c r="L950">
        <v>10</v>
      </c>
      <c r="M950">
        <v>13.5</v>
      </c>
      <c r="N950" t="s">
        <v>4377</v>
      </c>
      <c r="O950" t="s">
        <v>4369</v>
      </c>
      <c r="P950" s="1">
        <v>45918</v>
      </c>
      <c r="Q950" t="str">
        <f t="shared" si="56"/>
        <v>10+ Years</v>
      </c>
      <c r="R950" t="str">
        <f>IF(Table7[[#This Row],[Age]]&lt;=25,"20-25",IF(Table7[[#This Row],[Age]]&lt;=30,"26-30",IF(Table7[[#This Row],[Age]]&lt;=35,"31-35","36+")))</f>
        <v>36+</v>
      </c>
      <c r="S950" t="str">
        <f t="shared" si="57"/>
        <v>September</v>
      </c>
      <c r="T950" s="2" t="str">
        <f t="shared" si="58"/>
        <v>Q3</v>
      </c>
      <c r="U950" s="2">
        <f t="shared" si="59"/>
        <v>2025</v>
      </c>
    </row>
    <row r="951" spans="1:21" x14ac:dyDescent="0.3">
      <c r="A951" t="s">
        <v>72</v>
      </c>
      <c r="B951" t="s">
        <v>4416</v>
      </c>
      <c r="C951" t="s">
        <v>4757</v>
      </c>
      <c r="D951" t="s">
        <v>4372</v>
      </c>
      <c r="E951">
        <v>30</v>
      </c>
      <c r="F951" t="s">
        <v>6218</v>
      </c>
      <c r="G951">
        <v>9901355373</v>
      </c>
      <c r="H951" t="s">
        <v>4491</v>
      </c>
      <c r="I951" t="s">
        <v>4491</v>
      </c>
      <c r="J951" t="s">
        <v>4446</v>
      </c>
      <c r="K951">
        <v>7.7</v>
      </c>
      <c r="L951">
        <v>13.5</v>
      </c>
      <c r="M951">
        <v>15.5</v>
      </c>
      <c r="N951" t="s">
        <v>4368</v>
      </c>
      <c r="O951" t="s">
        <v>4369</v>
      </c>
      <c r="P951" s="1">
        <v>45862</v>
      </c>
      <c r="Q951" t="str">
        <f t="shared" si="56"/>
        <v>10+ Years</v>
      </c>
      <c r="R951" t="str">
        <f>IF(Table7[[#This Row],[Age]]&lt;=25,"20-25",IF(Table7[[#This Row],[Age]]&lt;=30,"26-30",IF(Table7[[#This Row],[Age]]&lt;=35,"31-35","36+")))</f>
        <v>26-30</v>
      </c>
      <c r="S951" t="str">
        <f t="shared" si="57"/>
        <v>July</v>
      </c>
      <c r="T951" s="2" t="str">
        <f t="shared" si="58"/>
        <v>Q3</v>
      </c>
      <c r="U951" s="2">
        <f t="shared" si="59"/>
        <v>2025</v>
      </c>
    </row>
    <row r="952" spans="1:21" x14ac:dyDescent="0.3">
      <c r="A952" t="s">
        <v>2149</v>
      </c>
      <c r="B952" t="s">
        <v>4534</v>
      </c>
      <c r="C952" t="s">
        <v>4398</v>
      </c>
      <c r="D952" t="s">
        <v>4372</v>
      </c>
      <c r="E952">
        <v>30</v>
      </c>
      <c r="F952" t="s">
        <v>6219</v>
      </c>
      <c r="G952">
        <v>9352718592</v>
      </c>
      <c r="H952" t="s">
        <v>4454</v>
      </c>
      <c r="I952" t="s">
        <v>4455</v>
      </c>
      <c r="J952" t="s">
        <v>4376</v>
      </c>
      <c r="K952">
        <v>1.3</v>
      </c>
      <c r="L952">
        <v>4.4000000000000004</v>
      </c>
      <c r="M952">
        <v>5.7</v>
      </c>
      <c r="N952" t="s">
        <v>4406</v>
      </c>
      <c r="O952" t="s">
        <v>4391</v>
      </c>
      <c r="P952" s="1">
        <v>45838</v>
      </c>
      <c r="Q952" t="str">
        <f t="shared" si="56"/>
        <v>10+ Years</v>
      </c>
      <c r="R952" t="str">
        <f>IF(Table7[[#This Row],[Age]]&lt;=25,"20-25",IF(Table7[[#This Row],[Age]]&lt;=30,"26-30",IF(Table7[[#This Row],[Age]]&lt;=35,"31-35","36+")))</f>
        <v>26-30</v>
      </c>
      <c r="S952" t="str">
        <f t="shared" si="57"/>
        <v>June</v>
      </c>
      <c r="T952" s="2" t="str">
        <f t="shared" si="58"/>
        <v>Q2</v>
      </c>
      <c r="U952" s="2">
        <f t="shared" si="59"/>
        <v>2025</v>
      </c>
    </row>
    <row r="953" spans="1:21" x14ac:dyDescent="0.3">
      <c r="A953" t="s">
        <v>6220</v>
      </c>
      <c r="B953" t="s">
        <v>4565</v>
      </c>
      <c r="C953" t="s">
        <v>6221</v>
      </c>
      <c r="D953" t="s">
        <v>4372</v>
      </c>
      <c r="E953">
        <v>28</v>
      </c>
      <c r="F953" t="s">
        <v>6222</v>
      </c>
      <c r="G953">
        <v>9984232438</v>
      </c>
      <c r="H953" t="s">
        <v>4491</v>
      </c>
      <c r="I953" t="s">
        <v>4491</v>
      </c>
      <c r="J953" t="s">
        <v>4618</v>
      </c>
      <c r="K953">
        <v>0.6</v>
      </c>
      <c r="L953">
        <v>6</v>
      </c>
      <c r="M953">
        <v>7.2</v>
      </c>
      <c r="N953" t="s">
        <v>4390</v>
      </c>
      <c r="O953" t="s">
        <v>4369</v>
      </c>
      <c r="P953" s="1">
        <v>46012</v>
      </c>
      <c r="Q953" t="str">
        <f t="shared" si="56"/>
        <v>10+ Years</v>
      </c>
      <c r="R953" t="str">
        <f>IF(Table7[[#This Row],[Age]]&lt;=25,"20-25",IF(Table7[[#This Row],[Age]]&lt;=30,"26-30",IF(Table7[[#This Row],[Age]]&lt;=35,"31-35","36+")))</f>
        <v>26-30</v>
      </c>
      <c r="S953" t="str">
        <f t="shared" si="57"/>
        <v>December</v>
      </c>
      <c r="T953" s="2" t="str">
        <f t="shared" si="58"/>
        <v>Q4</v>
      </c>
      <c r="U953" s="2">
        <f t="shared" si="59"/>
        <v>2025</v>
      </c>
    </row>
    <row r="954" spans="1:21" x14ac:dyDescent="0.3">
      <c r="A954" t="s">
        <v>135</v>
      </c>
      <c r="B954" t="s">
        <v>5687</v>
      </c>
      <c r="C954" t="s">
        <v>4849</v>
      </c>
      <c r="D954" t="s">
        <v>4372</v>
      </c>
      <c r="E954">
        <v>27</v>
      </c>
      <c r="F954" t="s">
        <v>6223</v>
      </c>
      <c r="G954">
        <v>9244010665</v>
      </c>
      <c r="H954" t="s">
        <v>4521</v>
      </c>
      <c r="I954" t="s">
        <v>4522</v>
      </c>
      <c r="J954" t="s">
        <v>4389</v>
      </c>
      <c r="K954">
        <v>0.4</v>
      </c>
      <c r="L954">
        <v>8.8000000000000007</v>
      </c>
      <c r="M954">
        <v>11.9</v>
      </c>
      <c r="N954" t="s">
        <v>4494</v>
      </c>
      <c r="O954" t="s">
        <v>4369</v>
      </c>
      <c r="P954" s="1">
        <v>45747</v>
      </c>
      <c r="Q954" t="str">
        <f t="shared" si="56"/>
        <v>10+ Years</v>
      </c>
      <c r="R954" t="str">
        <f>IF(Table7[[#This Row],[Age]]&lt;=25,"20-25",IF(Table7[[#This Row],[Age]]&lt;=30,"26-30",IF(Table7[[#This Row],[Age]]&lt;=35,"31-35","36+")))</f>
        <v>26-30</v>
      </c>
      <c r="S954" t="str">
        <f t="shared" si="57"/>
        <v>March</v>
      </c>
      <c r="T954" s="2" t="str">
        <f t="shared" si="58"/>
        <v>Q1</v>
      </c>
      <c r="U954" s="2">
        <f t="shared" si="59"/>
        <v>2025</v>
      </c>
    </row>
    <row r="955" spans="1:21" x14ac:dyDescent="0.3">
      <c r="A955" t="s">
        <v>61</v>
      </c>
      <c r="B955" t="s">
        <v>6224</v>
      </c>
      <c r="C955" t="s">
        <v>5596</v>
      </c>
      <c r="D955" t="s">
        <v>4372</v>
      </c>
      <c r="E955">
        <v>27</v>
      </c>
      <c r="F955" t="s">
        <v>6225</v>
      </c>
      <c r="G955">
        <v>9324862839</v>
      </c>
      <c r="H955" t="s">
        <v>4506</v>
      </c>
      <c r="I955" t="s">
        <v>4507</v>
      </c>
      <c r="J955" t="s">
        <v>4450</v>
      </c>
      <c r="K955">
        <v>4.3</v>
      </c>
      <c r="L955">
        <v>11.2</v>
      </c>
      <c r="M955">
        <v>12.9</v>
      </c>
      <c r="N955" t="s">
        <v>4368</v>
      </c>
      <c r="O955" t="s">
        <v>4369</v>
      </c>
      <c r="P955" s="1">
        <v>45969</v>
      </c>
      <c r="Q955" t="str">
        <f t="shared" si="56"/>
        <v>10+ Years</v>
      </c>
      <c r="R955" t="str">
        <f>IF(Table7[[#This Row],[Age]]&lt;=25,"20-25",IF(Table7[[#This Row],[Age]]&lt;=30,"26-30",IF(Table7[[#This Row],[Age]]&lt;=35,"31-35","36+")))</f>
        <v>26-30</v>
      </c>
      <c r="S955" t="str">
        <f t="shared" si="57"/>
        <v>November</v>
      </c>
      <c r="T955" s="2" t="str">
        <f t="shared" si="58"/>
        <v>Q4</v>
      </c>
      <c r="U955" s="2">
        <f t="shared" si="59"/>
        <v>2025</v>
      </c>
    </row>
    <row r="956" spans="1:21" x14ac:dyDescent="0.3">
      <c r="A956" t="s">
        <v>2910</v>
      </c>
      <c r="B956" t="s">
        <v>4937</v>
      </c>
      <c r="C956" t="s">
        <v>5536</v>
      </c>
      <c r="D956" t="s">
        <v>4363</v>
      </c>
      <c r="E956">
        <v>23</v>
      </c>
      <c r="F956" t="s">
        <v>6226</v>
      </c>
      <c r="G956">
        <v>9751354974</v>
      </c>
      <c r="H956" t="s">
        <v>4365</v>
      </c>
      <c r="I956" t="s">
        <v>4366</v>
      </c>
      <c r="J956" t="s">
        <v>4376</v>
      </c>
      <c r="K956">
        <v>0.7</v>
      </c>
      <c r="L956">
        <v>10.4</v>
      </c>
      <c r="M956">
        <v>14.3</v>
      </c>
      <c r="N956" t="s">
        <v>4390</v>
      </c>
      <c r="O956" t="s">
        <v>4369</v>
      </c>
      <c r="P956" s="1">
        <v>45771</v>
      </c>
      <c r="Q956" t="str">
        <f t="shared" si="56"/>
        <v>10+ Years</v>
      </c>
      <c r="R956" t="str">
        <f>IF(Table7[[#This Row],[Age]]&lt;=25,"20-25",IF(Table7[[#This Row],[Age]]&lt;=30,"26-30",IF(Table7[[#This Row],[Age]]&lt;=35,"31-35","36+")))</f>
        <v>20-25</v>
      </c>
      <c r="S956" t="str">
        <f t="shared" si="57"/>
        <v>April</v>
      </c>
      <c r="T956" s="2" t="str">
        <f t="shared" si="58"/>
        <v>Q2</v>
      </c>
      <c r="U956" s="2">
        <f t="shared" si="59"/>
        <v>2025</v>
      </c>
    </row>
    <row r="957" spans="1:21" x14ac:dyDescent="0.3">
      <c r="A957" t="s">
        <v>3440</v>
      </c>
      <c r="B957" t="s">
        <v>4959</v>
      </c>
      <c r="C957" t="s">
        <v>4826</v>
      </c>
      <c r="D957" t="s">
        <v>4372</v>
      </c>
      <c r="E957">
        <v>30</v>
      </c>
      <c r="F957" t="s">
        <v>6227</v>
      </c>
      <c r="G957">
        <v>9185368754</v>
      </c>
      <c r="H957" t="s">
        <v>4404</v>
      </c>
      <c r="I957" t="s">
        <v>4405</v>
      </c>
      <c r="J957" t="s">
        <v>4367</v>
      </c>
      <c r="K957">
        <v>6.9</v>
      </c>
      <c r="L957">
        <v>14.2</v>
      </c>
      <c r="M957">
        <v>17.100000000000001</v>
      </c>
      <c r="N957" t="s">
        <v>4377</v>
      </c>
      <c r="O957" t="s">
        <v>4383</v>
      </c>
      <c r="P957" s="1">
        <v>45840</v>
      </c>
      <c r="Q957" t="str">
        <f t="shared" si="56"/>
        <v>10+ Years</v>
      </c>
      <c r="R957" t="str">
        <f>IF(Table7[[#This Row],[Age]]&lt;=25,"20-25",IF(Table7[[#This Row],[Age]]&lt;=30,"26-30",IF(Table7[[#This Row],[Age]]&lt;=35,"31-35","36+")))</f>
        <v>26-30</v>
      </c>
      <c r="S957" t="str">
        <f t="shared" si="57"/>
        <v>July</v>
      </c>
      <c r="T957" s="2" t="str">
        <f t="shared" si="58"/>
        <v>Q3</v>
      </c>
      <c r="U957" s="2">
        <f t="shared" si="59"/>
        <v>2025</v>
      </c>
    </row>
    <row r="958" spans="1:21" x14ac:dyDescent="0.3">
      <c r="A958" t="s">
        <v>345</v>
      </c>
      <c r="B958" t="s">
        <v>5352</v>
      </c>
      <c r="C958" t="s">
        <v>6228</v>
      </c>
      <c r="D958" t="s">
        <v>4372</v>
      </c>
      <c r="E958">
        <v>32</v>
      </c>
      <c r="F958" t="s">
        <v>6229</v>
      </c>
      <c r="G958">
        <v>9723842182</v>
      </c>
      <c r="H958" t="s">
        <v>4387</v>
      </c>
      <c r="I958" t="s">
        <v>4388</v>
      </c>
      <c r="J958" t="s">
        <v>4432</v>
      </c>
      <c r="K958">
        <v>1.7</v>
      </c>
      <c r="L958">
        <v>8</v>
      </c>
      <c r="M958">
        <v>10.5</v>
      </c>
      <c r="N958" t="s">
        <v>4377</v>
      </c>
      <c r="O958" t="s">
        <v>4391</v>
      </c>
      <c r="P958" s="1">
        <v>45880</v>
      </c>
      <c r="Q958" t="str">
        <f t="shared" si="56"/>
        <v>10+ Years</v>
      </c>
      <c r="R958" t="str">
        <f>IF(Table7[[#This Row],[Age]]&lt;=25,"20-25",IF(Table7[[#This Row],[Age]]&lt;=30,"26-30",IF(Table7[[#This Row],[Age]]&lt;=35,"31-35","36+")))</f>
        <v>31-35</v>
      </c>
      <c r="S958" t="str">
        <f t="shared" si="57"/>
        <v>August</v>
      </c>
      <c r="T958" s="2" t="str">
        <f t="shared" si="58"/>
        <v>Q3</v>
      </c>
      <c r="U958" s="2">
        <f t="shared" si="59"/>
        <v>2025</v>
      </c>
    </row>
    <row r="959" spans="1:21" x14ac:dyDescent="0.3">
      <c r="A959" t="s">
        <v>257</v>
      </c>
      <c r="B959" t="s">
        <v>4668</v>
      </c>
      <c r="C959" t="s">
        <v>6230</v>
      </c>
      <c r="D959" t="s">
        <v>4372</v>
      </c>
      <c r="E959">
        <v>32</v>
      </c>
      <c r="F959" t="s">
        <v>6231</v>
      </c>
      <c r="G959">
        <v>9746917828</v>
      </c>
      <c r="H959" t="s">
        <v>4395</v>
      </c>
      <c r="I959" t="s">
        <v>4396</v>
      </c>
      <c r="J959" t="s">
        <v>4415</v>
      </c>
      <c r="K959">
        <v>1.1000000000000001</v>
      </c>
      <c r="L959">
        <v>8.1999999999999993</v>
      </c>
      <c r="M959">
        <v>9.3000000000000007</v>
      </c>
      <c r="O959" t="s">
        <v>4383</v>
      </c>
      <c r="P959" s="1">
        <v>45664</v>
      </c>
      <c r="Q959" t="str">
        <f t="shared" si="56"/>
        <v>10+ Years</v>
      </c>
      <c r="R959" t="str">
        <f>IF(Table7[[#This Row],[Age]]&lt;=25,"20-25",IF(Table7[[#This Row],[Age]]&lt;=30,"26-30",IF(Table7[[#This Row],[Age]]&lt;=35,"31-35","36+")))</f>
        <v>31-35</v>
      </c>
      <c r="S959" t="str">
        <f t="shared" si="57"/>
        <v>January</v>
      </c>
      <c r="T959" s="2" t="str">
        <f t="shared" si="58"/>
        <v>Q1</v>
      </c>
      <c r="U959" s="2">
        <f t="shared" si="59"/>
        <v>2025</v>
      </c>
    </row>
    <row r="960" spans="1:21" x14ac:dyDescent="0.3">
      <c r="A960" t="s">
        <v>2963</v>
      </c>
      <c r="B960" t="s">
        <v>4460</v>
      </c>
      <c r="C960" t="s">
        <v>6232</v>
      </c>
      <c r="D960" t="s">
        <v>4363</v>
      </c>
      <c r="E960">
        <v>26</v>
      </c>
      <c r="F960" t="s">
        <v>6233</v>
      </c>
      <c r="G960">
        <v>9645036068</v>
      </c>
      <c r="H960" t="s">
        <v>4454</v>
      </c>
      <c r="I960" t="s">
        <v>4455</v>
      </c>
      <c r="K960">
        <v>1.7</v>
      </c>
      <c r="L960">
        <v>9.6999999999999993</v>
      </c>
      <c r="M960">
        <v>12.8</v>
      </c>
      <c r="O960" t="s">
        <v>4391</v>
      </c>
      <c r="P960" s="1">
        <v>45980</v>
      </c>
      <c r="Q960" t="str">
        <f t="shared" si="56"/>
        <v>10+ Years</v>
      </c>
      <c r="R960" t="str">
        <f>IF(Table7[[#This Row],[Age]]&lt;=25,"20-25",IF(Table7[[#This Row],[Age]]&lt;=30,"26-30",IF(Table7[[#This Row],[Age]]&lt;=35,"31-35","36+")))</f>
        <v>26-30</v>
      </c>
      <c r="S960" t="str">
        <f t="shared" si="57"/>
        <v>November</v>
      </c>
      <c r="T960" s="2" t="str">
        <f t="shared" si="58"/>
        <v>Q4</v>
      </c>
      <c r="U960" s="2">
        <f t="shared" si="59"/>
        <v>2025</v>
      </c>
    </row>
    <row r="961" spans="1:21" x14ac:dyDescent="0.3">
      <c r="A961" t="s">
        <v>163</v>
      </c>
      <c r="B961" t="s">
        <v>5794</v>
      </c>
      <c r="C961" t="s">
        <v>6234</v>
      </c>
      <c r="D961" t="s">
        <v>4372</v>
      </c>
      <c r="E961">
        <v>31</v>
      </c>
      <c r="F961" t="s">
        <v>6235</v>
      </c>
      <c r="G961">
        <v>9374863181</v>
      </c>
      <c r="H961" t="s">
        <v>4395</v>
      </c>
      <c r="I961" t="s">
        <v>4396</v>
      </c>
      <c r="J961" t="s">
        <v>4415</v>
      </c>
      <c r="K961">
        <v>3.2</v>
      </c>
      <c r="L961">
        <v>5</v>
      </c>
      <c r="M961">
        <v>6.5</v>
      </c>
      <c r="N961" t="s">
        <v>4368</v>
      </c>
      <c r="O961" t="s">
        <v>4400</v>
      </c>
      <c r="P961" s="1">
        <v>45913</v>
      </c>
      <c r="Q961" t="str">
        <f t="shared" si="56"/>
        <v>10+ Years</v>
      </c>
      <c r="R961" t="str">
        <f>IF(Table7[[#This Row],[Age]]&lt;=25,"20-25",IF(Table7[[#This Row],[Age]]&lt;=30,"26-30",IF(Table7[[#This Row],[Age]]&lt;=35,"31-35","36+")))</f>
        <v>31-35</v>
      </c>
      <c r="S961" t="str">
        <f t="shared" si="57"/>
        <v>September</v>
      </c>
      <c r="T961" s="2" t="str">
        <f t="shared" si="58"/>
        <v>Q3</v>
      </c>
      <c r="U961" s="2">
        <f t="shared" si="59"/>
        <v>2025</v>
      </c>
    </row>
    <row r="962" spans="1:21" x14ac:dyDescent="0.3">
      <c r="A962" t="s">
        <v>2277</v>
      </c>
      <c r="B962" t="s">
        <v>6236</v>
      </c>
      <c r="C962" t="s">
        <v>4729</v>
      </c>
      <c r="D962" t="s">
        <v>4372</v>
      </c>
      <c r="E962">
        <v>21</v>
      </c>
      <c r="F962" t="s">
        <v>6237</v>
      </c>
      <c r="G962">
        <v>9372344322</v>
      </c>
      <c r="H962" t="s">
        <v>4395</v>
      </c>
      <c r="I962" t="s">
        <v>4396</v>
      </c>
      <c r="J962" t="s">
        <v>4446</v>
      </c>
      <c r="K962">
        <v>0.4</v>
      </c>
      <c r="L962">
        <v>6.7</v>
      </c>
      <c r="M962">
        <v>9.5</v>
      </c>
      <c r="N962" t="s">
        <v>4494</v>
      </c>
      <c r="O962" t="s">
        <v>4369</v>
      </c>
      <c r="P962" s="1">
        <v>45694</v>
      </c>
      <c r="Q962" t="str">
        <f t="shared" ref="Q962:Q1025" si="60">IF(P962&lt;=2,"0-2 Years",IF(P962&lt;=5,"3-5 Years",IF(P962&lt;=10,"6-10 Years","10+ Years")))</f>
        <v>10+ Years</v>
      </c>
      <c r="R962" t="str">
        <f>IF(Table7[[#This Row],[Age]]&lt;=25,"20-25",IF(Table7[[#This Row],[Age]]&lt;=30,"26-30",IF(Table7[[#This Row],[Age]]&lt;=35,"31-35","36+")))</f>
        <v>20-25</v>
      </c>
      <c r="S962" t="str">
        <f t="shared" ref="S962:S1025" si="61">TEXT(P962,"mmmm")</f>
        <v>February</v>
      </c>
      <c r="T962" s="2" t="str">
        <f t="shared" ref="T962:T1025" si="62">"Q"&amp;ROUNDUP(MONTH(P962)/3,0)</f>
        <v>Q1</v>
      </c>
      <c r="U962" s="2">
        <f t="shared" ref="U962:U1025" si="63">YEAR(P962)</f>
        <v>2025</v>
      </c>
    </row>
    <row r="963" spans="1:21" x14ac:dyDescent="0.3">
      <c r="A963" t="s">
        <v>3365</v>
      </c>
      <c r="B963" t="s">
        <v>6238</v>
      </c>
      <c r="C963" t="s">
        <v>6239</v>
      </c>
      <c r="D963" t="s">
        <v>4363</v>
      </c>
      <c r="E963">
        <v>36</v>
      </c>
      <c r="F963" t="s">
        <v>6240</v>
      </c>
      <c r="G963">
        <v>9126573838</v>
      </c>
      <c r="H963" t="s">
        <v>4410</v>
      </c>
      <c r="I963" t="s">
        <v>4411</v>
      </c>
      <c r="J963" t="s">
        <v>4446</v>
      </c>
      <c r="K963">
        <v>2.2999999999999998</v>
      </c>
      <c r="M963">
        <v>8.6</v>
      </c>
      <c r="N963" t="s">
        <v>4368</v>
      </c>
      <c r="O963" t="s">
        <v>4391</v>
      </c>
      <c r="P963" s="1">
        <v>46007</v>
      </c>
      <c r="Q963" t="str">
        <f t="shared" si="60"/>
        <v>10+ Years</v>
      </c>
      <c r="R963" t="str">
        <f>IF(Table7[[#This Row],[Age]]&lt;=25,"20-25",IF(Table7[[#This Row],[Age]]&lt;=30,"26-30",IF(Table7[[#This Row],[Age]]&lt;=35,"31-35","36+")))</f>
        <v>36+</v>
      </c>
      <c r="S963" t="str">
        <f t="shared" si="61"/>
        <v>December</v>
      </c>
      <c r="T963" s="2" t="str">
        <f t="shared" si="62"/>
        <v>Q4</v>
      </c>
      <c r="U963" s="2">
        <f t="shared" si="63"/>
        <v>2025</v>
      </c>
    </row>
    <row r="964" spans="1:21" x14ac:dyDescent="0.3">
      <c r="A964" t="s">
        <v>3527</v>
      </c>
      <c r="B964" t="s">
        <v>5965</v>
      </c>
      <c r="C964" t="s">
        <v>5062</v>
      </c>
      <c r="D964" t="s">
        <v>4372</v>
      </c>
      <c r="E964">
        <v>26</v>
      </c>
      <c r="F964" t="s">
        <v>6241</v>
      </c>
      <c r="G964">
        <v>9491908721</v>
      </c>
      <c r="H964" t="s">
        <v>4365</v>
      </c>
      <c r="I964" t="s">
        <v>4366</v>
      </c>
      <c r="J964" t="s">
        <v>4389</v>
      </c>
      <c r="K964">
        <v>4.3</v>
      </c>
      <c r="L964">
        <v>8.8000000000000007</v>
      </c>
      <c r="M964">
        <v>11.8</v>
      </c>
      <c r="N964" t="s">
        <v>4390</v>
      </c>
      <c r="O964" t="s">
        <v>4369</v>
      </c>
      <c r="P964" s="1">
        <v>45769</v>
      </c>
      <c r="Q964" t="str">
        <f t="shared" si="60"/>
        <v>10+ Years</v>
      </c>
      <c r="R964" t="str">
        <f>IF(Table7[[#This Row],[Age]]&lt;=25,"20-25",IF(Table7[[#This Row],[Age]]&lt;=30,"26-30",IF(Table7[[#This Row],[Age]]&lt;=35,"31-35","36+")))</f>
        <v>26-30</v>
      </c>
      <c r="S964" t="str">
        <f t="shared" si="61"/>
        <v>April</v>
      </c>
      <c r="T964" s="2" t="str">
        <f t="shared" si="62"/>
        <v>Q2</v>
      </c>
      <c r="U964" s="2">
        <f t="shared" si="63"/>
        <v>2025</v>
      </c>
    </row>
    <row r="965" spans="1:21" x14ac:dyDescent="0.3">
      <c r="A965" t="s">
        <v>2320</v>
      </c>
      <c r="B965" t="s">
        <v>4573</v>
      </c>
      <c r="C965" t="s">
        <v>5872</v>
      </c>
      <c r="D965" t="s">
        <v>4372</v>
      </c>
      <c r="E965">
        <v>32</v>
      </c>
      <c r="F965" t="s">
        <v>6242</v>
      </c>
      <c r="G965">
        <v>9424880620</v>
      </c>
      <c r="H965" t="s">
        <v>4395</v>
      </c>
      <c r="I965" t="s">
        <v>4396</v>
      </c>
      <c r="J965" t="s">
        <v>4376</v>
      </c>
      <c r="K965">
        <v>0.5</v>
      </c>
      <c r="L965">
        <v>9.3000000000000007</v>
      </c>
      <c r="M965">
        <v>11.9</v>
      </c>
      <c r="N965" t="s">
        <v>4390</v>
      </c>
      <c r="O965" t="s">
        <v>4456</v>
      </c>
      <c r="P965" s="1">
        <v>45873</v>
      </c>
      <c r="Q965" t="str">
        <f t="shared" si="60"/>
        <v>10+ Years</v>
      </c>
      <c r="R965" t="str">
        <f>IF(Table7[[#This Row],[Age]]&lt;=25,"20-25",IF(Table7[[#This Row],[Age]]&lt;=30,"26-30",IF(Table7[[#This Row],[Age]]&lt;=35,"31-35","36+")))</f>
        <v>31-35</v>
      </c>
      <c r="S965" t="str">
        <f t="shared" si="61"/>
        <v>August</v>
      </c>
      <c r="T965" s="2" t="str">
        <f t="shared" si="62"/>
        <v>Q3</v>
      </c>
      <c r="U965" s="2">
        <f t="shared" si="63"/>
        <v>2025</v>
      </c>
    </row>
    <row r="966" spans="1:21" x14ac:dyDescent="0.3">
      <c r="A966" t="s">
        <v>2432</v>
      </c>
      <c r="B966" t="s">
        <v>6243</v>
      </c>
      <c r="C966" t="s">
        <v>6244</v>
      </c>
      <c r="D966" t="s">
        <v>4372</v>
      </c>
      <c r="E966">
        <v>21</v>
      </c>
      <c r="F966" t="s">
        <v>6245</v>
      </c>
      <c r="G966">
        <v>9477748937</v>
      </c>
      <c r="H966" t="s">
        <v>4454</v>
      </c>
      <c r="I966" t="s">
        <v>4455</v>
      </c>
      <c r="J966" t="s">
        <v>4367</v>
      </c>
      <c r="K966">
        <v>3.9</v>
      </c>
      <c r="L966">
        <v>16.2</v>
      </c>
      <c r="M966">
        <v>18.399999999999999</v>
      </c>
      <c r="N966" t="s">
        <v>4494</v>
      </c>
      <c r="O966" t="s">
        <v>4391</v>
      </c>
      <c r="P966" s="1">
        <v>45822</v>
      </c>
      <c r="Q966" t="str">
        <f t="shared" si="60"/>
        <v>10+ Years</v>
      </c>
      <c r="R966" t="str">
        <f>IF(Table7[[#This Row],[Age]]&lt;=25,"20-25",IF(Table7[[#This Row],[Age]]&lt;=30,"26-30",IF(Table7[[#This Row],[Age]]&lt;=35,"31-35","36+")))</f>
        <v>20-25</v>
      </c>
      <c r="S966" t="str">
        <f t="shared" si="61"/>
        <v>June</v>
      </c>
      <c r="T966" s="2" t="str">
        <f t="shared" si="62"/>
        <v>Q2</v>
      </c>
      <c r="U966" s="2">
        <f t="shared" si="63"/>
        <v>2025</v>
      </c>
    </row>
    <row r="967" spans="1:21" x14ac:dyDescent="0.3">
      <c r="A967" t="s">
        <v>1845</v>
      </c>
      <c r="B967" t="s">
        <v>4718</v>
      </c>
      <c r="C967" t="s">
        <v>5009</v>
      </c>
      <c r="D967" t="s">
        <v>4372</v>
      </c>
      <c r="E967">
        <v>40</v>
      </c>
      <c r="F967" t="s">
        <v>6246</v>
      </c>
      <c r="G967">
        <v>9192743233</v>
      </c>
      <c r="H967" t="s">
        <v>4521</v>
      </c>
      <c r="I967" t="s">
        <v>4522</v>
      </c>
      <c r="J967" t="s">
        <v>4367</v>
      </c>
      <c r="K967">
        <v>2</v>
      </c>
      <c r="L967">
        <v>7.2</v>
      </c>
      <c r="M967">
        <v>9.4</v>
      </c>
      <c r="N967" t="s">
        <v>4390</v>
      </c>
      <c r="O967" t="s">
        <v>4369</v>
      </c>
      <c r="P967" s="1">
        <v>45740</v>
      </c>
      <c r="Q967" t="str">
        <f t="shared" si="60"/>
        <v>10+ Years</v>
      </c>
      <c r="R967" t="str">
        <f>IF(Table7[[#This Row],[Age]]&lt;=25,"20-25",IF(Table7[[#This Row],[Age]]&lt;=30,"26-30",IF(Table7[[#This Row],[Age]]&lt;=35,"31-35","36+")))</f>
        <v>36+</v>
      </c>
      <c r="S967" t="str">
        <f t="shared" si="61"/>
        <v>March</v>
      </c>
      <c r="T967" s="2" t="str">
        <f t="shared" si="62"/>
        <v>Q1</v>
      </c>
      <c r="U967" s="2">
        <f t="shared" si="63"/>
        <v>2025</v>
      </c>
    </row>
    <row r="968" spans="1:21" x14ac:dyDescent="0.3">
      <c r="A968" t="s">
        <v>1170</v>
      </c>
      <c r="B968" t="s">
        <v>4495</v>
      </c>
      <c r="C968" t="s">
        <v>5142</v>
      </c>
      <c r="D968" t="s">
        <v>4372</v>
      </c>
      <c r="E968">
        <v>35</v>
      </c>
      <c r="F968" t="s">
        <v>6247</v>
      </c>
      <c r="G968">
        <v>9500999818</v>
      </c>
      <c r="H968" t="s">
        <v>4404</v>
      </c>
      <c r="I968" t="s">
        <v>4405</v>
      </c>
      <c r="J968" t="s">
        <v>4482</v>
      </c>
      <c r="K968">
        <v>0.2</v>
      </c>
      <c r="L968">
        <v>2.5</v>
      </c>
      <c r="M968">
        <v>2.9</v>
      </c>
      <c r="N968" t="s">
        <v>4390</v>
      </c>
      <c r="O968" t="s">
        <v>4369</v>
      </c>
      <c r="P968" s="1">
        <v>45854</v>
      </c>
      <c r="Q968" t="str">
        <f t="shared" si="60"/>
        <v>10+ Years</v>
      </c>
      <c r="R968" t="str">
        <f>IF(Table7[[#This Row],[Age]]&lt;=25,"20-25",IF(Table7[[#This Row],[Age]]&lt;=30,"26-30",IF(Table7[[#This Row],[Age]]&lt;=35,"31-35","36+")))</f>
        <v>31-35</v>
      </c>
      <c r="S968" t="str">
        <f t="shared" si="61"/>
        <v>July</v>
      </c>
      <c r="T968" s="2" t="str">
        <f t="shared" si="62"/>
        <v>Q3</v>
      </c>
      <c r="U968" s="2">
        <f t="shared" si="63"/>
        <v>2025</v>
      </c>
    </row>
    <row r="969" spans="1:21" x14ac:dyDescent="0.3">
      <c r="A969" t="s">
        <v>1103</v>
      </c>
      <c r="B969" t="s">
        <v>5153</v>
      </c>
      <c r="C969" t="s">
        <v>4408</v>
      </c>
      <c r="D969" t="s">
        <v>4372</v>
      </c>
      <c r="E969">
        <v>29</v>
      </c>
      <c r="F969" t="s">
        <v>6248</v>
      </c>
      <c r="G969">
        <v>9746285266</v>
      </c>
      <c r="H969" t="s">
        <v>4395</v>
      </c>
      <c r="I969" t="s">
        <v>4396</v>
      </c>
      <c r="J969" t="s">
        <v>4367</v>
      </c>
      <c r="K969">
        <v>0.2</v>
      </c>
      <c r="L969">
        <v>5</v>
      </c>
      <c r="M969">
        <v>5.8</v>
      </c>
      <c r="N969" t="s">
        <v>4377</v>
      </c>
      <c r="O969" t="s">
        <v>4383</v>
      </c>
      <c r="P969" s="1">
        <v>45742</v>
      </c>
      <c r="Q969" t="str">
        <f t="shared" si="60"/>
        <v>10+ Years</v>
      </c>
      <c r="R969" t="str">
        <f>IF(Table7[[#This Row],[Age]]&lt;=25,"20-25",IF(Table7[[#This Row],[Age]]&lt;=30,"26-30",IF(Table7[[#This Row],[Age]]&lt;=35,"31-35","36+")))</f>
        <v>26-30</v>
      </c>
      <c r="S969" t="str">
        <f t="shared" si="61"/>
        <v>March</v>
      </c>
      <c r="T969" s="2" t="str">
        <f t="shared" si="62"/>
        <v>Q1</v>
      </c>
      <c r="U969" s="2">
        <f t="shared" si="63"/>
        <v>2025</v>
      </c>
    </row>
    <row r="970" spans="1:21" x14ac:dyDescent="0.3">
      <c r="A970" t="s">
        <v>1392</v>
      </c>
      <c r="B970" t="s">
        <v>4787</v>
      </c>
      <c r="C970" t="s">
        <v>4398</v>
      </c>
      <c r="D970" t="s">
        <v>4372</v>
      </c>
      <c r="E970">
        <v>24</v>
      </c>
      <c r="F970" t="s">
        <v>6249</v>
      </c>
      <c r="G970">
        <v>9966728895</v>
      </c>
      <c r="H970" t="s">
        <v>4445</v>
      </c>
      <c r="I970" t="s">
        <v>4396</v>
      </c>
      <c r="J970" t="s">
        <v>4432</v>
      </c>
      <c r="K970">
        <v>10.4</v>
      </c>
      <c r="L970">
        <v>21.6</v>
      </c>
      <c r="M970">
        <v>31</v>
      </c>
      <c r="N970" t="s">
        <v>4390</v>
      </c>
      <c r="O970" t="s">
        <v>4456</v>
      </c>
      <c r="P970" s="1">
        <v>45751</v>
      </c>
      <c r="Q970" t="str">
        <f t="shared" si="60"/>
        <v>10+ Years</v>
      </c>
      <c r="R970" t="str">
        <f>IF(Table7[[#This Row],[Age]]&lt;=25,"20-25",IF(Table7[[#This Row],[Age]]&lt;=30,"26-30",IF(Table7[[#This Row],[Age]]&lt;=35,"31-35","36+")))</f>
        <v>20-25</v>
      </c>
      <c r="S970" t="str">
        <f t="shared" si="61"/>
        <v>April</v>
      </c>
      <c r="T970" s="2" t="str">
        <f t="shared" si="62"/>
        <v>Q2</v>
      </c>
      <c r="U970" s="2">
        <f t="shared" si="63"/>
        <v>2025</v>
      </c>
    </row>
    <row r="971" spans="1:21" x14ac:dyDescent="0.3">
      <c r="A971" t="s">
        <v>3951</v>
      </c>
      <c r="B971" t="s">
        <v>4830</v>
      </c>
      <c r="C971" t="s">
        <v>6250</v>
      </c>
      <c r="D971" t="s">
        <v>4363</v>
      </c>
      <c r="E971">
        <v>30</v>
      </c>
      <c r="F971" t="s">
        <v>6251</v>
      </c>
      <c r="G971">
        <v>9485587365</v>
      </c>
      <c r="H971" t="s">
        <v>4410</v>
      </c>
      <c r="I971" t="s">
        <v>4411</v>
      </c>
      <c r="J971" t="s">
        <v>4367</v>
      </c>
      <c r="K971">
        <v>5.9</v>
      </c>
      <c r="L971">
        <v>10.8</v>
      </c>
      <c r="M971">
        <v>15.4</v>
      </c>
      <c r="N971" t="s">
        <v>4377</v>
      </c>
      <c r="O971" t="s">
        <v>4400</v>
      </c>
      <c r="P971" s="1">
        <v>45883</v>
      </c>
      <c r="Q971" t="str">
        <f t="shared" si="60"/>
        <v>10+ Years</v>
      </c>
      <c r="R971" t="str">
        <f>IF(Table7[[#This Row],[Age]]&lt;=25,"20-25",IF(Table7[[#This Row],[Age]]&lt;=30,"26-30",IF(Table7[[#This Row],[Age]]&lt;=35,"31-35","36+")))</f>
        <v>26-30</v>
      </c>
      <c r="S971" t="str">
        <f t="shared" si="61"/>
        <v>August</v>
      </c>
      <c r="T971" s="2" t="str">
        <f t="shared" si="62"/>
        <v>Q3</v>
      </c>
      <c r="U971" s="2">
        <f t="shared" si="63"/>
        <v>2025</v>
      </c>
    </row>
    <row r="972" spans="1:21" x14ac:dyDescent="0.3">
      <c r="A972" t="s">
        <v>3053</v>
      </c>
      <c r="B972" t="s">
        <v>5147</v>
      </c>
      <c r="C972" t="s">
        <v>6252</v>
      </c>
      <c r="D972" t="s">
        <v>4363</v>
      </c>
      <c r="E972">
        <v>21</v>
      </c>
      <c r="F972" t="s">
        <v>6253</v>
      </c>
      <c r="G972">
        <v>9753140584</v>
      </c>
      <c r="H972" t="s">
        <v>4521</v>
      </c>
      <c r="I972" t="s">
        <v>4522</v>
      </c>
      <c r="J972" t="s">
        <v>4482</v>
      </c>
      <c r="K972">
        <v>4.3</v>
      </c>
      <c r="L972">
        <v>10.199999999999999</v>
      </c>
      <c r="M972">
        <v>14</v>
      </c>
      <c r="N972" t="s">
        <v>4377</v>
      </c>
      <c r="O972" t="s">
        <v>4485</v>
      </c>
      <c r="P972" s="1">
        <v>46021</v>
      </c>
      <c r="Q972" t="str">
        <f t="shared" si="60"/>
        <v>10+ Years</v>
      </c>
      <c r="R972" t="str">
        <f>IF(Table7[[#This Row],[Age]]&lt;=25,"20-25",IF(Table7[[#This Row],[Age]]&lt;=30,"26-30",IF(Table7[[#This Row],[Age]]&lt;=35,"31-35","36+")))</f>
        <v>20-25</v>
      </c>
      <c r="S972" t="str">
        <f t="shared" si="61"/>
        <v>December</v>
      </c>
      <c r="T972" s="2" t="str">
        <f t="shared" si="62"/>
        <v>Q4</v>
      </c>
      <c r="U972" s="2">
        <f t="shared" si="63"/>
        <v>2025</v>
      </c>
    </row>
    <row r="973" spans="1:21" x14ac:dyDescent="0.3">
      <c r="A973" t="s">
        <v>6254</v>
      </c>
      <c r="B973" t="s">
        <v>4537</v>
      </c>
      <c r="C973" t="s">
        <v>4781</v>
      </c>
      <c r="D973" t="s">
        <v>4372</v>
      </c>
      <c r="E973">
        <v>23</v>
      </c>
      <c r="F973" t="s">
        <v>6255</v>
      </c>
      <c r="G973">
        <v>9794060129</v>
      </c>
      <c r="H973" t="s">
        <v>4365</v>
      </c>
      <c r="I973" t="s">
        <v>4366</v>
      </c>
      <c r="J973" t="s">
        <v>4450</v>
      </c>
      <c r="K973">
        <v>3</v>
      </c>
      <c r="L973">
        <v>7.3</v>
      </c>
      <c r="M973">
        <v>10</v>
      </c>
      <c r="N973" t="s">
        <v>4406</v>
      </c>
      <c r="O973" t="s">
        <v>4485</v>
      </c>
      <c r="P973" s="1">
        <v>45935</v>
      </c>
      <c r="Q973" t="str">
        <f t="shared" si="60"/>
        <v>10+ Years</v>
      </c>
      <c r="R973" t="str">
        <f>IF(Table7[[#This Row],[Age]]&lt;=25,"20-25",IF(Table7[[#This Row],[Age]]&lt;=30,"26-30",IF(Table7[[#This Row],[Age]]&lt;=35,"31-35","36+")))</f>
        <v>20-25</v>
      </c>
      <c r="S973" t="str">
        <f t="shared" si="61"/>
        <v>October</v>
      </c>
      <c r="T973" s="2" t="str">
        <f t="shared" si="62"/>
        <v>Q4</v>
      </c>
      <c r="U973" s="2">
        <f t="shared" si="63"/>
        <v>2025</v>
      </c>
    </row>
    <row r="974" spans="1:21" x14ac:dyDescent="0.3">
      <c r="A974" t="s">
        <v>2823</v>
      </c>
      <c r="B974" t="s">
        <v>6256</v>
      </c>
      <c r="C974" t="s">
        <v>5167</v>
      </c>
      <c r="D974" t="s">
        <v>4372</v>
      </c>
      <c r="E974">
        <v>26</v>
      </c>
      <c r="F974" t="s">
        <v>6257</v>
      </c>
      <c r="G974">
        <v>9628300659</v>
      </c>
      <c r="H974" t="s">
        <v>4445</v>
      </c>
      <c r="I974" t="s">
        <v>4396</v>
      </c>
      <c r="J974" t="s">
        <v>4482</v>
      </c>
      <c r="K974">
        <v>5.7</v>
      </c>
      <c r="L974">
        <v>7.3</v>
      </c>
      <c r="M974">
        <v>10.4</v>
      </c>
      <c r="N974" t="s">
        <v>4377</v>
      </c>
      <c r="O974" t="s">
        <v>4400</v>
      </c>
      <c r="P974" s="1">
        <v>45731</v>
      </c>
      <c r="Q974" t="str">
        <f t="shared" si="60"/>
        <v>10+ Years</v>
      </c>
      <c r="R974" t="str">
        <f>IF(Table7[[#This Row],[Age]]&lt;=25,"20-25",IF(Table7[[#This Row],[Age]]&lt;=30,"26-30",IF(Table7[[#This Row],[Age]]&lt;=35,"31-35","36+")))</f>
        <v>26-30</v>
      </c>
      <c r="S974" t="str">
        <f t="shared" si="61"/>
        <v>March</v>
      </c>
      <c r="T974" s="2" t="str">
        <f t="shared" si="62"/>
        <v>Q1</v>
      </c>
      <c r="U974" s="2">
        <f t="shared" si="63"/>
        <v>2025</v>
      </c>
    </row>
    <row r="975" spans="1:21" x14ac:dyDescent="0.3">
      <c r="A975" t="s">
        <v>200</v>
      </c>
      <c r="B975" t="s">
        <v>4436</v>
      </c>
      <c r="C975" t="s">
        <v>4606</v>
      </c>
      <c r="D975" t="s">
        <v>4372</v>
      </c>
      <c r="E975">
        <v>23</v>
      </c>
      <c r="F975" t="s">
        <v>6258</v>
      </c>
      <c r="G975">
        <v>9374429318</v>
      </c>
      <c r="H975" t="s">
        <v>4395</v>
      </c>
      <c r="I975" t="s">
        <v>4396</v>
      </c>
      <c r="J975" t="s">
        <v>4432</v>
      </c>
      <c r="K975">
        <v>0.4</v>
      </c>
      <c r="L975">
        <v>6.3</v>
      </c>
      <c r="M975">
        <v>7.5</v>
      </c>
      <c r="N975" t="s">
        <v>4390</v>
      </c>
      <c r="O975" t="s">
        <v>4485</v>
      </c>
      <c r="P975" s="1">
        <v>45815</v>
      </c>
      <c r="Q975" t="str">
        <f t="shared" si="60"/>
        <v>10+ Years</v>
      </c>
      <c r="R975" t="str">
        <f>IF(Table7[[#This Row],[Age]]&lt;=25,"20-25",IF(Table7[[#This Row],[Age]]&lt;=30,"26-30",IF(Table7[[#This Row],[Age]]&lt;=35,"31-35","36+")))</f>
        <v>20-25</v>
      </c>
      <c r="S975" t="str">
        <f t="shared" si="61"/>
        <v>June</v>
      </c>
      <c r="T975" s="2" t="str">
        <f t="shared" si="62"/>
        <v>Q2</v>
      </c>
      <c r="U975" s="2">
        <f t="shared" si="63"/>
        <v>2025</v>
      </c>
    </row>
    <row r="976" spans="1:21" x14ac:dyDescent="0.3">
      <c r="A976" t="s">
        <v>1696</v>
      </c>
      <c r="B976" t="s">
        <v>6259</v>
      </c>
      <c r="C976" t="s">
        <v>4440</v>
      </c>
      <c r="D976" t="s">
        <v>4363</v>
      </c>
      <c r="E976">
        <v>21</v>
      </c>
      <c r="F976" t="s">
        <v>6260</v>
      </c>
      <c r="G976">
        <v>9272100569</v>
      </c>
      <c r="H976" t="s">
        <v>4395</v>
      </c>
      <c r="I976" t="s">
        <v>4396</v>
      </c>
      <c r="J976" t="s">
        <v>4432</v>
      </c>
      <c r="K976">
        <v>11.1</v>
      </c>
      <c r="L976">
        <v>22.5</v>
      </c>
      <c r="M976">
        <v>27.9</v>
      </c>
      <c r="N976" t="s">
        <v>4390</v>
      </c>
      <c r="O976" t="s">
        <v>4400</v>
      </c>
      <c r="P976" s="1">
        <v>45902</v>
      </c>
      <c r="Q976" t="str">
        <f t="shared" si="60"/>
        <v>10+ Years</v>
      </c>
      <c r="R976" t="str">
        <f>IF(Table7[[#This Row],[Age]]&lt;=25,"20-25",IF(Table7[[#This Row],[Age]]&lt;=30,"26-30",IF(Table7[[#This Row],[Age]]&lt;=35,"31-35","36+")))</f>
        <v>20-25</v>
      </c>
      <c r="S976" t="str">
        <f t="shared" si="61"/>
        <v>September</v>
      </c>
      <c r="T976" s="2" t="str">
        <f t="shared" si="62"/>
        <v>Q3</v>
      </c>
      <c r="U976" s="2">
        <f t="shared" si="63"/>
        <v>2025</v>
      </c>
    </row>
    <row r="977" spans="1:21" x14ac:dyDescent="0.3">
      <c r="A977" t="s">
        <v>433</v>
      </c>
      <c r="B977" t="s">
        <v>5427</v>
      </c>
      <c r="C977" t="s">
        <v>4532</v>
      </c>
      <c r="D977" t="s">
        <v>4363</v>
      </c>
      <c r="E977">
        <v>32</v>
      </c>
      <c r="F977" t="s">
        <v>6261</v>
      </c>
      <c r="G977">
        <v>9928796067</v>
      </c>
      <c r="H977" t="s">
        <v>4395</v>
      </c>
      <c r="I977" t="s">
        <v>4396</v>
      </c>
      <c r="J977" t="s">
        <v>4432</v>
      </c>
      <c r="K977">
        <v>1.8</v>
      </c>
      <c r="L977">
        <v>2.5</v>
      </c>
      <c r="M977">
        <v>2.9</v>
      </c>
      <c r="N977" t="s">
        <v>4390</v>
      </c>
      <c r="O977" t="s">
        <v>4485</v>
      </c>
      <c r="P977" s="1">
        <v>45822</v>
      </c>
      <c r="Q977" t="str">
        <f t="shared" si="60"/>
        <v>10+ Years</v>
      </c>
      <c r="R977" t="str">
        <f>IF(Table7[[#This Row],[Age]]&lt;=25,"20-25",IF(Table7[[#This Row],[Age]]&lt;=30,"26-30",IF(Table7[[#This Row],[Age]]&lt;=35,"31-35","36+")))</f>
        <v>31-35</v>
      </c>
      <c r="S977" t="str">
        <f t="shared" si="61"/>
        <v>June</v>
      </c>
      <c r="T977" s="2" t="str">
        <f t="shared" si="62"/>
        <v>Q2</v>
      </c>
      <c r="U977" s="2">
        <f t="shared" si="63"/>
        <v>2025</v>
      </c>
    </row>
    <row r="978" spans="1:21" x14ac:dyDescent="0.3">
      <c r="A978" t="s">
        <v>6262</v>
      </c>
      <c r="B978" t="s">
        <v>4565</v>
      </c>
      <c r="C978" t="s">
        <v>6263</v>
      </c>
      <c r="D978" t="s">
        <v>4372</v>
      </c>
      <c r="E978">
        <v>27</v>
      </c>
      <c r="F978" t="s">
        <v>6264</v>
      </c>
      <c r="G978">
        <v>9766676740</v>
      </c>
      <c r="H978" t="s">
        <v>4381</v>
      </c>
      <c r="I978" t="s">
        <v>4382</v>
      </c>
      <c r="J978" t="s">
        <v>4415</v>
      </c>
      <c r="K978">
        <v>3.7</v>
      </c>
      <c r="L978">
        <v>6.2</v>
      </c>
      <c r="M978">
        <v>8.3000000000000007</v>
      </c>
      <c r="O978" t="s">
        <v>4369</v>
      </c>
      <c r="P978" s="1">
        <v>46014</v>
      </c>
      <c r="Q978" t="str">
        <f t="shared" si="60"/>
        <v>10+ Years</v>
      </c>
      <c r="R978" t="str">
        <f>IF(Table7[[#This Row],[Age]]&lt;=25,"20-25",IF(Table7[[#This Row],[Age]]&lt;=30,"26-30",IF(Table7[[#This Row],[Age]]&lt;=35,"31-35","36+")))</f>
        <v>26-30</v>
      </c>
      <c r="S978" t="str">
        <f t="shared" si="61"/>
        <v>December</v>
      </c>
      <c r="T978" s="2" t="str">
        <f t="shared" si="62"/>
        <v>Q4</v>
      </c>
      <c r="U978" s="2">
        <f t="shared" si="63"/>
        <v>2025</v>
      </c>
    </row>
    <row r="979" spans="1:21" x14ac:dyDescent="0.3">
      <c r="A979" t="s">
        <v>2546</v>
      </c>
      <c r="B979" t="s">
        <v>4596</v>
      </c>
      <c r="C979" t="s">
        <v>5113</v>
      </c>
      <c r="D979" t="s">
        <v>4372</v>
      </c>
      <c r="E979">
        <v>28</v>
      </c>
      <c r="F979" t="s">
        <v>6265</v>
      </c>
      <c r="G979">
        <v>9432729551</v>
      </c>
      <c r="H979" t="s">
        <v>4454</v>
      </c>
      <c r="I979" t="s">
        <v>4455</v>
      </c>
      <c r="J979" t="s">
        <v>4446</v>
      </c>
      <c r="K979">
        <v>3.1</v>
      </c>
      <c r="L979">
        <v>10.1</v>
      </c>
      <c r="M979">
        <v>13.2</v>
      </c>
      <c r="N979" t="s">
        <v>4390</v>
      </c>
      <c r="O979" t="s">
        <v>4456</v>
      </c>
      <c r="P979" s="1">
        <v>45910</v>
      </c>
      <c r="Q979" t="str">
        <f t="shared" si="60"/>
        <v>10+ Years</v>
      </c>
      <c r="R979" t="str">
        <f>IF(Table7[[#This Row],[Age]]&lt;=25,"20-25",IF(Table7[[#This Row],[Age]]&lt;=30,"26-30",IF(Table7[[#This Row],[Age]]&lt;=35,"31-35","36+")))</f>
        <v>26-30</v>
      </c>
      <c r="S979" t="str">
        <f t="shared" si="61"/>
        <v>September</v>
      </c>
      <c r="T979" s="2" t="str">
        <f t="shared" si="62"/>
        <v>Q3</v>
      </c>
      <c r="U979" s="2">
        <f t="shared" si="63"/>
        <v>2025</v>
      </c>
    </row>
    <row r="980" spans="1:21" x14ac:dyDescent="0.3">
      <c r="A980" t="s">
        <v>283</v>
      </c>
      <c r="B980" t="s">
        <v>4407</v>
      </c>
      <c r="C980" t="s">
        <v>4652</v>
      </c>
      <c r="D980" t="s">
        <v>4372</v>
      </c>
      <c r="E980">
        <v>36</v>
      </c>
      <c r="F980" t="s">
        <v>6266</v>
      </c>
      <c r="G980">
        <v>9804363946</v>
      </c>
      <c r="H980" t="s">
        <v>4410</v>
      </c>
      <c r="I980" t="s">
        <v>4411</v>
      </c>
      <c r="J980" t="s">
        <v>4389</v>
      </c>
      <c r="K980">
        <v>5.9</v>
      </c>
      <c r="L980">
        <v>10.1</v>
      </c>
      <c r="M980">
        <v>12.6</v>
      </c>
      <c r="N980" t="s">
        <v>4368</v>
      </c>
      <c r="O980" t="s">
        <v>4383</v>
      </c>
      <c r="P980" s="1">
        <v>45694</v>
      </c>
      <c r="Q980" t="str">
        <f t="shared" si="60"/>
        <v>10+ Years</v>
      </c>
      <c r="R980" t="str">
        <f>IF(Table7[[#This Row],[Age]]&lt;=25,"20-25",IF(Table7[[#This Row],[Age]]&lt;=30,"26-30",IF(Table7[[#This Row],[Age]]&lt;=35,"31-35","36+")))</f>
        <v>36+</v>
      </c>
      <c r="S980" t="str">
        <f t="shared" si="61"/>
        <v>February</v>
      </c>
      <c r="T980" s="2" t="str">
        <f t="shared" si="62"/>
        <v>Q1</v>
      </c>
      <c r="U980" s="2">
        <f t="shared" si="63"/>
        <v>2025</v>
      </c>
    </row>
    <row r="981" spans="1:21" x14ac:dyDescent="0.3">
      <c r="A981" t="s">
        <v>6267</v>
      </c>
      <c r="B981" t="s">
        <v>4401</v>
      </c>
      <c r="C981" t="s">
        <v>6268</v>
      </c>
      <c r="D981" t="s">
        <v>4363</v>
      </c>
      <c r="E981">
        <v>29</v>
      </c>
      <c r="F981" t="s">
        <v>6269</v>
      </c>
      <c r="G981">
        <v>9625030287</v>
      </c>
      <c r="H981" t="s">
        <v>4506</v>
      </c>
      <c r="I981" t="s">
        <v>4507</v>
      </c>
      <c r="J981" t="s">
        <v>4432</v>
      </c>
      <c r="K981">
        <v>1.3</v>
      </c>
      <c r="L981">
        <v>7.6</v>
      </c>
      <c r="M981">
        <v>9.6</v>
      </c>
      <c r="N981" t="s">
        <v>4406</v>
      </c>
      <c r="O981" t="s">
        <v>4369</v>
      </c>
      <c r="P981" s="1">
        <v>45992</v>
      </c>
      <c r="Q981" t="str">
        <f t="shared" si="60"/>
        <v>10+ Years</v>
      </c>
      <c r="R981" t="str">
        <f>IF(Table7[[#This Row],[Age]]&lt;=25,"20-25",IF(Table7[[#This Row],[Age]]&lt;=30,"26-30",IF(Table7[[#This Row],[Age]]&lt;=35,"31-35","36+")))</f>
        <v>26-30</v>
      </c>
      <c r="S981" t="str">
        <f t="shared" si="61"/>
        <v>December</v>
      </c>
      <c r="T981" s="2" t="str">
        <f t="shared" si="62"/>
        <v>Q4</v>
      </c>
      <c r="U981" s="2">
        <f t="shared" si="63"/>
        <v>2025</v>
      </c>
    </row>
    <row r="982" spans="1:21" x14ac:dyDescent="0.3">
      <c r="A982" t="s">
        <v>1619</v>
      </c>
      <c r="B982" t="s">
        <v>4668</v>
      </c>
      <c r="C982" t="s">
        <v>4735</v>
      </c>
      <c r="D982" t="s">
        <v>4372</v>
      </c>
      <c r="E982">
        <v>36</v>
      </c>
      <c r="F982" t="s">
        <v>6270</v>
      </c>
      <c r="G982">
        <v>9995562894</v>
      </c>
      <c r="H982" t="s">
        <v>4473</v>
      </c>
      <c r="I982" t="s">
        <v>4473</v>
      </c>
      <c r="J982" t="s">
        <v>4446</v>
      </c>
      <c r="K982">
        <v>3.2</v>
      </c>
      <c r="L982">
        <v>12.6</v>
      </c>
      <c r="M982">
        <v>15</v>
      </c>
      <c r="N982" t="s">
        <v>4406</v>
      </c>
      <c r="O982" t="s">
        <v>4391</v>
      </c>
      <c r="P982" s="1">
        <v>45942</v>
      </c>
      <c r="Q982" t="str">
        <f t="shared" si="60"/>
        <v>10+ Years</v>
      </c>
      <c r="R982" t="str">
        <f>IF(Table7[[#This Row],[Age]]&lt;=25,"20-25",IF(Table7[[#This Row],[Age]]&lt;=30,"26-30",IF(Table7[[#This Row],[Age]]&lt;=35,"31-35","36+")))</f>
        <v>36+</v>
      </c>
      <c r="S982" t="str">
        <f t="shared" si="61"/>
        <v>October</v>
      </c>
      <c r="T982" s="2" t="str">
        <f t="shared" si="62"/>
        <v>Q4</v>
      </c>
      <c r="U982" s="2">
        <f t="shared" si="63"/>
        <v>2025</v>
      </c>
    </row>
    <row r="983" spans="1:21" x14ac:dyDescent="0.3">
      <c r="A983" t="s">
        <v>509</v>
      </c>
      <c r="B983" t="s">
        <v>6271</v>
      </c>
      <c r="C983" t="s">
        <v>5088</v>
      </c>
      <c r="D983" t="s">
        <v>4372</v>
      </c>
      <c r="E983">
        <v>21</v>
      </c>
      <c r="F983" t="s">
        <v>6272</v>
      </c>
      <c r="G983">
        <v>9836177272</v>
      </c>
      <c r="H983" t="s">
        <v>4454</v>
      </c>
      <c r="I983" t="s">
        <v>4455</v>
      </c>
      <c r="J983" t="s">
        <v>4415</v>
      </c>
      <c r="K983">
        <v>0.1</v>
      </c>
      <c r="L983">
        <v>4.7</v>
      </c>
      <c r="M983">
        <v>6.1</v>
      </c>
      <c r="N983" t="s">
        <v>4377</v>
      </c>
      <c r="O983" t="s">
        <v>4369</v>
      </c>
      <c r="P983" s="1">
        <v>45841</v>
      </c>
      <c r="Q983" t="str">
        <f t="shared" si="60"/>
        <v>10+ Years</v>
      </c>
      <c r="R983" t="str">
        <f>IF(Table7[[#This Row],[Age]]&lt;=25,"20-25",IF(Table7[[#This Row],[Age]]&lt;=30,"26-30",IF(Table7[[#This Row],[Age]]&lt;=35,"31-35","36+")))</f>
        <v>20-25</v>
      </c>
      <c r="S983" t="str">
        <f t="shared" si="61"/>
        <v>July</v>
      </c>
      <c r="T983" s="2" t="str">
        <f t="shared" si="62"/>
        <v>Q3</v>
      </c>
      <c r="U983" s="2">
        <f t="shared" si="63"/>
        <v>2025</v>
      </c>
    </row>
    <row r="984" spans="1:21" x14ac:dyDescent="0.3">
      <c r="A984" t="s">
        <v>1643</v>
      </c>
      <c r="B984" t="s">
        <v>4668</v>
      </c>
      <c r="C984" t="s">
        <v>4554</v>
      </c>
      <c r="D984" t="s">
        <v>4372</v>
      </c>
      <c r="E984">
        <v>24</v>
      </c>
      <c r="F984" t="s">
        <v>6273</v>
      </c>
      <c r="G984">
        <v>9674099781</v>
      </c>
      <c r="H984" t="s">
        <v>4410</v>
      </c>
      <c r="I984" t="s">
        <v>4411</v>
      </c>
      <c r="J984" t="s">
        <v>4415</v>
      </c>
      <c r="K984">
        <v>2.2000000000000002</v>
      </c>
      <c r="L984">
        <v>10.6</v>
      </c>
      <c r="M984">
        <v>12.8</v>
      </c>
      <c r="N984" t="s">
        <v>4368</v>
      </c>
      <c r="O984" t="s">
        <v>4456</v>
      </c>
      <c r="P984" s="1">
        <v>45832</v>
      </c>
      <c r="Q984" t="str">
        <f t="shared" si="60"/>
        <v>10+ Years</v>
      </c>
      <c r="R984" t="str">
        <f>IF(Table7[[#This Row],[Age]]&lt;=25,"20-25",IF(Table7[[#This Row],[Age]]&lt;=30,"26-30",IF(Table7[[#This Row],[Age]]&lt;=35,"31-35","36+")))</f>
        <v>20-25</v>
      </c>
      <c r="S984" t="str">
        <f t="shared" si="61"/>
        <v>June</v>
      </c>
      <c r="T984" s="2" t="str">
        <f t="shared" si="62"/>
        <v>Q2</v>
      </c>
      <c r="U984" s="2">
        <f t="shared" si="63"/>
        <v>2025</v>
      </c>
    </row>
    <row r="985" spans="1:21" x14ac:dyDescent="0.3">
      <c r="A985" t="s">
        <v>186</v>
      </c>
      <c r="B985" t="s">
        <v>6274</v>
      </c>
      <c r="C985" t="s">
        <v>6275</v>
      </c>
      <c r="D985" t="s">
        <v>4372</v>
      </c>
      <c r="E985">
        <v>21</v>
      </c>
      <c r="F985" t="s">
        <v>6276</v>
      </c>
      <c r="G985">
        <v>9849785596</v>
      </c>
      <c r="H985" t="s">
        <v>4476</v>
      </c>
      <c r="I985" t="s">
        <v>4477</v>
      </c>
      <c r="J985" t="s">
        <v>4432</v>
      </c>
      <c r="K985">
        <v>6.3</v>
      </c>
      <c r="L985">
        <v>12.5</v>
      </c>
      <c r="M985">
        <v>16.100000000000001</v>
      </c>
      <c r="N985" t="s">
        <v>4406</v>
      </c>
      <c r="O985" t="s">
        <v>4391</v>
      </c>
      <c r="P985" s="1">
        <v>45696</v>
      </c>
      <c r="Q985" t="str">
        <f t="shared" si="60"/>
        <v>10+ Years</v>
      </c>
      <c r="R985" t="str">
        <f>IF(Table7[[#This Row],[Age]]&lt;=25,"20-25",IF(Table7[[#This Row],[Age]]&lt;=30,"26-30",IF(Table7[[#This Row],[Age]]&lt;=35,"31-35","36+")))</f>
        <v>20-25</v>
      </c>
      <c r="S985" t="str">
        <f t="shared" si="61"/>
        <v>February</v>
      </c>
      <c r="T985" s="2" t="str">
        <f t="shared" si="62"/>
        <v>Q1</v>
      </c>
      <c r="U985" s="2">
        <f t="shared" si="63"/>
        <v>2025</v>
      </c>
    </row>
    <row r="986" spans="1:21" x14ac:dyDescent="0.3">
      <c r="A986" t="s">
        <v>3110</v>
      </c>
      <c r="B986" t="s">
        <v>6277</v>
      </c>
      <c r="C986" t="s">
        <v>4978</v>
      </c>
      <c r="D986" t="s">
        <v>4363</v>
      </c>
      <c r="E986">
        <v>25</v>
      </c>
      <c r="F986" t="s">
        <v>6278</v>
      </c>
      <c r="G986">
        <v>9597842169</v>
      </c>
      <c r="H986" t="s">
        <v>4473</v>
      </c>
      <c r="I986" t="s">
        <v>4473</v>
      </c>
      <c r="J986" t="s">
        <v>4432</v>
      </c>
      <c r="K986">
        <v>3.7</v>
      </c>
      <c r="L986">
        <v>13.7</v>
      </c>
      <c r="M986">
        <v>19.7</v>
      </c>
      <c r="N986" t="s">
        <v>4377</v>
      </c>
      <c r="O986" t="s">
        <v>4485</v>
      </c>
      <c r="P986" s="1">
        <v>45965</v>
      </c>
      <c r="Q986" t="str">
        <f t="shared" si="60"/>
        <v>10+ Years</v>
      </c>
      <c r="R986" t="str">
        <f>IF(Table7[[#This Row],[Age]]&lt;=25,"20-25",IF(Table7[[#This Row],[Age]]&lt;=30,"26-30",IF(Table7[[#This Row],[Age]]&lt;=35,"31-35","36+")))</f>
        <v>20-25</v>
      </c>
      <c r="S986" t="str">
        <f t="shared" si="61"/>
        <v>November</v>
      </c>
      <c r="T986" s="2" t="str">
        <f t="shared" si="62"/>
        <v>Q4</v>
      </c>
      <c r="U986" s="2">
        <f t="shared" si="63"/>
        <v>2025</v>
      </c>
    </row>
    <row r="987" spans="1:21" x14ac:dyDescent="0.3">
      <c r="A987" t="s">
        <v>1181</v>
      </c>
      <c r="B987" t="s">
        <v>6279</v>
      </c>
      <c r="C987" t="s">
        <v>6280</v>
      </c>
      <c r="D987" t="s">
        <v>4363</v>
      </c>
      <c r="E987">
        <v>31</v>
      </c>
      <c r="F987" t="s">
        <v>6281</v>
      </c>
      <c r="G987">
        <v>9831861016</v>
      </c>
      <c r="H987" t="s">
        <v>4404</v>
      </c>
      <c r="I987" t="s">
        <v>4405</v>
      </c>
      <c r="J987" t="s">
        <v>4376</v>
      </c>
      <c r="K987">
        <v>3.9</v>
      </c>
      <c r="L987">
        <v>7.2</v>
      </c>
      <c r="M987">
        <v>9</v>
      </c>
      <c r="N987" t="s">
        <v>4390</v>
      </c>
      <c r="O987" t="s">
        <v>4383</v>
      </c>
      <c r="P987" s="1">
        <v>45927</v>
      </c>
      <c r="Q987" t="str">
        <f t="shared" si="60"/>
        <v>10+ Years</v>
      </c>
      <c r="R987" t="str">
        <f>IF(Table7[[#This Row],[Age]]&lt;=25,"20-25",IF(Table7[[#This Row],[Age]]&lt;=30,"26-30",IF(Table7[[#This Row],[Age]]&lt;=35,"31-35","36+")))</f>
        <v>31-35</v>
      </c>
      <c r="S987" t="str">
        <f t="shared" si="61"/>
        <v>September</v>
      </c>
      <c r="T987" s="2" t="str">
        <f t="shared" si="62"/>
        <v>Q3</v>
      </c>
      <c r="U987" s="2">
        <f t="shared" si="63"/>
        <v>2025</v>
      </c>
    </row>
    <row r="988" spans="1:21" x14ac:dyDescent="0.3">
      <c r="A988" t="s">
        <v>207</v>
      </c>
      <c r="B988" t="s">
        <v>4447</v>
      </c>
      <c r="C988" t="s">
        <v>5971</v>
      </c>
      <c r="D988" t="s">
        <v>4363</v>
      </c>
      <c r="E988">
        <v>30</v>
      </c>
      <c r="F988" t="s">
        <v>6282</v>
      </c>
      <c r="G988">
        <v>9685482382</v>
      </c>
      <c r="H988" t="s">
        <v>4476</v>
      </c>
      <c r="I988" t="s">
        <v>4477</v>
      </c>
      <c r="J988" t="s">
        <v>4367</v>
      </c>
      <c r="K988">
        <v>2.1</v>
      </c>
      <c r="M988">
        <v>20.6</v>
      </c>
      <c r="N988" t="s">
        <v>4390</v>
      </c>
      <c r="O988" t="s">
        <v>4456</v>
      </c>
      <c r="P988" s="1">
        <v>45955</v>
      </c>
      <c r="Q988" t="str">
        <f t="shared" si="60"/>
        <v>10+ Years</v>
      </c>
      <c r="R988" t="str">
        <f>IF(Table7[[#This Row],[Age]]&lt;=25,"20-25",IF(Table7[[#This Row],[Age]]&lt;=30,"26-30",IF(Table7[[#This Row],[Age]]&lt;=35,"31-35","36+")))</f>
        <v>26-30</v>
      </c>
      <c r="S988" t="str">
        <f t="shared" si="61"/>
        <v>October</v>
      </c>
      <c r="T988" s="2" t="str">
        <f t="shared" si="62"/>
        <v>Q4</v>
      </c>
      <c r="U988" s="2">
        <f t="shared" si="63"/>
        <v>2025</v>
      </c>
    </row>
    <row r="989" spans="1:21" x14ac:dyDescent="0.3">
      <c r="A989" t="s">
        <v>997</v>
      </c>
      <c r="B989" t="s">
        <v>4416</v>
      </c>
      <c r="C989" t="s">
        <v>6283</v>
      </c>
      <c r="D989" t="s">
        <v>4372</v>
      </c>
      <c r="E989">
        <v>28</v>
      </c>
      <c r="F989" t="s">
        <v>6284</v>
      </c>
      <c r="G989">
        <v>9302316512</v>
      </c>
      <c r="H989" t="s">
        <v>4387</v>
      </c>
      <c r="I989" t="s">
        <v>4388</v>
      </c>
      <c r="J989" t="s">
        <v>4389</v>
      </c>
      <c r="K989">
        <v>3.7</v>
      </c>
      <c r="L989">
        <v>12.7</v>
      </c>
      <c r="M989">
        <v>16.3</v>
      </c>
      <c r="N989" t="s">
        <v>4494</v>
      </c>
      <c r="O989" t="s">
        <v>4369</v>
      </c>
      <c r="P989" s="1">
        <v>45953</v>
      </c>
      <c r="Q989" t="str">
        <f t="shared" si="60"/>
        <v>10+ Years</v>
      </c>
      <c r="R989" t="str">
        <f>IF(Table7[[#This Row],[Age]]&lt;=25,"20-25",IF(Table7[[#This Row],[Age]]&lt;=30,"26-30",IF(Table7[[#This Row],[Age]]&lt;=35,"31-35","36+")))</f>
        <v>26-30</v>
      </c>
      <c r="S989" t="str">
        <f t="shared" si="61"/>
        <v>October</v>
      </c>
      <c r="T989" s="2" t="str">
        <f t="shared" si="62"/>
        <v>Q4</v>
      </c>
      <c r="U989" s="2">
        <f t="shared" si="63"/>
        <v>2025</v>
      </c>
    </row>
    <row r="990" spans="1:21" x14ac:dyDescent="0.3">
      <c r="A990" t="s">
        <v>861</v>
      </c>
      <c r="B990" t="s">
        <v>4537</v>
      </c>
      <c r="C990" t="s">
        <v>4757</v>
      </c>
      <c r="D990" t="s">
        <v>4363</v>
      </c>
      <c r="E990">
        <v>29</v>
      </c>
      <c r="F990" t="s">
        <v>6285</v>
      </c>
      <c r="G990">
        <v>9441964529</v>
      </c>
      <c r="H990" t="s">
        <v>4374</v>
      </c>
      <c r="I990" t="s">
        <v>4375</v>
      </c>
      <c r="J990" t="s">
        <v>4415</v>
      </c>
      <c r="K990">
        <v>4.5</v>
      </c>
      <c r="L990">
        <v>9.1999999999999993</v>
      </c>
      <c r="M990">
        <v>11.9</v>
      </c>
      <c r="N990" t="s">
        <v>4406</v>
      </c>
      <c r="O990" t="s">
        <v>4485</v>
      </c>
      <c r="P990" s="1">
        <v>45847</v>
      </c>
      <c r="Q990" t="str">
        <f t="shared" si="60"/>
        <v>10+ Years</v>
      </c>
      <c r="R990" t="str">
        <f>IF(Table7[[#This Row],[Age]]&lt;=25,"20-25",IF(Table7[[#This Row],[Age]]&lt;=30,"26-30",IF(Table7[[#This Row],[Age]]&lt;=35,"31-35","36+")))</f>
        <v>26-30</v>
      </c>
      <c r="S990" t="str">
        <f t="shared" si="61"/>
        <v>July</v>
      </c>
      <c r="T990" s="2" t="str">
        <f t="shared" si="62"/>
        <v>Q3</v>
      </c>
      <c r="U990" s="2">
        <f t="shared" si="63"/>
        <v>2025</v>
      </c>
    </row>
    <row r="991" spans="1:21" x14ac:dyDescent="0.3">
      <c r="A991" t="s">
        <v>3384</v>
      </c>
      <c r="B991" t="s">
        <v>4479</v>
      </c>
      <c r="C991" t="s">
        <v>4953</v>
      </c>
      <c r="D991" t="s">
        <v>4363</v>
      </c>
      <c r="E991">
        <v>25</v>
      </c>
      <c r="F991" t="s">
        <v>6286</v>
      </c>
      <c r="G991">
        <v>9479839585</v>
      </c>
      <c r="H991" t="s">
        <v>4404</v>
      </c>
      <c r="I991" t="s">
        <v>4405</v>
      </c>
      <c r="J991" t="s">
        <v>4367</v>
      </c>
      <c r="K991">
        <v>3.2</v>
      </c>
      <c r="L991">
        <v>7.1</v>
      </c>
      <c r="M991">
        <v>9</v>
      </c>
      <c r="N991" t="s">
        <v>4377</v>
      </c>
      <c r="O991" t="s">
        <v>4419</v>
      </c>
      <c r="P991" s="1">
        <v>46000</v>
      </c>
      <c r="Q991" t="str">
        <f t="shared" si="60"/>
        <v>10+ Years</v>
      </c>
      <c r="R991" t="str">
        <f>IF(Table7[[#This Row],[Age]]&lt;=25,"20-25",IF(Table7[[#This Row],[Age]]&lt;=30,"26-30",IF(Table7[[#This Row],[Age]]&lt;=35,"31-35","36+")))</f>
        <v>20-25</v>
      </c>
      <c r="S991" t="str">
        <f t="shared" si="61"/>
        <v>December</v>
      </c>
      <c r="T991" s="2" t="str">
        <f t="shared" si="62"/>
        <v>Q4</v>
      </c>
      <c r="U991" s="2">
        <f t="shared" si="63"/>
        <v>2025</v>
      </c>
    </row>
    <row r="992" spans="1:21" x14ac:dyDescent="0.3">
      <c r="A992" t="s">
        <v>487</v>
      </c>
      <c r="B992" t="s">
        <v>4645</v>
      </c>
      <c r="C992" t="s">
        <v>4434</v>
      </c>
      <c r="D992" t="s">
        <v>4363</v>
      </c>
      <c r="E992">
        <v>25</v>
      </c>
      <c r="F992" t="s">
        <v>6287</v>
      </c>
      <c r="G992">
        <v>9174117620</v>
      </c>
      <c r="H992" t="s">
        <v>4476</v>
      </c>
      <c r="I992" t="s">
        <v>4477</v>
      </c>
      <c r="J992" t="s">
        <v>4415</v>
      </c>
      <c r="K992">
        <v>10</v>
      </c>
      <c r="L992">
        <v>25.9</v>
      </c>
      <c r="M992">
        <v>35.4</v>
      </c>
      <c r="N992" t="s">
        <v>4368</v>
      </c>
      <c r="O992" t="s">
        <v>4391</v>
      </c>
      <c r="P992" s="1">
        <v>45933</v>
      </c>
      <c r="Q992" t="str">
        <f t="shared" si="60"/>
        <v>10+ Years</v>
      </c>
      <c r="R992" t="str">
        <f>IF(Table7[[#This Row],[Age]]&lt;=25,"20-25",IF(Table7[[#This Row],[Age]]&lt;=30,"26-30",IF(Table7[[#This Row],[Age]]&lt;=35,"31-35","36+")))</f>
        <v>20-25</v>
      </c>
      <c r="S992" t="str">
        <f t="shared" si="61"/>
        <v>October</v>
      </c>
      <c r="T992" s="2" t="str">
        <f t="shared" si="62"/>
        <v>Q4</v>
      </c>
      <c r="U992" s="2">
        <f t="shared" si="63"/>
        <v>2025</v>
      </c>
    </row>
    <row r="993" spans="1:21" x14ac:dyDescent="0.3">
      <c r="A993" t="s">
        <v>2345</v>
      </c>
      <c r="B993" t="s">
        <v>5632</v>
      </c>
      <c r="C993" t="s">
        <v>6228</v>
      </c>
      <c r="D993" t="s">
        <v>4372</v>
      </c>
      <c r="E993">
        <v>21</v>
      </c>
      <c r="F993" t="s">
        <v>6288</v>
      </c>
      <c r="G993">
        <v>9597101513</v>
      </c>
      <c r="H993" t="s">
        <v>4476</v>
      </c>
      <c r="I993" t="s">
        <v>4477</v>
      </c>
      <c r="J993" t="s">
        <v>4389</v>
      </c>
      <c r="K993">
        <v>2.2000000000000002</v>
      </c>
      <c r="L993">
        <v>3.6</v>
      </c>
      <c r="M993">
        <v>4.7</v>
      </c>
      <c r="N993" t="s">
        <v>4368</v>
      </c>
      <c r="O993" t="s">
        <v>4419</v>
      </c>
      <c r="P993" s="1">
        <v>45845</v>
      </c>
      <c r="Q993" t="str">
        <f t="shared" si="60"/>
        <v>10+ Years</v>
      </c>
      <c r="R993" t="str">
        <f>IF(Table7[[#This Row],[Age]]&lt;=25,"20-25",IF(Table7[[#This Row],[Age]]&lt;=30,"26-30",IF(Table7[[#This Row],[Age]]&lt;=35,"31-35","36+")))</f>
        <v>20-25</v>
      </c>
      <c r="S993" t="str">
        <f t="shared" si="61"/>
        <v>July</v>
      </c>
      <c r="T993" s="2" t="str">
        <f t="shared" si="62"/>
        <v>Q3</v>
      </c>
      <c r="U993" s="2">
        <f t="shared" si="63"/>
        <v>2025</v>
      </c>
    </row>
    <row r="994" spans="1:21" x14ac:dyDescent="0.3">
      <c r="A994" t="s">
        <v>3921</v>
      </c>
      <c r="B994" t="s">
        <v>4565</v>
      </c>
      <c r="C994" t="s">
        <v>4561</v>
      </c>
      <c r="D994" t="s">
        <v>4363</v>
      </c>
      <c r="E994">
        <v>27</v>
      </c>
      <c r="F994" t="s">
        <v>6289</v>
      </c>
      <c r="G994">
        <v>9326156094</v>
      </c>
      <c r="H994" t="s">
        <v>4395</v>
      </c>
      <c r="I994" t="s">
        <v>4396</v>
      </c>
      <c r="J994" t="s">
        <v>4450</v>
      </c>
      <c r="K994">
        <v>1.4</v>
      </c>
      <c r="L994">
        <v>6.7</v>
      </c>
      <c r="M994">
        <v>8.6999999999999993</v>
      </c>
      <c r="N994" t="s">
        <v>4377</v>
      </c>
      <c r="O994" t="s">
        <v>4383</v>
      </c>
      <c r="P994" s="1">
        <v>45992</v>
      </c>
      <c r="Q994" t="str">
        <f t="shared" si="60"/>
        <v>10+ Years</v>
      </c>
      <c r="R994" t="str">
        <f>IF(Table7[[#This Row],[Age]]&lt;=25,"20-25",IF(Table7[[#This Row],[Age]]&lt;=30,"26-30",IF(Table7[[#This Row],[Age]]&lt;=35,"31-35","36+")))</f>
        <v>26-30</v>
      </c>
      <c r="S994" t="str">
        <f t="shared" si="61"/>
        <v>December</v>
      </c>
      <c r="T994" s="2" t="str">
        <f t="shared" si="62"/>
        <v>Q4</v>
      </c>
      <c r="U994" s="2">
        <f t="shared" si="63"/>
        <v>2025</v>
      </c>
    </row>
    <row r="995" spans="1:21" x14ac:dyDescent="0.3">
      <c r="A995" t="s">
        <v>2240</v>
      </c>
      <c r="B995" t="s">
        <v>4682</v>
      </c>
      <c r="C995" t="s">
        <v>6290</v>
      </c>
      <c r="D995" t="s">
        <v>4372</v>
      </c>
      <c r="E995">
        <v>21</v>
      </c>
      <c r="F995" t="s">
        <v>6291</v>
      </c>
      <c r="G995">
        <v>9251517432</v>
      </c>
      <c r="H995" t="s">
        <v>4365</v>
      </c>
      <c r="I995" t="s">
        <v>4366</v>
      </c>
      <c r="J995" t="s">
        <v>4367</v>
      </c>
      <c r="K995">
        <v>0.7</v>
      </c>
      <c r="L995">
        <v>8.6999999999999993</v>
      </c>
      <c r="M995">
        <v>11.2</v>
      </c>
      <c r="N995" t="s">
        <v>4377</v>
      </c>
      <c r="O995" t="s">
        <v>4391</v>
      </c>
      <c r="P995" s="1">
        <v>45688</v>
      </c>
      <c r="Q995" t="str">
        <f t="shared" si="60"/>
        <v>10+ Years</v>
      </c>
      <c r="R995" t="str">
        <f>IF(Table7[[#This Row],[Age]]&lt;=25,"20-25",IF(Table7[[#This Row],[Age]]&lt;=30,"26-30",IF(Table7[[#This Row],[Age]]&lt;=35,"31-35","36+")))</f>
        <v>20-25</v>
      </c>
      <c r="S995" t="str">
        <f t="shared" si="61"/>
        <v>January</v>
      </c>
      <c r="T995" s="2" t="str">
        <f t="shared" si="62"/>
        <v>Q1</v>
      </c>
      <c r="U995" s="2">
        <f t="shared" si="63"/>
        <v>2025</v>
      </c>
    </row>
    <row r="996" spans="1:21" x14ac:dyDescent="0.3">
      <c r="A996" t="s">
        <v>3964</v>
      </c>
      <c r="B996" t="s">
        <v>4884</v>
      </c>
      <c r="C996" t="s">
        <v>4980</v>
      </c>
      <c r="D996" t="s">
        <v>4372</v>
      </c>
      <c r="E996">
        <v>35</v>
      </c>
      <c r="F996" t="s">
        <v>6292</v>
      </c>
      <c r="G996">
        <v>9856520484</v>
      </c>
      <c r="H996" t="s">
        <v>4410</v>
      </c>
      <c r="I996" t="s">
        <v>4411</v>
      </c>
      <c r="J996" t="s">
        <v>4618</v>
      </c>
      <c r="K996">
        <v>5.5</v>
      </c>
      <c r="L996">
        <v>20.399999999999999</v>
      </c>
      <c r="M996">
        <v>26.5</v>
      </c>
      <c r="N996" t="s">
        <v>4377</v>
      </c>
      <c r="O996" t="s">
        <v>4383</v>
      </c>
      <c r="P996" s="1">
        <v>45713</v>
      </c>
      <c r="Q996" t="str">
        <f t="shared" si="60"/>
        <v>10+ Years</v>
      </c>
      <c r="R996" t="str">
        <f>IF(Table7[[#This Row],[Age]]&lt;=25,"20-25",IF(Table7[[#This Row],[Age]]&lt;=30,"26-30",IF(Table7[[#This Row],[Age]]&lt;=35,"31-35","36+")))</f>
        <v>31-35</v>
      </c>
      <c r="S996" t="str">
        <f t="shared" si="61"/>
        <v>February</v>
      </c>
      <c r="T996" s="2" t="str">
        <f t="shared" si="62"/>
        <v>Q1</v>
      </c>
      <c r="U996" s="2">
        <f t="shared" si="63"/>
        <v>2025</v>
      </c>
    </row>
    <row r="997" spans="1:21" x14ac:dyDescent="0.3">
      <c r="A997" t="s">
        <v>2386</v>
      </c>
      <c r="B997" t="s">
        <v>5929</v>
      </c>
      <c r="C997" t="s">
        <v>4757</v>
      </c>
      <c r="D997" t="s">
        <v>4363</v>
      </c>
      <c r="E997">
        <v>36</v>
      </c>
      <c r="F997" t="s">
        <v>6293</v>
      </c>
      <c r="G997">
        <v>9865112552</v>
      </c>
      <c r="H997" t="s">
        <v>4381</v>
      </c>
      <c r="I997" t="s">
        <v>4382</v>
      </c>
      <c r="K997">
        <v>7.7</v>
      </c>
      <c r="L997">
        <v>11.4</v>
      </c>
      <c r="M997">
        <v>15.8</v>
      </c>
      <c r="N997" t="s">
        <v>4377</v>
      </c>
      <c r="O997" t="s">
        <v>4369</v>
      </c>
      <c r="P997" s="1">
        <v>45920</v>
      </c>
      <c r="Q997" t="str">
        <f t="shared" si="60"/>
        <v>10+ Years</v>
      </c>
      <c r="R997" t="str">
        <f>IF(Table7[[#This Row],[Age]]&lt;=25,"20-25",IF(Table7[[#This Row],[Age]]&lt;=30,"26-30",IF(Table7[[#This Row],[Age]]&lt;=35,"31-35","36+")))</f>
        <v>36+</v>
      </c>
      <c r="S997" t="str">
        <f t="shared" si="61"/>
        <v>September</v>
      </c>
      <c r="T997" s="2" t="str">
        <f t="shared" si="62"/>
        <v>Q3</v>
      </c>
      <c r="U997" s="2">
        <f t="shared" si="63"/>
        <v>2025</v>
      </c>
    </row>
    <row r="998" spans="1:21" x14ac:dyDescent="0.3">
      <c r="A998" t="s">
        <v>2661</v>
      </c>
      <c r="B998" t="s">
        <v>5175</v>
      </c>
      <c r="C998" t="s">
        <v>6294</v>
      </c>
      <c r="D998" t="s">
        <v>4372</v>
      </c>
      <c r="E998">
        <v>27</v>
      </c>
      <c r="F998" t="s">
        <v>6295</v>
      </c>
      <c r="G998">
        <v>9938671882</v>
      </c>
      <c r="H998" t="s">
        <v>4374</v>
      </c>
      <c r="I998" t="s">
        <v>4375</v>
      </c>
      <c r="J998" t="s">
        <v>4450</v>
      </c>
      <c r="K998">
        <v>2.9</v>
      </c>
      <c r="L998">
        <v>10</v>
      </c>
      <c r="M998">
        <v>11.8</v>
      </c>
      <c r="N998" t="s">
        <v>4368</v>
      </c>
      <c r="O998" t="s">
        <v>4391</v>
      </c>
      <c r="P998" s="1">
        <v>45844</v>
      </c>
      <c r="Q998" t="str">
        <f t="shared" si="60"/>
        <v>10+ Years</v>
      </c>
      <c r="R998" t="str">
        <f>IF(Table7[[#This Row],[Age]]&lt;=25,"20-25",IF(Table7[[#This Row],[Age]]&lt;=30,"26-30",IF(Table7[[#This Row],[Age]]&lt;=35,"31-35","36+")))</f>
        <v>26-30</v>
      </c>
      <c r="S998" t="str">
        <f t="shared" si="61"/>
        <v>July</v>
      </c>
      <c r="T998" s="2" t="str">
        <f t="shared" si="62"/>
        <v>Q3</v>
      </c>
      <c r="U998" s="2">
        <f t="shared" si="63"/>
        <v>2025</v>
      </c>
    </row>
    <row r="999" spans="1:21" x14ac:dyDescent="0.3">
      <c r="A999" t="s">
        <v>3907</v>
      </c>
      <c r="B999" t="s">
        <v>4370</v>
      </c>
      <c r="C999" t="s">
        <v>4742</v>
      </c>
      <c r="D999" t="s">
        <v>4372</v>
      </c>
      <c r="E999">
        <v>24</v>
      </c>
      <c r="F999" t="s">
        <v>6296</v>
      </c>
      <c r="G999">
        <v>9564870914</v>
      </c>
      <c r="H999" t="s">
        <v>4365</v>
      </c>
      <c r="I999" t="s">
        <v>4366</v>
      </c>
      <c r="J999" t="s">
        <v>4432</v>
      </c>
      <c r="K999">
        <v>5.0999999999999996</v>
      </c>
      <c r="L999">
        <v>11.4</v>
      </c>
      <c r="M999">
        <v>14.8</v>
      </c>
      <c r="N999" t="s">
        <v>4368</v>
      </c>
      <c r="O999" t="s">
        <v>4456</v>
      </c>
      <c r="P999" s="1">
        <v>45868</v>
      </c>
      <c r="Q999" t="str">
        <f t="shared" si="60"/>
        <v>10+ Years</v>
      </c>
      <c r="R999" t="str">
        <f>IF(Table7[[#This Row],[Age]]&lt;=25,"20-25",IF(Table7[[#This Row],[Age]]&lt;=30,"26-30",IF(Table7[[#This Row],[Age]]&lt;=35,"31-35","36+")))</f>
        <v>20-25</v>
      </c>
      <c r="S999" t="str">
        <f t="shared" si="61"/>
        <v>July</v>
      </c>
      <c r="T999" s="2" t="str">
        <f t="shared" si="62"/>
        <v>Q3</v>
      </c>
      <c r="U999" s="2">
        <f t="shared" si="63"/>
        <v>2025</v>
      </c>
    </row>
    <row r="1000" spans="1:21" x14ac:dyDescent="0.3">
      <c r="A1000" t="s">
        <v>1674</v>
      </c>
      <c r="B1000" t="s">
        <v>4593</v>
      </c>
      <c r="C1000" t="s">
        <v>6297</v>
      </c>
      <c r="D1000" t="s">
        <v>4363</v>
      </c>
      <c r="E1000">
        <v>29</v>
      </c>
      <c r="F1000" t="s">
        <v>6298</v>
      </c>
      <c r="G1000">
        <v>9413004281</v>
      </c>
      <c r="H1000" t="s">
        <v>4365</v>
      </c>
      <c r="I1000" t="s">
        <v>4366</v>
      </c>
      <c r="J1000" t="s">
        <v>4415</v>
      </c>
      <c r="K1000">
        <v>2.6</v>
      </c>
      <c r="L1000">
        <v>11.6</v>
      </c>
      <c r="M1000">
        <v>15.1</v>
      </c>
      <c r="N1000" t="s">
        <v>4390</v>
      </c>
      <c r="O1000" t="s">
        <v>4456</v>
      </c>
      <c r="P1000" s="1">
        <v>45877</v>
      </c>
      <c r="Q1000" t="str">
        <f t="shared" si="60"/>
        <v>10+ Years</v>
      </c>
      <c r="R1000" t="str">
        <f>IF(Table7[[#This Row],[Age]]&lt;=25,"20-25",IF(Table7[[#This Row],[Age]]&lt;=30,"26-30",IF(Table7[[#This Row],[Age]]&lt;=35,"31-35","36+")))</f>
        <v>26-30</v>
      </c>
      <c r="S1000" t="str">
        <f t="shared" si="61"/>
        <v>August</v>
      </c>
      <c r="T1000" s="2" t="str">
        <f t="shared" si="62"/>
        <v>Q3</v>
      </c>
      <c r="U1000" s="2">
        <f t="shared" si="63"/>
        <v>2025</v>
      </c>
    </row>
    <row r="1001" spans="1:21" x14ac:dyDescent="0.3">
      <c r="A1001" t="s">
        <v>6299</v>
      </c>
      <c r="B1001" t="s">
        <v>4457</v>
      </c>
      <c r="C1001" t="s">
        <v>5330</v>
      </c>
      <c r="D1001" t="s">
        <v>4372</v>
      </c>
      <c r="E1001">
        <v>30</v>
      </c>
      <c r="F1001" t="s">
        <v>6300</v>
      </c>
      <c r="G1001">
        <v>9220512055</v>
      </c>
      <c r="H1001" t="s">
        <v>4491</v>
      </c>
      <c r="I1001" t="s">
        <v>4491</v>
      </c>
      <c r="J1001" t="s">
        <v>4367</v>
      </c>
      <c r="K1001">
        <v>4.5999999999999996</v>
      </c>
      <c r="L1001">
        <v>9.6</v>
      </c>
      <c r="M1001">
        <v>11.3</v>
      </c>
      <c r="N1001" t="s">
        <v>4368</v>
      </c>
      <c r="O1001" t="s">
        <v>4456</v>
      </c>
      <c r="P1001" s="1">
        <v>45832</v>
      </c>
      <c r="Q1001" t="str">
        <f t="shared" si="60"/>
        <v>10+ Years</v>
      </c>
      <c r="R1001" t="str">
        <f>IF(Table7[[#This Row],[Age]]&lt;=25,"20-25",IF(Table7[[#This Row],[Age]]&lt;=30,"26-30",IF(Table7[[#This Row],[Age]]&lt;=35,"31-35","36+")))</f>
        <v>26-30</v>
      </c>
      <c r="S1001" t="str">
        <f t="shared" si="61"/>
        <v>June</v>
      </c>
      <c r="T1001" s="2" t="str">
        <f t="shared" si="62"/>
        <v>Q2</v>
      </c>
      <c r="U1001" s="2">
        <f t="shared" si="63"/>
        <v>2025</v>
      </c>
    </row>
    <row r="1002" spans="1:21" x14ac:dyDescent="0.3">
      <c r="A1002" t="s">
        <v>3259</v>
      </c>
      <c r="B1002" t="s">
        <v>4565</v>
      </c>
      <c r="C1002" t="s">
        <v>4927</v>
      </c>
      <c r="D1002" t="s">
        <v>4372</v>
      </c>
      <c r="E1002">
        <v>28</v>
      </c>
      <c r="F1002" t="s">
        <v>6301</v>
      </c>
      <c r="G1002">
        <v>9958667923</v>
      </c>
      <c r="H1002" t="s">
        <v>4365</v>
      </c>
      <c r="I1002" t="s">
        <v>4366</v>
      </c>
      <c r="J1002" t="s">
        <v>4446</v>
      </c>
      <c r="K1002">
        <v>1</v>
      </c>
      <c r="L1002">
        <v>7.6</v>
      </c>
      <c r="M1002">
        <v>9.6999999999999993</v>
      </c>
      <c r="N1002" t="s">
        <v>4390</v>
      </c>
      <c r="O1002" t="s">
        <v>4400</v>
      </c>
      <c r="P1002" s="1">
        <v>45786</v>
      </c>
      <c r="Q1002" t="str">
        <f t="shared" si="60"/>
        <v>10+ Years</v>
      </c>
      <c r="R1002" t="str">
        <f>IF(Table7[[#This Row],[Age]]&lt;=25,"20-25",IF(Table7[[#This Row],[Age]]&lt;=30,"26-30",IF(Table7[[#This Row],[Age]]&lt;=35,"31-35","36+")))</f>
        <v>26-30</v>
      </c>
      <c r="S1002" t="str">
        <f t="shared" si="61"/>
        <v>May</v>
      </c>
      <c r="T1002" s="2" t="str">
        <f t="shared" si="62"/>
        <v>Q2</v>
      </c>
      <c r="U1002" s="2">
        <f t="shared" si="63"/>
        <v>2025</v>
      </c>
    </row>
    <row r="1003" spans="1:21" x14ac:dyDescent="0.3">
      <c r="A1003" t="s">
        <v>2563</v>
      </c>
      <c r="B1003" t="s">
        <v>6302</v>
      </c>
      <c r="C1003" t="s">
        <v>6239</v>
      </c>
      <c r="D1003" t="s">
        <v>4372</v>
      </c>
      <c r="E1003">
        <v>27</v>
      </c>
      <c r="F1003" t="s">
        <v>6303</v>
      </c>
      <c r="G1003">
        <v>9825458326</v>
      </c>
      <c r="H1003" t="s">
        <v>4491</v>
      </c>
      <c r="I1003" t="s">
        <v>4491</v>
      </c>
      <c r="J1003" t="s">
        <v>4415</v>
      </c>
      <c r="K1003">
        <v>0</v>
      </c>
      <c r="L1003">
        <v>10.8</v>
      </c>
      <c r="M1003">
        <v>14.3</v>
      </c>
      <c r="O1003" t="s">
        <v>4391</v>
      </c>
      <c r="P1003" s="1">
        <v>45704</v>
      </c>
      <c r="Q1003" t="str">
        <f t="shared" si="60"/>
        <v>10+ Years</v>
      </c>
      <c r="R1003" t="str">
        <f>IF(Table7[[#This Row],[Age]]&lt;=25,"20-25",IF(Table7[[#This Row],[Age]]&lt;=30,"26-30",IF(Table7[[#This Row],[Age]]&lt;=35,"31-35","36+")))</f>
        <v>26-30</v>
      </c>
      <c r="S1003" t="str">
        <f t="shared" si="61"/>
        <v>February</v>
      </c>
      <c r="T1003" s="2" t="str">
        <f t="shared" si="62"/>
        <v>Q1</v>
      </c>
      <c r="U1003" s="2">
        <f t="shared" si="63"/>
        <v>2025</v>
      </c>
    </row>
    <row r="1004" spans="1:21" x14ac:dyDescent="0.3">
      <c r="A1004" t="s">
        <v>1940</v>
      </c>
      <c r="B1004" t="s">
        <v>4731</v>
      </c>
      <c r="C1004" t="s">
        <v>5949</v>
      </c>
      <c r="D1004" t="s">
        <v>4363</v>
      </c>
      <c r="E1004">
        <v>23</v>
      </c>
      <c r="F1004" t="s">
        <v>6304</v>
      </c>
      <c r="G1004">
        <v>9500995122</v>
      </c>
      <c r="H1004" t="s">
        <v>4445</v>
      </c>
      <c r="I1004" t="s">
        <v>4396</v>
      </c>
      <c r="J1004" t="s">
        <v>4376</v>
      </c>
      <c r="K1004">
        <v>6.1</v>
      </c>
      <c r="L1004">
        <v>4.7</v>
      </c>
      <c r="M1004">
        <v>5.4</v>
      </c>
      <c r="N1004" t="s">
        <v>4377</v>
      </c>
      <c r="O1004" t="s">
        <v>4485</v>
      </c>
      <c r="P1004" s="1">
        <v>45849</v>
      </c>
      <c r="Q1004" t="str">
        <f t="shared" si="60"/>
        <v>10+ Years</v>
      </c>
      <c r="R1004" t="str">
        <f>IF(Table7[[#This Row],[Age]]&lt;=25,"20-25",IF(Table7[[#This Row],[Age]]&lt;=30,"26-30",IF(Table7[[#This Row],[Age]]&lt;=35,"31-35","36+")))</f>
        <v>20-25</v>
      </c>
      <c r="S1004" t="str">
        <f t="shared" si="61"/>
        <v>July</v>
      </c>
      <c r="T1004" s="2" t="str">
        <f t="shared" si="62"/>
        <v>Q3</v>
      </c>
      <c r="U1004" s="2">
        <f t="shared" si="63"/>
        <v>2025</v>
      </c>
    </row>
    <row r="1005" spans="1:21" x14ac:dyDescent="0.3">
      <c r="A1005" t="s">
        <v>2709</v>
      </c>
      <c r="B1005" t="s">
        <v>4799</v>
      </c>
      <c r="C1005" t="s">
        <v>5032</v>
      </c>
      <c r="D1005" t="s">
        <v>4372</v>
      </c>
      <c r="E1005">
        <v>24</v>
      </c>
      <c r="F1005" t="s">
        <v>6305</v>
      </c>
      <c r="G1005">
        <v>9370939757</v>
      </c>
      <c r="H1005" t="s">
        <v>4410</v>
      </c>
      <c r="I1005" t="s">
        <v>4411</v>
      </c>
      <c r="J1005" t="s">
        <v>4367</v>
      </c>
      <c r="K1005">
        <v>0.1</v>
      </c>
      <c r="L1005">
        <v>5.5</v>
      </c>
      <c r="M1005">
        <v>6.4</v>
      </c>
      <c r="O1005" t="s">
        <v>4383</v>
      </c>
      <c r="P1005" s="1">
        <v>45849</v>
      </c>
      <c r="Q1005" t="str">
        <f t="shared" si="60"/>
        <v>10+ Years</v>
      </c>
      <c r="R1005" t="str">
        <f>IF(Table7[[#This Row],[Age]]&lt;=25,"20-25",IF(Table7[[#This Row],[Age]]&lt;=30,"26-30",IF(Table7[[#This Row],[Age]]&lt;=35,"31-35","36+")))</f>
        <v>20-25</v>
      </c>
      <c r="S1005" t="str">
        <f t="shared" si="61"/>
        <v>July</v>
      </c>
      <c r="T1005" s="2" t="str">
        <f t="shared" si="62"/>
        <v>Q3</v>
      </c>
      <c r="U1005" s="2">
        <f t="shared" si="63"/>
        <v>2025</v>
      </c>
    </row>
    <row r="1006" spans="1:21" x14ac:dyDescent="0.3">
      <c r="A1006" t="s">
        <v>2372</v>
      </c>
      <c r="B1006" t="s">
        <v>5287</v>
      </c>
      <c r="C1006" t="s">
        <v>5448</v>
      </c>
      <c r="D1006" t="s">
        <v>4363</v>
      </c>
      <c r="E1006">
        <v>25</v>
      </c>
      <c r="F1006" t="s">
        <v>6306</v>
      </c>
      <c r="G1006">
        <v>9278578318</v>
      </c>
      <c r="H1006" t="s">
        <v>4506</v>
      </c>
      <c r="I1006" t="s">
        <v>4507</v>
      </c>
      <c r="J1006" t="s">
        <v>4415</v>
      </c>
      <c r="K1006">
        <v>1.5</v>
      </c>
      <c r="L1006">
        <v>11</v>
      </c>
      <c r="M1006">
        <v>15.4</v>
      </c>
      <c r="N1006" t="s">
        <v>4368</v>
      </c>
      <c r="O1006" t="s">
        <v>4391</v>
      </c>
      <c r="P1006" s="1">
        <v>45804</v>
      </c>
      <c r="Q1006" t="str">
        <f t="shared" si="60"/>
        <v>10+ Years</v>
      </c>
      <c r="R1006" t="str">
        <f>IF(Table7[[#This Row],[Age]]&lt;=25,"20-25",IF(Table7[[#This Row],[Age]]&lt;=30,"26-30",IF(Table7[[#This Row],[Age]]&lt;=35,"31-35","36+")))</f>
        <v>20-25</v>
      </c>
      <c r="S1006" t="str">
        <f t="shared" si="61"/>
        <v>May</v>
      </c>
      <c r="T1006" s="2" t="str">
        <f t="shared" si="62"/>
        <v>Q2</v>
      </c>
      <c r="U1006" s="2">
        <f t="shared" si="63"/>
        <v>2025</v>
      </c>
    </row>
    <row r="1007" spans="1:21" x14ac:dyDescent="0.3">
      <c r="A1007" t="s">
        <v>1400</v>
      </c>
      <c r="B1007" t="s">
        <v>6307</v>
      </c>
      <c r="C1007" t="s">
        <v>5300</v>
      </c>
      <c r="D1007" t="s">
        <v>4363</v>
      </c>
      <c r="E1007">
        <v>28</v>
      </c>
      <c r="F1007" t="s">
        <v>6308</v>
      </c>
      <c r="G1007">
        <v>9436647857</v>
      </c>
      <c r="H1007" t="s">
        <v>4381</v>
      </c>
      <c r="I1007" t="s">
        <v>4382</v>
      </c>
      <c r="J1007" t="s">
        <v>4367</v>
      </c>
      <c r="K1007">
        <v>0.6</v>
      </c>
      <c r="L1007">
        <v>7.3</v>
      </c>
      <c r="M1007">
        <v>9.6</v>
      </c>
      <c r="N1007" t="s">
        <v>4390</v>
      </c>
      <c r="O1007" t="s">
        <v>4391</v>
      </c>
      <c r="P1007" s="1">
        <v>45761</v>
      </c>
      <c r="Q1007" t="str">
        <f t="shared" si="60"/>
        <v>10+ Years</v>
      </c>
      <c r="R1007" t="str">
        <f>IF(Table7[[#This Row],[Age]]&lt;=25,"20-25",IF(Table7[[#This Row],[Age]]&lt;=30,"26-30",IF(Table7[[#This Row],[Age]]&lt;=35,"31-35","36+")))</f>
        <v>26-30</v>
      </c>
      <c r="S1007" t="str">
        <f t="shared" si="61"/>
        <v>April</v>
      </c>
      <c r="T1007" s="2" t="str">
        <f t="shared" si="62"/>
        <v>Q2</v>
      </c>
      <c r="U1007" s="2">
        <f t="shared" si="63"/>
        <v>2025</v>
      </c>
    </row>
    <row r="1008" spans="1:21" x14ac:dyDescent="0.3">
      <c r="A1008" t="s">
        <v>334</v>
      </c>
      <c r="B1008" t="s">
        <v>4447</v>
      </c>
      <c r="C1008" t="s">
        <v>6309</v>
      </c>
      <c r="D1008" t="s">
        <v>4372</v>
      </c>
      <c r="E1008">
        <v>28</v>
      </c>
      <c r="F1008" t="s">
        <v>6310</v>
      </c>
      <c r="G1008">
        <v>9717071170</v>
      </c>
      <c r="H1008" t="s">
        <v>4521</v>
      </c>
      <c r="I1008" t="s">
        <v>4522</v>
      </c>
      <c r="J1008" t="s">
        <v>4446</v>
      </c>
      <c r="K1008">
        <v>0.4</v>
      </c>
      <c r="L1008">
        <v>3.9</v>
      </c>
      <c r="M1008">
        <v>4.7</v>
      </c>
      <c r="N1008" t="s">
        <v>4390</v>
      </c>
      <c r="O1008" t="s">
        <v>4369</v>
      </c>
      <c r="P1008" s="1">
        <v>45696</v>
      </c>
      <c r="Q1008" t="str">
        <f t="shared" si="60"/>
        <v>10+ Years</v>
      </c>
      <c r="R1008" t="str">
        <f>IF(Table7[[#This Row],[Age]]&lt;=25,"20-25",IF(Table7[[#This Row],[Age]]&lt;=30,"26-30",IF(Table7[[#This Row],[Age]]&lt;=35,"31-35","36+")))</f>
        <v>26-30</v>
      </c>
      <c r="S1008" t="str">
        <f t="shared" si="61"/>
        <v>February</v>
      </c>
      <c r="T1008" s="2" t="str">
        <f t="shared" si="62"/>
        <v>Q1</v>
      </c>
      <c r="U1008" s="2">
        <f t="shared" si="63"/>
        <v>2025</v>
      </c>
    </row>
    <row r="1009" spans="1:21" x14ac:dyDescent="0.3">
      <c r="A1009" t="s">
        <v>2779</v>
      </c>
      <c r="B1009" t="s">
        <v>6311</v>
      </c>
      <c r="C1009" t="s">
        <v>4398</v>
      </c>
      <c r="D1009" t="s">
        <v>4372</v>
      </c>
      <c r="E1009">
        <v>26</v>
      </c>
      <c r="F1009" t="s">
        <v>6312</v>
      </c>
      <c r="G1009">
        <v>9267425158</v>
      </c>
      <c r="H1009" t="s">
        <v>4374</v>
      </c>
      <c r="I1009" t="s">
        <v>4375</v>
      </c>
      <c r="J1009" t="s">
        <v>4389</v>
      </c>
      <c r="K1009">
        <v>7</v>
      </c>
      <c r="L1009">
        <v>16</v>
      </c>
      <c r="M1009">
        <v>18.2</v>
      </c>
      <c r="N1009" t="s">
        <v>4368</v>
      </c>
      <c r="O1009" t="s">
        <v>4485</v>
      </c>
      <c r="P1009" s="1">
        <v>45991</v>
      </c>
      <c r="Q1009" t="str">
        <f t="shared" si="60"/>
        <v>10+ Years</v>
      </c>
      <c r="R1009" t="str">
        <f>IF(Table7[[#This Row],[Age]]&lt;=25,"20-25",IF(Table7[[#This Row],[Age]]&lt;=30,"26-30",IF(Table7[[#This Row],[Age]]&lt;=35,"31-35","36+")))</f>
        <v>26-30</v>
      </c>
      <c r="S1009" t="str">
        <f t="shared" si="61"/>
        <v>November</v>
      </c>
      <c r="T1009" s="2" t="str">
        <f t="shared" si="62"/>
        <v>Q4</v>
      </c>
      <c r="U1009" s="2">
        <f t="shared" si="63"/>
        <v>2025</v>
      </c>
    </row>
    <row r="1010" spans="1:21" x14ac:dyDescent="0.3">
      <c r="A1010" t="s">
        <v>1427</v>
      </c>
      <c r="B1010" t="s">
        <v>5135</v>
      </c>
      <c r="C1010" t="s">
        <v>6313</v>
      </c>
      <c r="D1010" t="s">
        <v>4372</v>
      </c>
      <c r="E1010">
        <v>29</v>
      </c>
      <c r="F1010" t="s">
        <v>6314</v>
      </c>
      <c r="G1010">
        <v>9650275279</v>
      </c>
      <c r="H1010" t="s">
        <v>4454</v>
      </c>
      <c r="I1010" t="s">
        <v>4455</v>
      </c>
      <c r="J1010" t="s">
        <v>4367</v>
      </c>
      <c r="K1010">
        <v>0.6</v>
      </c>
      <c r="L1010">
        <v>3.2</v>
      </c>
      <c r="M1010">
        <v>3.6</v>
      </c>
      <c r="N1010" t="s">
        <v>4368</v>
      </c>
      <c r="O1010" t="s">
        <v>4369</v>
      </c>
      <c r="P1010" s="1">
        <v>45919</v>
      </c>
      <c r="Q1010" t="str">
        <f t="shared" si="60"/>
        <v>10+ Years</v>
      </c>
      <c r="R1010" t="str">
        <f>IF(Table7[[#This Row],[Age]]&lt;=25,"20-25",IF(Table7[[#This Row],[Age]]&lt;=30,"26-30",IF(Table7[[#This Row],[Age]]&lt;=35,"31-35","36+")))</f>
        <v>26-30</v>
      </c>
      <c r="S1010" t="str">
        <f t="shared" si="61"/>
        <v>September</v>
      </c>
      <c r="T1010" s="2" t="str">
        <f t="shared" si="62"/>
        <v>Q3</v>
      </c>
      <c r="U1010" s="2">
        <f t="shared" si="63"/>
        <v>2025</v>
      </c>
    </row>
    <row r="1011" spans="1:21" x14ac:dyDescent="0.3">
      <c r="A1011" t="s">
        <v>6315</v>
      </c>
      <c r="B1011" t="s">
        <v>4573</v>
      </c>
      <c r="C1011" t="s">
        <v>5128</v>
      </c>
      <c r="D1011" t="s">
        <v>4372</v>
      </c>
      <c r="E1011">
        <v>24</v>
      </c>
      <c r="F1011" t="s">
        <v>6316</v>
      </c>
      <c r="G1011">
        <v>9682740751</v>
      </c>
      <c r="H1011" t="s">
        <v>4491</v>
      </c>
      <c r="I1011" t="s">
        <v>4491</v>
      </c>
      <c r="J1011" t="s">
        <v>4482</v>
      </c>
      <c r="K1011">
        <v>3</v>
      </c>
      <c r="L1011">
        <v>11.3</v>
      </c>
      <c r="M1011">
        <v>14.6</v>
      </c>
      <c r="N1011" t="s">
        <v>4368</v>
      </c>
      <c r="O1011" t="s">
        <v>4419</v>
      </c>
      <c r="P1011" s="1">
        <v>46018</v>
      </c>
      <c r="Q1011" t="str">
        <f t="shared" si="60"/>
        <v>10+ Years</v>
      </c>
      <c r="R1011" t="str">
        <f>IF(Table7[[#This Row],[Age]]&lt;=25,"20-25",IF(Table7[[#This Row],[Age]]&lt;=30,"26-30",IF(Table7[[#This Row],[Age]]&lt;=35,"31-35","36+")))</f>
        <v>20-25</v>
      </c>
      <c r="S1011" t="str">
        <f t="shared" si="61"/>
        <v>December</v>
      </c>
      <c r="T1011" s="2" t="str">
        <f t="shared" si="62"/>
        <v>Q4</v>
      </c>
      <c r="U1011" s="2">
        <f t="shared" si="63"/>
        <v>2025</v>
      </c>
    </row>
    <row r="1012" spans="1:21" x14ac:dyDescent="0.3">
      <c r="A1012" t="s">
        <v>3580</v>
      </c>
      <c r="B1012" t="s">
        <v>4648</v>
      </c>
      <c r="C1012" t="s">
        <v>6317</v>
      </c>
      <c r="D1012" t="s">
        <v>4363</v>
      </c>
      <c r="E1012">
        <v>39</v>
      </c>
      <c r="F1012" t="s">
        <v>6318</v>
      </c>
      <c r="G1012">
        <v>9843081089</v>
      </c>
      <c r="H1012" t="s">
        <v>4374</v>
      </c>
      <c r="I1012" t="s">
        <v>4375</v>
      </c>
      <c r="J1012" t="s">
        <v>4376</v>
      </c>
      <c r="K1012">
        <v>1.5</v>
      </c>
      <c r="L1012">
        <v>5.3</v>
      </c>
      <c r="M1012">
        <v>6.6</v>
      </c>
      <c r="N1012" t="s">
        <v>4390</v>
      </c>
      <c r="O1012" t="s">
        <v>4485</v>
      </c>
      <c r="P1012" s="1">
        <v>45680</v>
      </c>
      <c r="Q1012" t="str">
        <f t="shared" si="60"/>
        <v>10+ Years</v>
      </c>
      <c r="R1012" t="str">
        <f>IF(Table7[[#This Row],[Age]]&lt;=25,"20-25",IF(Table7[[#This Row],[Age]]&lt;=30,"26-30",IF(Table7[[#This Row],[Age]]&lt;=35,"31-35","36+")))</f>
        <v>36+</v>
      </c>
      <c r="S1012" t="str">
        <f t="shared" si="61"/>
        <v>January</v>
      </c>
      <c r="T1012" s="2" t="str">
        <f t="shared" si="62"/>
        <v>Q1</v>
      </c>
      <c r="U1012" s="2">
        <f t="shared" si="63"/>
        <v>2025</v>
      </c>
    </row>
    <row r="1013" spans="1:21" x14ac:dyDescent="0.3">
      <c r="A1013" t="s">
        <v>3049</v>
      </c>
      <c r="B1013" t="s">
        <v>6319</v>
      </c>
      <c r="C1013" t="s">
        <v>4509</v>
      </c>
      <c r="D1013" t="s">
        <v>4372</v>
      </c>
      <c r="E1013">
        <v>26</v>
      </c>
      <c r="F1013" t="s">
        <v>6320</v>
      </c>
      <c r="G1013">
        <v>9929730879</v>
      </c>
      <c r="H1013" t="s">
        <v>4387</v>
      </c>
      <c r="I1013" t="s">
        <v>4388</v>
      </c>
      <c r="J1013" t="s">
        <v>4376</v>
      </c>
      <c r="K1013">
        <v>7.6</v>
      </c>
      <c r="L1013">
        <v>13.8</v>
      </c>
      <c r="M1013">
        <v>18.899999999999999</v>
      </c>
      <c r="N1013" t="s">
        <v>4494</v>
      </c>
      <c r="O1013" t="s">
        <v>4369</v>
      </c>
      <c r="P1013" s="1">
        <v>45999</v>
      </c>
      <c r="Q1013" t="str">
        <f t="shared" si="60"/>
        <v>10+ Years</v>
      </c>
      <c r="R1013" t="str">
        <f>IF(Table7[[#This Row],[Age]]&lt;=25,"20-25",IF(Table7[[#This Row],[Age]]&lt;=30,"26-30",IF(Table7[[#This Row],[Age]]&lt;=35,"31-35","36+")))</f>
        <v>26-30</v>
      </c>
      <c r="S1013" t="str">
        <f t="shared" si="61"/>
        <v>December</v>
      </c>
      <c r="T1013" s="2" t="str">
        <f t="shared" si="62"/>
        <v>Q4</v>
      </c>
      <c r="U1013" s="2">
        <f t="shared" si="63"/>
        <v>2025</v>
      </c>
    </row>
    <row r="1014" spans="1:21" x14ac:dyDescent="0.3">
      <c r="A1014" t="s">
        <v>1092</v>
      </c>
      <c r="B1014" t="s">
        <v>4573</v>
      </c>
      <c r="C1014" t="s">
        <v>5516</v>
      </c>
      <c r="D1014" t="s">
        <v>4372</v>
      </c>
      <c r="E1014">
        <v>28</v>
      </c>
      <c r="F1014" t="s">
        <v>6321</v>
      </c>
      <c r="G1014">
        <v>9244112292</v>
      </c>
      <c r="H1014" t="s">
        <v>4404</v>
      </c>
      <c r="I1014" t="s">
        <v>4405</v>
      </c>
      <c r="J1014" t="s">
        <v>4446</v>
      </c>
      <c r="K1014">
        <v>0</v>
      </c>
      <c r="L1014">
        <v>2.5</v>
      </c>
      <c r="M1014">
        <v>3.6</v>
      </c>
      <c r="N1014" t="s">
        <v>4390</v>
      </c>
      <c r="O1014" t="s">
        <v>4391</v>
      </c>
      <c r="P1014" s="1">
        <v>45742</v>
      </c>
      <c r="Q1014" t="str">
        <f t="shared" si="60"/>
        <v>10+ Years</v>
      </c>
      <c r="R1014" t="str">
        <f>IF(Table7[[#This Row],[Age]]&lt;=25,"20-25",IF(Table7[[#This Row],[Age]]&lt;=30,"26-30",IF(Table7[[#This Row],[Age]]&lt;=35,"31-35","36+")))</f>
        <v>26-30</v>
      </c>
      <c r="S1014" t="str">
        <f t="shared" si="61"/>
        <v>March</v>
      </c>
      <c r="T1014" s="2" t="str">
        <f t="shared" si="62"/>
        <v>Q1</v>
      </c>
      <c r="U1014" s="2">
        <f t="shared" si="63"/>
        <v>2025</v>
      </c>
    </row>
    <row r="1015" spans="1:21" x14ac:dyDescent="0.3">
      <c r="A1015" t="s">
        <v>3680</v>
      </c>
      <c r="B1015" t="s">
        <v>6322</v>
      </c>
      <c r="C1015" t="s">
        <v>4971</v>
      </c>
      <c r="D1015" t="s">
        <v>4372</v>
      </c>
      <c r="E1015">
        <v>35</v>
      </c>
      <c r="F1015" t="s">
        <v>6323</v>
      </c>
      <c r="G1015">
        <v>9220921713</v>
      </c>
      <c r="H1015" t="s">
        <v>4374</v>
      </c>
      <c r="I1015" t="s">
        <v>4375</v>
      </c>
      <c r="J1015" t="s">
        <v>4389</v>
      </c>
      <c r="K1015">
        <v>8</v>
      </c>
      <c r="L1015">
        <v>10.6</v>
      </c>
      <c r="M1015">
        <v>13.7</v>
      </c>
      <c r="N1015" t="s">
        <v>4406</v>
      </c>
      <c r="O1015" t="s">
        <v>4419</v>
      </c>
      <c r="P1015" s="1">
        <v>45908</v>
      </c>
      <c r="Q1015" t="str">
        <f t="shared" si="60"/>
        <v>10+ Years</v>
      </c>
      <c r="R1015" t="str">
        <f>IF(Table7[[#This Row],[Age]]&lt;=25,"20-25",IF(Table7[[#This Row],[Age]]&lt;=30,"26-30",IF(Table7[[#This Row],[Age]]&lt;=35,"31-35","36+")))</f>
        <v>31-35</v>
      </c>
      <c r="S1015" t="str">
        <f t="shared" si="61"/>
        <v>September</v>
      </c>
      <c r="T1015" s="2" t="str">
        <f t="shared" si="62"/>
        <v>Q3</v>
      </c>
      <c r="U1015" s="2">
        <f t="shared" si="63"/>
        <v>2025</v>
      </c>
    </row>
    <row r="1016" spans="1:21" x14ac:dyDescent="0.3">
      <c r="A1016" t="s">
        <v>386</v>
      </c>
      <c r="B1016" t="s">
        <v>4645</v>
      </c>
      <c r="C1016" t="s">
        <v>6324</v>
      </c>
      <c r="D1016" t="s">
        <v>4363</v>
      </c>
      <c r="E1016">
        <v>32</v>
      </c>
      <c r="F1016" t="s">
        <v>6325</v>
      </c>
      <c r="G1016">
        <v>9329745588</v>
      </c>
      <c r="H1016" t="s">
        <v>4506</v>
      </c>
      <c r="I1016" t="s">
        <v>4507</v>
      </c>
      <c r="J1016" t="s">
        <v>4450</v>
      </c>
      <c r="K1016">
        <v>11.1</v>
      </c>
      <c r="L1016">
        <v>18.8</v>
      </c>
      <c r="M1016">
        <v>21.6</v>
      </c>
      <c r="O1016" t="s">
        <v>4400</v>
      </c>
      <c r="P1016" s="1">
        <v>45958</v>
      </c>
      <c r="Q1016" t="str">
        <f t="shared" si="60"/>
        <v>10+ Years</v>
      </c>
      <c r="R1016" t="str">
        <f>IF(Table7[[#This Row],[Age]]&lt;=25,"20-25",IF(Table7[[#This Row],[Age]]&lt;=30,"26-30",IF(Table7[[#This Row],[Age]]&lt;=35,"31-35","36+")))</f>
        <v>31-35</v>
      </c>
      <c r="S1016" t="str">
        <f t="shared" si="61"/>
        <v>October</v>
      </c>
      <c r="T1016" s="2" t="str">
        <f t="shared" si="62"/>
        <v>Q4</v>
      </c>
      <c r="U1016" s="2">
        <f t="shared" si="63"/>
        <v>2025</v>
      </c>
    </row>
    <row r="1017" spans="1:21" x14ac:dyDescent="0.3">
      <c r="A1017" t="s">
        <v>40</v>
      </c>
      <c r="B1017" t="s">
        <v>6326</v>
      </c>
      <c r="C1017" t="s">
        <v>5125</v>
      </c>
      <c r="D1017" t="s">
        <v>4363</v>
      </c>
      <c r="E1017">
        <v>29</v>
      </c>
      <c r="F1017" t="s">
        <v>6327</v>
      </c>
      <c r="G1017">
        <v>9145719868</v>
      </c>
      <c r="H1017" t="s">
        <v>4404</v>
      </c>
      <c r="I1017" t="s">
        <v>4405</v>
      </c>
      <c r="J1017" t="s">
        <v>4415</v>
      </c>
      <c r="K1017">
        <v>5.5</v>
      </c>
      <c r="L1017">
        <v>11.8</v>
      </c>
      <c r="M1017">
        <v>14.7</v>
      </c>
      <c r="N1017" t="s">
        <v>4390</v>
      </c>
      <c r="O1017" t="s">
        <v>4369</v>
      </c>
      <c r="P1017" s="1">
        <v>45876</v>
      </c>
      <c r="Q1017" t="str">
        <f t="shared" si="60"/>
        <v>10+ Years</v>
      </c>
      <c r="R1017" t="str">
        <f>IF(Table7[[#This Row],[Age]]&lt;=25,"20-25",IF(Table7[[#This Row],[Age]]&lt;=30,"26-30",IF(Table7[[#This Row],[Age]]&lt;=35,"31-35","36+")))</f>
        <v>26-30</v>
      </c>
      <c r="S1017" t="str">
        <f t="shared" si="61"/>
        <v>August</v>
      </c>
      <c r="T1017" s="2" t="str">
        <f t="shared" si="62"/>
        <v>Q3</v>
      </c>
      <c r="U1017" s="2">
        <f t="shared" si="63"/>
        <v>2025</v>
      </c>
    </row>
    <row r="1018" spans="1:21" x14ac:dyDescent="0.3">
      <c r="A1018" t="s">
        <v>2363</v>
      </c>
      <c r="B1018" t="s">
        <v>6279</v>
      </c>
      <c r="C1018" t="s">
        <v>5949</v>
      </c>
      <c r="D1018" t="s">
        <v>4363</v>
      </c>
      <c r="E1018">
        <v>34</v>
      </c>
      <c r="F1018" t="s">
        <v>6328</v>
      </c>
      <c r="G1018">
        <v>9603256433</v>
      </c>
      <c r="H1018" t="s">
        <v>4395</v>
      </c>
      <c r="I1018" t="s">
        <v>4396</v>
      </c>
      <c r="J1018" t="s">
        <v>4367</v>
      </c>
      <c r="K1018">
        <v>13.2</v>
      </c>
      <c r="L1018">
        <v>23.8</v>
      </c>
      <c r="M1018">
        <v>29.6</v>
      </c>
      <c r="N1018" t="s">
        <v>4390</v>
      </c>
      <c r="O1018" t="s">
        <v>4383</v>
      </c>
      <c r="P1018" s="1">
        <v>45942</v>
      </c>
      <c r="Q1018" t="str">
        <f t="shared" si="60"/>
        <v>10+ Years</v>
      </c>
      <c r="R1018" t="str">
        <f>IF(Table7[[#This Row],[Age]]&lt;=25,"20-25",IF(Table7[[#This Row],[Age]]&lt;=30,"26-30",IF(Table7[[#This Row],[Age]]&lt;=35,"31-35","36+")))</f>
        <v>31-35</v>
      </c>
      <c r="S1018" t="str">
        <f t="shared" si="61"/>
        <v>October</v>
      </c>
      <c r="T1018" s="2" t="str">
        <f t="shared" si="62"/>
        <v>Q4</v>
      </c>
      <c r="U1018" s="2">
        <f t="shared" si="63"/>
        <v>2025</v>
      </c>
    </row>
    <row r="1019" spans="1:21" x14ac:dyDescent="0.3">
      <c r="A1019" t="s">
        <v>1052</v>
      </c>
      <c r="B1019" t="s">
        <v>4926</v>
      </c>
      <c r="C1019" t="s">
        <v>4461</v>
      </c>
      <c r="D1019" t="s">
        <v>4363</v>
      </c>
      <c r="E1019">
        <v>22</v>
      </c>
      <c r="F1019" t="s">
        <v>6329</v>
      </c>
      <c r="G1019">
        <v>9629877976</v>
      </c>
      <c r="H1019" t="s">
        <v>4387</v>
      </c>
      <c r="I1019" t="s">
        <v>4388</v>
      </c>
      <c r="J1019" t="s">
        <v>4367</v>
      </c>
      <c r="K1019">
        <v>6.3</v>
      </c>
      <c r="L1019">
        <v>4.7</v>
      </c>
      <c r="M1019">
        <v>5.4</v>
      </c>
      <c r="O1019" t="s">
        <v>4383</v>
      </c>
      <c r="P1019" s="1">
        <v>45665</v>
      </c>
      <c r="Q1019" t="str">
        <f t="shared" si="60"/>
        <v>10+ Years</v>
      </c>
      <c r="R1019" t="str">
        <f>IF(Table7[[#This Row],[Age]]&lt;=25,"20-25",IF(Table7[[#This Row],[Age]]&lt;=30,"26-30",IF(Table7[[#This Row],[Age]]&lt;=35,"31-35","36+")))</f>
        <v>20-25</v>
      </c>
      <c r="S1019" t="str">
        <f t="shared" si="61"/>
        <v>January</v>
      </c>
      <c r="T1019" s="2" t="str">
        <f t="shared" si="62"/>
        <v>Q1</v>
      </c>
      <c r="U1019" s="2">
        <f t="shared" si="63"/>
        <v>2025</v>
      </c>
    </row>
    <row r="1020" spans="1:21" x14ac:dyDescent="0.3">
      <c r="A1020" t="s">
        <v>3047</v>
      </c>
      <c r="B1020" t="s">
        <v>4718</v>
      </c>
      <c r="C1020" t="s">
        <v>6330</v>
      </c>
      <c r="D1020" t="s">
        <v>4363</v>
      </c>
      <c r="E1020">
        <v>27</v>
      </c>
      <c r="F1020" t="s">
        <v>6331</v>
      </c>
      <c r="G1020">
        <v>9961267036</v>
      </c>
      <c r="H1020" t="s">
        <v>4521</v>
      </c>
      <c r="I1020" t="s">
        <v>4522</v>
      </c>
      <c r="K1020">
        <v>0.6</v>
      </c>
      <c r="L1020">
        <v>6.3</v>
      </c>
      <c r="M1020">
        <v>7.9</v>
      </c>
      <c r="N1020" t="s">
        <v>4377</v>
      </c>
      <c r="O1020" t="s">
        <v>4456</v>
      </c>
      <c r="P1020" s="1">
        <v>45934</v>
      </c>
      <c r="Q1020" t="str">
        <f t="shared" si="60"/>
        <v>10+ Years</v>
      </c>
      <c r="R1020" t="str">
        <f>IF(Table7[[#This Row],[Age]]&lt;=25,"20-25",IF(Table7[[#This Row],[Age]]&lt;=30,"26-30",IF(Table7[[#This Row],[Age]]&lt;=35,"31-35","36+")))</f>
        <v>26-30</v>
      </c>
      <c r="S1020" t="str">
        <f t="shared" si="61"/>
        <v>October</v>
      </c>
      <c r="T1020" s="2" t="str">
        <f t="shared" si="62"/>
        <v>Q4</v>
      </c>
      <c r="U1020" s="2">
        <f t="shared" si="63"/>
        <v>2025</v>
      </c>
    </row>
    <row r="1021" spans="1:21" x14ac:dyDescent="0.3">
      <c r="A1021" t="s">
        <v>875</v>
      </c>
      <c r="B1021" t="s">
        <v>5816</v>
      </c>
      <c r="C1021" t="s">
        <v>6332</v>
      </c>
      <c r="D1021" t="s">
        <v>4363</v>
      </c>
      <c r="E1021">
        <v>27</v>
      </c>
      <c r="F1021" t="s">
        <v>6333</v>
      </c>
      <c r="G1021">
        <v>9134149577</v>
      </c>
      <c r="H1021" t="s">
        <v>4410</v>
      </c>
      <c r="I1021" t="s">
        <v>4411</v>
      </c>
      <c r="J1021" t="s">
        <v>4432</v>
      </c>
      <c r="K1021">
        <v>3.1</v>
      </c>
      <c r="L1021">
        <v>10</v>
      </c>
      <c r="M1021">
        <v>13.2</v>
      </c>
      <c r="N1021" t="s">
        <v>4390</v>
      </c>
      <c r="O1021" t="s">
        <v>4369</v>
      </c>
      <c r="P1021" s="1">
        <v>45676</v>
      </c>
      <c r="Q1021" t="str">
        <f t="shared" si="60"/>
        <v>10+ Years</v>
      </c>
      <c r="R1021" t="str">
        <f>IF(Table7[[#This Row],[Age]]&lt;=25,"20-25",IF(Table7[[#This Row],[Age]]&lt;=30,"26-30",IF(Table7[[#This Row],[Age]]&lt;=35,"31-35","36+")))</f>
        <v>26-30</v>
      </c>
      <c r="S1021" t="str">
        <f t="shared" si="61"/>
        <v>January</v>
      </c>
      <c r="T1021" s="2" t="str">
        <f t="shared" si="62"/>
        <v>Q1</v>
      </c>
      <c r="U1021" s="2">
        <f t="shared" si="63"/>
        <v>2025</v>
      </c>
    </row>
    <row r="1022" spans="1:21" x14ac:dyDescent="0.3">
      <c r="A1022" t="s">
        <v>1095</v>
      </c>
      <c r="B1022" t="s">
        <v>6334</v>
      </c>
      <c r="C1022" t="s">
        <v>4594</v>
      </c>
      <c r="D1022" t="s">
        <v>4363</v>
      </c>
      <c r="E1022">
        <v>27</v>
      </c>
      <c r="F1022" t="s">
        <v>6335</v>
      </c>
      <c r="G1022">
        <v>9199183948</v>
      </c>
      <c r="H1022" t="s">
        <v>4395</v>
      </c>
      <c r="I1022" t="s">
        <v>4396</v>
      </c>
      <c r="J1022" t="s">
        <v>4482</v>
      </c>
      <c r="K1022">
        <v>5.8</v>
      </c>
      <c r="L1022">
        <v>13</v>
      </c>
      <c r="M1022">
        <v>17.8</v>
      </c>
      <c r="N1022" t="s">
        <v>4377</v>
      </c>
      <c r="O1022" t="s">
        <v>4400</v>
      </c>
      <c r="P1022" s="1">
        <v>45671</v>
      </c>
      <c r="Q1022" t="str">
        <f t="shared" si="60"/>
        <v>10+ Years</v>
      </c>
      <c r="R1022" t="str">
        <f>IF(Table7[[#This Row],[Age]]&lt;=25,"20-25",IF(Table7[[#This Row],[Age]]&lt;=30,"26-30",IF(Table7[[#This Row],[Age]]&lt;=35,"31-35","36+")))</f>
        <v>26-30</v>
      </c>
      <c r="S1022" t="str">
        <f t="shared" si="61"/>
        <v>January</v>
      </c>
      <c r="T1022" s="2" t="str">
        <f t="shared" si="62"/>
        <v>Q1</v>
      </c>
      <c r="U1022" s="2">
        <f t="shared" si="63"/>
        <v>2025</v>
      </c>
    </row>
    <row r="1023" spans="1:21" x14ac:dyDescent="0.3">
      <c r="A1023" t="s">
        <v>3457</v>
      </c>
      <c r="B1023" t="s">
        <v>4563</v>
      </c>
      <c r="C1023" t="s">
        <v>6336</v>
      </c>
      <c r="D1023" t="s">
        <v>4363</v>
      </c>
      <c r="E1023">
        <v>35</v>
      </c>
      <c r="F1023" t="s">
        <v>6337</v>
      </c>
      <c r="G1023">
        <v>9644988194</v>
      </c>
      <c r="H1023" t="s">
        <v>4445</v>
      </c>
      <c r="I1023" t="s">
        <v>4396</v>
      </c>
      <c r="J1023" t="s">
        <v>4376</v>
      </c>
      <c r="K1023">
        <v>1.3</v>
      </c>
      <c r="L1023">
        <v>6.6</v>
      </c>
      <c r="M1023">
        <v>8.4</v>
      </c>
      <c r="N1023" t="s">
        <v>4390</v>
      </c>
      <c r="O1023" t="s">
        <v>4456</v>
      </c>
      <c r="P1023" s="1">
        <v>45715</v>
      </c>
      <c r="Q1023" t="str">
        <f t="shared" si="60"/>
        <v>10+ Years</v>
      </c>
      <c r="R1023" t="str">
        <f>IF(Table7[[#This Row],[Age]]&lt;=25,"20-25",IF(Table7[[#This Row],[Age]]&lt;=30,"26-30",IF(Table7[[#This Row],[Age]]&lt;=35,"31-35","36+")))</f>
        <v>31-35</v>
      </c>
      <c r="S1023" t="str">
        <f t="shared" si="61"/>
        <v>February</v>
      </c>
      <c r="T1023" s="2" t="str">
        <f t="shared" si="62"/>
        <v>Q1</v>
      </c>
      <c r="U1023" s="2">
        <f t="shared" si="63"/>
        <v>2025</v>
      </c>
    </row>
    <row r="1024" spans="1:21" x14ac:dyDescent="0.3">
      <c r="A1024" t="s">
        <v>445</v>
      </c>
      <c r="B1024" t="s">
        <v>4679</v>
      </c>
      <c r="C1024" t="s">
        <v>6338</v>
      </c>
      <c r="D1024" t="s">
        <v>4363</v>
      </c>
      <c r="E1024">
        <v>29</v>
      </c>
      <c r="F1024" t="s">
        <v>6339</v>
      </c>
      <c r="G1024">
        <v>9773441387</v>
      </c>
      <c r="H1024" t="s">
        <v>4473</v>
      </c>
      <c r="I1024" t="s">
        <v>4473</v>
      </c>
      <c r="J1024" t="s">
        <v>4367</v>
      </c>
      <c r="K1024">
        <v>0.4</v>
      </c>
      <c r="L1024">
        <v>7.2</v>
      </c>
      <c r="M1024">
        <v>9.1999999999999993</v>
      </c>
      <c r="N1024" t="s">
        <v>4390</v>
      </c>
      <c r="O1024" t="s">
        <v>4383</v>
      </c>
      <c r="P1024" s="1">
        <v>45927</v>
      </c>
      <c r="Q1024" t="str">
        <f t="shared" si="60"/>
        <v>10+ Years</v>
      </c>
      <c r="R1024" t="str">
        <f>IF(Table7[[#This Row],[Age]]&lt;=25,"20-25",IF(Table7[[#This Row],[Age]]&lt;=30,"26-30",IF(Table7[[#This Row],[Age]]&lt;=35,"31-35","36+")))</f>
        <v>26-30</v>
      </c>
      <c r="S1024" t="str">
        <f t="shared" si="61"/>
        <v>September</v>
      </c>
      <c r="T1024" s="2" t="str">
        <f t="shared" si="62"/>
        <v>Q3</v>
      </c>
      <c r="U1024" s="2">
        <f t="shared" si="63"/>
        <v>2025</v>
      </c>
    </row>
    <row r="1025" spans="1:21" x14ac:dyDescent="0.3">
      <c r="A1025" t="s">
        <v>1494</v>
      </c>
      <c r="B1025" t="s">
        <v>6340</v>
      </c>
      <c r="C1025" t="s">
        <v>5142</v>
      </c>
      <c r="D1025" t="s">
        <v>4372</v>
      </c>
      <c r="E1025">
        <v>24</v>
      </c>
      <c r="F1025" t="s">
        <v>6341</v>
      </c>
      <c r="G1025">
        <v>9745013262</v>
      </c>
      <c r="H1025" t="s">
        <v>4395</v>
      </c>
      <c r="I1025" t="s">
        <v>4396</v>
      </c>
      <c r="J1025" t="s">
        <v>4482</v>
      </c>
      <c r="K1025">
        <v>1</v>
      </c>
      <c r="L1025">
        <v>5.9</v>
      </c>
      <c r="M1025">
        <v>7.5</v>
      </c>
      <c r="N1025" t="s">
        <v>4368</v>
      </c>
      <c r="O1025" t="s">
        <v>4369</v>
      </c>
      <c r="P1025" s="1">
        <v>45898</v>
      </c>
      <c r="Q1025" t="str">
        <f t="shared" si="60"/>
        <v>10+ Years</v>
      </c>
      <c r="R1025" t="str">
        <f>IF(Table7[[#This Row],[Age]]&lt;=25,"20-25",IF(Table7[[#This Row],[Age]]&lt;=30,"26-30",IF(Table7[[#This Row],[Age]]&lt;=35,"31-35","36+")))</f>
        <v>20-25</v>
      </c>
      <c r="S1025" t="str">
        <f t="shared" si="61"/>
        <v>August</v>
      </c>
      <c r="T1025" s="2" t="str">
        <f t="shared" si="62"/>
        <v>Q3</v>
      </c>
      <c r="U1025" s="2">
        <f t="shared" si="63"/>
        <v>2025</v>
      </c>
    </row>
    <row r="1026" spans="1:21" x14ac:dyDescent="0.3">
      <c r="A1026" t="s">
        <v>1345</v>
      </c>
      <c r="B1026" t="s">
        <v>5740</v>
      </c>
      <c r="C1026" t="s">
        <v>5635</v>
      </c>
      <c r="D1026" t="s">
        <v>4372</v>
      </c>
      <c r="E1026">
        <v>21</v>
      </c>
      <c r="F1026" t="s">
        <v>6342</v>
      </c>
      <c r="G1026">
        <v>9755729749</v>
      </c>
      <c r="H1026" t="s">
        <v>4374</v>
      </c>
      <c r="I1026" t="s">
        <v>4375</v>
      </c>
      <c r="J1026" t="s">
        <v>4618</v>
      </c>
      <c r="K1026">
        <v>0.5</v>
      </c>
      <c r="L1026">
        <v>8.6</v>
      </c>
      <c r="M1026">
        <v>10.3</v>
      </c>
      <c r="N1026" t="s">
        <v>4390</v>
      </c>
      <c r="O1026" t="s">
        <v>4400</v>
      </c>
      <c r="P1026" s="1">
        <v>45912</v>
      </c>
      <c r="Q1026" t="str">
        <f t="shared" ref="Q1026:Q1089" si="64">IF(P1026&lt;=2,"0-2 Years",IF(P1026&lt;=5,"3-5 Years",IF(P1026&lt;=10,"6-10 Years","10+ Years")))</f>
        <v>10+ Years</v>
      </c>
      <c r="R1026" t="str">
        <f>IF(Table7[[#This Row],[Age]]&lt;=25,"20-25",IF(Table7[[#This Row],[Age]]&lt;=30,"26-30",IF(Table7[[#This Row],[Age]]&lt;=35,"31-35","36+")))</f>
        <v>20-25</v>
      </c>
      <c r="S1026" t="str">
        <f t="shared" ref="S1026:S1089" si="65">TEXT(P1026,"mmmm")</f>
        <v>September</v>
      </c>
      <c r="T1026" s="2" t="str">
        <f t="shared" ref="T1026:T1089" si="66">"Q"&amp;ROUNDUP(MONTH(P1026)/3,0)</f>
        <v>Q3</v>
      </c>
      <c r="U1026" s="2">
        <f t="shared" ref="U1026:U1089" si="67">YEAR(P1026)</f>
        <v>2025</v>
      </c>
    </row>
    <row r="1027" spans="1:21" x14ac:dyDescent="0.3">
      <c r="A1027" t="s">
        <v>3709</v>
      </c>
      <c r="B1027" t="s">
        <v>4825</v>
      </c>
      <c r="C1027" t="s">
        <v>6343</v>
      </c>
      <c r="D1027" t="s">
        <v>4372</v>
      </c>
      <c r="E1027">
        <v>29</v>
      </c>
      <c r="F1027" t="s">
        <v>6344</v>
      </c>
      <c r="G1027">
        <v>9528613792</v>
      </c>
      <c r="H1027" t="s">
        <v>4365</v>
      </c>
      <c r="I1027" t="s">
        <v>4366</v>
      </c>
      <c r="K1027">
        <v>0.3</v>
      </c>
      <c r="L1027">
        <v>8.9</v>
      </c>
      <c r="M1027">
        <v>11.2</v>
      </c>
      <c r="N1027" t="s">
        <v>4390</v>
      </c>
      <c r="O1027" t="s">
        <v>4485</v>
      </c>
      <c r="P1027" s="1">
        <v>45910</v>
      </c>
      <c r="Q1027" t="str">
        <f t="shared" si="64"/>
        <v>10+ Years</v>
      </c>
      <c r="R1027" t="str">
        <f>IF(Table7[[#This Row],[Age]]&lt;=25,"20-25",IF(Table7[[#This Row],[Age]]&lt;=30,"26-30",IF(Table7[[#This Row],[Age]]&lt;=35,"31-35","36+")))</f>
        <v>26-30</v>
      </c>
      <c r="S1027" t="str">
        <f t="shared" si="65"/>
        <v>September</v>
      </c>
      <c r="T1027" s="2" t="str">
        <f t="shared" si="66"/>
        <v>Q3</v>
      </c>
      <c r="U1027" s="2">
        <f t="shared" si="67"/>
        <v>2025</v>
      </c>
    </row>
    <row r="1028" spans="1:21" x14ac:dyDescent="0.3">
      <c r="A1028" t="s">
        <v>2521</v>
      </c>
      <c r="B1028" t="s">
        <v>5794</v>
      </c>
      <c r="C1028" t="s">
        <v>4814</v>
      </c>
      <c r="D1028" t="s">
        <v>4363</v>
      </c>
      <c r="E1028">
        <v>28</v>
      </c>
      <c r="F1028" t="s">
        <v>6345</v>
      </c>
      <c r="G1028">
        <v>9474154177</v>
      </c>
      <c r="H1028" t="s">
        <v>4454</v>
      </c>
      <c r="I1028" t="s">
        <v>4455</v>
      </c>
      <c r="J1028" t="s">
        <v>4389</v>
      </c>
      <c r="K1028">
        <v>17.899999999999999</v>
      </c>
      <c r="L1028">
        <v>24.4</v>
      </c>
      <c r="M1028">
        <v>29.7</v>
      </c>
      <c r="N1028" t="s">
        <v>4368</v>
      </c>
      <c r="O1028" t="s">
        <v>4485</v>
      </c>
      <c r="P1028" s="1">
        <v>45705</v>
      </c>
      <c r="Q1028" t="str">
        <f t="shared" si="64"/>
        <v>10+ Years</v>
      </c>
      <c r="R1028" t="str">
        <f>IF(Table7[[#This Row],[Age]]&lt;=25,"20-25",IF(Table7[[#This Row],[Age]]&lt;=30,"26-30",IF(Table7[[#This Row],[Age]]&lt;=35,"31-35","36+")))</f>
        <v>26-30</v>
      </c>
      <c r="S1028" t="str">
        <f t="shared" si="65"/>
        <v>February</v>
      </c>
      <c r="T1028" s="2" t="str">
        <f t="shared" si="66"/>
        <v>Q1</v>
      </c>
      <c r="U1028" s="2">
        <f t="shared" si="67"/>
        <v>2025</v>
      </c>
    </row>
    <row r="1029" spans="1:21" x14ac:dyDescent="0.3">
      <c r="A1029" t="s">
        <v>428</v>
      </c>
      <c r="B1029" t="s">
        <v>4869</v>
      </c>
      <c r="C1029" t="s">
        <v>6346</v>
      </c>
      <c r="D1029" t="s">
        <v>4372</v>
      </c>
      <c r="E1029">
        <v>37</v>
      </c>
      <c r="F1029" t="s">
        <v>6347</v>
      </c>
      <c r="G1029">
        <v>9197043149</v>
      </c>
      <c r="H1029" t="s">
        <v>4374</v>
      </c>
      <c r="I1029" t="s">
        <v>4375</v>
      </c>
      <c r="J1029" t="s">
        <v>4367</v>
      </c>
      <c r="K1029">
        <v>2</v>
      </c>
      <c r="L1029">
        <v>11.6</v>
      </c>
      <c r="M1029">
        <v>15.5</v>
      </c>
      <c r="N1029" t="s">
        <v>4377</v>
      </c>
      <c r="O1029" t="s">
        <v>4391</v>
      </c>
      <c r="P1029" s="1">
        <v>45998</v>
      </c>
      <c r="Q1029" t="str">
        <f t="shared" si="64"/>
        <v>10+ Years</v>
      </c>
      <c r="R1029" t="str">
        <f>IF(Table7[[#This Row],[Age]]&lt;=25,"20-25",IF(Table7[[#This Row],[Age]]&lt;=30,"26-30",IF(Table7[[#This Row],[Age]]&lt;=35,"31-35","36+")))</f>
        <v>36+</v>
      </c>
      <c r="S1029" t="str">
        <f t="shared" si="65"/>
        <v>December</v>
      </c>
      <c r="T1029" s="2" t="str">
        <f t="shared" si="66"/>
        <v>Q4</v>
      </c>
      <c r="U1029" s="2">
        <f t="shared" si="67"/>
        <v>2025</v>
      </c>
    </row>
    <row r="1030" spans="1:21" x14ac:dyDescent="0.3">
      <c r="A1030" t="s">
        <v>3124</v>
      </c>
      <c r="B1030" t="s">
        <v>4523</v>
      </c>
      <c r="C1030" t="s">
        <v>6348</v>
      </c>
      <c r="D1030" t="s">
        <v>4372</v>
      </c>
      <c r="E1030">
        <v>26</v>
      </c>
      <c r="F1030" t="s">
        <v>6349</v>
      </c>
      <c r="G1030">
        <v>9699909382</v>
      </c>
      <c r="H1030" t="s">
        <v>4365</v>
      </c>
      <c r="I1030" t="s">
        <v>4366</v>
      </c>
      <c r="J1030" t="s">
        <v>4446</v>
      </c>
      <c r="K1030">
        <v>1.5</v>
      </c>
      <c r="L1030">
        <v>3.8</v>
      </c>
      <c r="M1030">
        <v>4.4000000000000004</v>
      </c>
      <c r="N1030" t="s">
        <v>4390</v>
      </c>
      <c r="O1030" t="s">
        <v>4369</v>
      </c>
      <c r="P1030" s="1">
        <v>45964</v>
      </c>
      <c r="Q1030" t="str">
        <f t="shared" si="64"/>
        <v>10+ Years</v>
      </c>
      <c r="R1030" t="str">
        <f>IF(Table7[[#This Row],[Age]]&lt;=25,"20-25",IF(Table7[[#This Row],[Age]]&lt;=30,"26-30",IF(Table7[[#This Row],[Age]]&lt;=35,"31-35","36+")))</f>
        <v>26-30</v>
      </c>
      <c r="S1030" t="str">
        <f t="shared" si="65"/>
        <v>November</v>
      </c>
      <c r="T1030" s="2" t="str">
        <f t="shared" si="66"/>
        <v>Q4</v>
      </c>
      <c r="U1030" s="2">
        <f t="shared" si="67"/>
        <v>2025</v>
      </c>
    </row>
    <row r="1031" spans="1:21" x14ac:dyDescent="0.3">
      <c r="A1031" t="s">
        <v>3653</v>
      </c>
      <c r="B1031" t="s">
        <v>4565</v>
      </c>
      <c r="C1031" t="s">
        <v>6350</v>
      </c>
      <c r="D1031" t="s">
        <v>4372</v>
      </c>
      <c r="E1031">
        <v>23</v>
      </c>
      <c r="F1031" t="s">
        <v>6351</v>
      </c>
      <c r="G1031">
        <v>9578192721</v>
      </c>
      <c r="H1031" t="s">
        <v>4454</v>
      </c>
      <c r="I1031" t="s">
        <v>4455</v>
      </c>
      <c r="J1031" t="s">
        <v>4376</v>
      </c>
      <c r="K1031">
        <v>1.9</v>
      </c>
      <c r="L1031">
        <v>8.5</v>
      </c>
      <c r="M1031">
        <v>12</v>
      </c>
      <c r="N1031" t="s">
        <v>4368</v>
      </c>
      <c r="O1031" t="s">
        <v>4400</v>
      </c>
      <c r="P1031" s="1">
        <v>45928</v>
      </c>
      <c r="Q1031" t="str">
        <f t="shared" si="64"/>
        <v>10+ Years</v>
      </c>
      <c r="R1031" t="str">
        <f>IF(Table7[[#This Row],[Age]]&lt;=25,"20-25",IF(Table7[[#This Row],[Age]]&lt;=30,"26-30",IF(Table7[[#This Row],[Age]]&lt;=35,"31-35","36+")))</f>
        <v>20-25</v>
      </c>
      <c r="S1031" t="str">
        <f t="shared" si="65"/>
        <v>September</v>
      </c>
      <c r="T1031" s="2" t="str">
        <f t="shared" si="66"/>
        <v>Q3</v>
      </c>
      <c r="U1031" s="2">
        <f t="shared" si="67"/>
        <v>2025</v>
      </c>
    </row>
    <row r="1032" spans="1:21" x14ac:dyDescent="0.3">
      <c r="A1032" t="s">
        <v>962</v>
      </c>
      <c r="B1032" t="s">
        <v>4741</v>
      </c>
      <c r="C1032" t="s">
        <v>4807</v>
      </c>
      <c r="D1032" t="s">
        <v>4372</v>
      </c>
      <c r="E1032">
        <v>32</v>
      </c>
      <c r="F1032" t="s">
        <v>6352</v>
      </c>
      <c r="G1032">
        <v>9191481696</v>
      </c>
      <c r="H1032" t="s">
        <v>4404</v>
      </c>
      <c r="I1032" t="s">
        <v>4405</v>
      </c>
      <c r="J1032" t="s">
        <v>4389</v>
      </c>
      <c r="K1032">
        <v>1.3</v>
      </c>
      <c r="L1032">
        <v>6.9</v>
      </c>
      <c r="M1032">
        <v>8.1</v>
      </c>
      <c r="N1032" t="s">
        <v>4390</v>
      </c>
      <c r="O1032" t="s">
        <v>4369</v>
      </c>
      <c r="P1032" s="1">
        <v>45897</v>
      </c>
      <c r="Q1032" t="str">
        <f t="shared" si="64"/>
        <v>10+ Years</v>
      </c>
      <c r="R1032" t="str">
        <f>IF(Table7[[#This Row],[Age]]&lt;=25,"20-25",IF(Table7[[#This Row],[Age]]&lt;=30,"26-30",IF(Table7[[#This Row],[Age]]&lt;=35,"31-35","36+")))</f>
        <v>31-35</v>
      </c>
      <c r="S1032" t="str">
        <f t="shared" si="65"/>
        <v>August</v>
      </c>
      <c r="T1032" s="2" t="str">
        <f t="shared" si="66"/>
        <v>Q3</v>
      </c>
      <c r="U1032" s="2">
        <f t="shared" si="67"/>
        <v>2025</v>
      </c>
    </row>
    <row r="1033" spans="1:21" x14ac:dyDescent="0.3">
      <c r="A1033" t="s">
        <v>1767</v>
      </c>
      <c r="B1033" t="s">
        <v>6353</v>
      </c>
      <c r="C1033" t="s">
        <v>6354</v>
      </c>
      <c r="D1033" t="s">
        <v>4363</v>
      </c>
      <c r="E1033">
        <v>34</v>
      </c>
      <c r="F1033" t="s">
        <v>6355</v>
      </c>
      <c r="G1033">
        <v>9700973204</v>
      </c>
      <c r="H1033" t="s">
        <v>4387</v>
      </c>
      <c r="I1033" t="s">
        <v>4388</v>
      </c>
      <c r="J1033" t="s">
        <v>4389</v>
      </c>
      <c r="K1033">
        <v>0.3</v>
      </c>
      <c r="L1033">
        <v>2.5</v>
      </c>
      <c r="M1033">
        <v>3.4</v>
      </c>
      <c r="N1033" t="s">
        <v>4368</v>
      </c>
      <c r="O1033" t="s">
        <v>4383</v>
      </c>
      <c r="P1033" s="1">
        <v>45850</v>
      </c>
      <c r="Q1033" t="str">
        <f t="shared" si="64"/>
        <v>10+ Years</v>
      </c>
      <c r="R1033" t="str">
        <f>IF(Table7[[#This Row],[Age]]&lt;=25,"20-25",IF(Table7[[#This Row],[Age]]&lt;=30,"26-30",IF(Table7[[#This Row],[Age]]&lt;=35,"31-35","36+")))</f>
        <v>31-35</v>
      </c>
      <c r="S1033" t="str">
        <f t="shared" si="65"/>
        <v>July</v>
      </c>
      <c r="T1033" s="2" t="str">
        <f t="shared" si="66"/>
        <v>Q3</v>
      </c>
      <c r="U1033" s="2">
        <f t="shared" si="67"/>
        <v>2025</v>
      </c>
    </row>
    <row r="1034" spans="1:21" x14ac:dyDescent="0.3">
      <c r="A1034" t="s">
        <v>2597</v>
      </c>
      <c r="B1034" t="s">
        <v>4921</v>
      </c>
      <c r="C1034" t="s">
        <v>4421</v>
      </c>
      <c r="D1034" t="s">
        <v>4372</v>
      </c>
      <c r="E1034">
        <v>24</v>
      </c>
      <c r="F1034" t="s">
        <v>6356</v>
      </c>
      <c r="G1034">
        <v>9669623420</v>
      </c>
      <c r="H1034" t="s">
        <v>4404</v>
      </c>
      <c r="I1034" t="s">
        <v>4405</v>
      </c>
      <c r="J1034" t="s">
        <v>4389</v>
      </c>
      <c r="K1034">
        <v>0.7</v>
      </c>
      <c r="L1034">
        <v>6.2</v>
      </c>
      <c r="M1034">
        <v>7.3</v>
      </c>
      <c r="N1034" t="s">
        <v>4377</v>
      </c>
      <c r="O1034" t="s">
        <v>4369</v>
      </c>
      <c r="P1034" s="1">
        <v>45818</v>
      </c>
      <c r="Q1034" t="str">
        <f t="shared" si="64"/>
        <v>10+ Years</v>
      </c>
      <c r="R1034" t="str">
        <f>IF(Table7[[#This Row],[Age]]&lt;=25,"20-25",IF(Table7[[#This Row],[Age]]&lt;=30,"26-30",IF(Table7[[#This Row],[Age]]&lt;=35,"31-35","36+")))</f>
        <v>20-25</v>
      </c>
      <c r="S1034" t="str">
        <f t="shared" si="65"/>
        <v>June</v>
      </c>
      <c r="T1034" s="2" t="str">
        <f t="shared" si="66"/>
        <v>Q2</v>
      </c>
      <c r="U1034" s="2">
        <f t="shared" si="67"/>
        <v>2025</v>
      </c>
    </row>
    <row r="1035" spans="1:21" x14ac:dyDescent="0.3">
      <c r="A1035" t="s">
        <v>1966</v>
      </c>
      <c r="B1035" t="s">
        <v>4479</v>
      </c>
      <c r="C1035" t="s">
        <v>6357</v>
      </c>
      <c r="D1035" t="s">
        <v>4363</v>
      </c>
      <c r="E1035">
        <v>36</v>
      </c>
      <c r="F1035" t="s">
        <v>6358</v>
      </c>
      <c r="G1035">
        <v>9781178943</v>
      </c>
      <c r="H1035" t="s">
        <v>4476</v>
      </c>
      <c r="I1035" t="s">
        <v>4477</v>
      </c>
      <c r="J1035" t="s">
        <v>4450</v>
      </c>
      <c r="K1035">
        <v>1.7</v>
      </c>
      <c r="L1035">
        <v>6.5</v>
      </c>
      <c r="M1035">
        <v>8.5</v>
      </c>
      <c r="N1035" t="s">
        <v>4377</v>
      </c>
      <c r="O1035" t="s">
        <v>4369</v>
      </c>
      <c r="P1035" s="1">
        <v>45695</v>
      </c>
      <c r="Q1035" t="str">
        <f t="shared" si="64"/>
        <v>10+ Years</v>
      </c>
      <c r="R1035" t="str">
        <f>IF(Table7[[#This Row],[Age]]&lt;=25,"20-25",IF(Table7[[#This Row],[Age]]&lt;=30,"26-30",IF(Table7[[#This Row],[Age]]&lt;=35,"31-35","36+")))</f>
        <v>36+</v>
      </c>
      <c r="S1035" t="str">
        <f t="shared" si="65"/>
        <v>February</v>
      </c>
      <c r="T1035" s="2" t="str">
        <f t="shared" si="66"/>
        <v>Q1</v>
      </c>
      <c r="U1035" s="2">
        <f t="shared" si="67"/>
        <v>2025</v>
      </c>
    </row>
    <row r="1036" spans="1:21" x14ac:dyDescent="0.3">
      <c r="A1036" t="s">
        <v>1006</v>
      </c>
      <c r="B1036" t="s">
        <v>4430</v>
      </c>
      <c r="C1036" t="s">
        <v>4878</v>
      </c>
      <c r="D1036" t="s">
        <v>4372</v>
      </c>
      <c r="E1036">
        <v>36</v>
      </c>
      <c r="F1036" t="s">
        <v>6359</v>
      </c>
      <c r="G1036">
        <v>9160816777</v>
      </c>
      <c r="H1036" t="s">
        <v>4395</v>
      </c>
      <c r="I1036" t="s">
        <v>4396</v>
      </c>
      <c r="J1036" t="s">
        <v>4367</v>
      </c>
      <c r="K1036">
        <v>1.2</v>
      </c>
      <c r="L1036">
        <v>7.4</v>
      </c>
      <c r="M1036">
        <v>8.9</v>
      </c>
      <c r="N1036" t="s">
        <v>4390</v>
      </c>
      <c r="O1036" t="s">
        <v>4369</v>
      </c>
      <c r="P1036" s="1">
        <v>45818</v>
      </c>
      <c r="Q1036" t="str">
        <f t="shared" si="64"/>
        <v>10+ Years</v>
      </c>
      <c r="R1036" t="str">
        <f>IF(Table7[[#This Row],[Age]]&lt;=25,"20-25",IF(Table7[[#This Row],[Age]]&lt;=30,"26-30",IF(Table7[[#This Row],[Age]]&lt;=35,"31-35","36+")))</f>
        <v>36+</v>
      </c>
      <c r="S1036" t="str">
        <f t="shared" si="65"/>
        <v>June</v>
      </c>
      <c r="T1036" s="2" t="str">
        <f t="shared" si="66"/>
        <v>Q2</v>
      </c>
      <c r="U1036" s="2">
        <f t="shared" si="67"/>
        <v>2025</v>
      </c>
    </row>
    <row r="1037" spans="1:21" x14ac:dyDescent="0.3">
      <c r="A1037" t="s">
        <v>2398</v>
      </c>
      <c r="B1037" t="s">
        <v>6360</v>
      </c>
      <c r="C1037" t="s">
        <v>4448</v>
      </c>
      <c r="D1037" t="s">
        <v>4372</v>
      </c>
      <c r="E1037">
        <v>31</v>
      </c>
      <c r="F1037" t="s">
        <v>6361</v>
      </c>
      <c r="G1037">
        <v>9239446869</v>
      </c>
      <c r="H1037" t="s">
        <v>4476</v>
      </c>
      <c r="I1037" t="s">
        <v>4477</v>
      </c>
      <c r="J1037" t="s">
        <v>4415</v>
      </c>
      <c r="K1037">
        <v>7.4</v>
      </c>
      <c r="L1037">
        <v>14.4</v>
      </c>
      <c r="M1037">
        <v>16.7</v>
      </c>
      <c r="O1037" t="s">
        <v>4383</v>
      </c>
      <c r="P1037" s="1">
        <v>45695</v>
      </c>
      <c r="Q1037" t="str">
        <f t="shared" si="64"/>
        <v>10+ Years</v>
      </c>
      <c r="R1037" t="str">
        <f>IF(Table7[[#This Row],[Age]]&lt;=25,"20-25",IF(Table7[[#This Row],[Age]]&lt;=30,"26-30",IF(Table7[[#This Row],[Age]]&lt;=35,"31-35","36+")))</f>
        <v>31-35</v>
      </c>
      <c r="S1037" t="str">
        <f t="shared" si="65"/>
        <v>February</v>
      </c>
      <c r="T1037" s="2" t="str">
        <f t="shared" si="66"/>
        <v>Q1</v>
      </c>
      <c r="U1037" s="2">
        <f t="shared" si="67"/>
        <v>2025</v>
      </c>
    </row>
    <row r="1038" spans="1:21" x14ac:dyDescent="0.3">
      <c r="A1038" t="s">
        <v>6362</v>
      </c>
      <c r="B1038" t="s">
        <v>4370</v>
      </c>
      <c r="C1038" t="s">
        <v>4461</v>
      </c>
      <c r="D1038" t="s">
        <v>4372</v>
      </c>
      <c r="E1038">
        <v>21</v>
      </c>
      <c r="F1038" t="s">
        <v>6363</v>
      </c>
      <c r="G1038">
        <v>9352225709</v>
      </c>
      <c r="H1038" t="s">
        <v>4521</v>
      </c>
      <c r="I1038" t="s">
        <v>4522</v>
      </c>
      <c r="J1038" t="s">
        <v>4389</v>
      </c>
      <c r="K1038">
        <v>3.1</v>
      </c>
      <c r="L1038">
        <v>8.6999999999999993</v>
      </c>
      <c r="M1038">
        <v>10.199999999999999</v>
      </c>
      <c r="N1038" t="s">
        <v>4368</v>
      </c>
      <c r="O1038" t="s">
        <v>4369</v>
      </c>
      <c r="P1038" s="1">
        <v>45758</v>
      </c>
      <c r="Q1038" t="str">
        <f t="shared" si="64"/>
        <v>10+ Years</v>
      </c>
      <c r="R1038" t="str">
        <f>IF(Table7[[#This Row],[Age]]&lt;=25,"20-25",IF(Table7[[#This Row],[Age]]&lt;=30,"26-30",IF(Table7[[#This Row],[Age]]&lt;=35,"31-35","36+")))</f>
        <v>20-25</v>
      </c>
      <c r="S1038" t="str">
        <f t="shared" si="65"/>
        <v>April</v>
      </c>
      <c r="T1038" s="2" t="str">
        <f t="shared" si="66"/>
        <v>Q2</v>
      </c>
      <c r="U1038" s="2">
        <f t="shared" si="67"/>
        <v>2025</v>
      </c>
    </row>
    <row r="1039" spans="1:21" x14ac:dyDescent="0.3">
      <c r="A1039" t="s">
        <v>353</v>
      </c>
      <c r="B1039" t="s">
        <v>4641</v>
      </c>
      <c r="C1039" t="s">
        <v>4468</v>
      </c>
      <c r="D1039" t="s">
        <v>4372</v>
      </c>
      <c r="E1039">
        <v>29</v>
      </c>
      <c r="F1039" t="s">
        <v>6364</v>
      </c>
      <c r="G1039">
        <v>9448386933</v>
      </c>
      <c r="H1039" t="s">
        <v>4445</v>
      </c>
      <c r="I1039" t="s">
        <v>4396</v>
      </c>
      <c r="J1039" t="s">
        <v>4389</v>
      </c>
      <c r="K1039">
        <v>11.5</v>
      </c>
      <c r="L1039">
        <v>22.1</v>
      </c>
      <c r="M1039">
        <v>28.9</v>
      </c>
      <c r="N1039" t="s">
        <v>4377</v>
      </c>
      <c r="O1039" t="s">
        <v>4369</v>
      </c>
      <c r="P1039" s="1">
        <v>45804</v>
      </c>
      <c r="Q1039" t="str">
        <f t="shared" si="64"/>
        <v>10+ Years</v>
      </c>
      <c r="R1039" t="str">
        <f>IF(Table7[[#This Row],[Age]]&lt;=25,"20-25",IF(Table7[[#This Row],[Age]]&lt;=30,"26-30",IF(Table7[[#This Row],[Age]]&lt;=35,"31-35","36+")))</f>
        <v>26-30</v>
      </c>
      <c r="S1039" t="str">
        <f t="shared" si="65"/>
        <v>May</v>
      </c>
      <c r="T1039" s="2" t="str">
        <f t="shared" si="66"/>
        <v>Q2</v>
      </c>
      <c r="U1039" s="2">
        <f t="shared" si="67"/>
        <v>2025</v>
      </c>
    </row>
    <row r="1040" spans="1:21" x14ac:dyDescent="0.3">
      <c r="A1040" t="s">
        <v>1996</v>
      </c>
      <c r="B1040" t="s">
        <v>6365</v>
      </c>
      <c r="C1040" t="s">
        <v>4532</v>
      </c>
      <c r="D1040" t="s">
        <v>4372</v>
      </c>
      <c r="E1040">
        <v>32</v>
      </c>
      <c r="F1040" t="s">
        <v>6366</v>
      </c>
      <c r="G1040">
        <v>9356016575</v>
      </c>
      <c r="H1040" t="s">
        <v>4387</v>
      </c>
      <c r="I1040" t="s">
        <v>4388</v>
      </c>
      <c r="J1040" t="s">
        <v>4389</v>
      </c>
      <c r="K1040">
        <v>5.7</v>
      </c>
      <c r="L1040">
        <v>18.3</v>
      </c>
      <c r="M1040">
        <v>22.9</v>
      </c>
      <c r="N1040" t="s">
        <v>4390</v>
      </c>
      <c r="O1040" t="s">
        <v>4383</v>
      </c>
      <c r="P1040" s="1">
        <v>45729</v>
      </c>
      <c r="Q1040" t="str">
        <f t="shared" si="64"/>
        <v>10+ Years</v>
      </c>
      <c r="R1040" t="str">
        <f>IF(Table7[[#This Row],[Age]]&lt;=25,"20-25",IF(Table7[[#This Row],[Age]]&lt;=30,"26-30",IF(Table7[[#This Row],[Age]]&lt;=35,"31-35","36+")))</f>
        <v>31-35</v>
      </c>
      <c r="S1040" t="str">
        <f t="shared" si="65"/>
        <v>March</v>
      </c>
      <c r="T1040" s="2" t="str">
        <f t="shared" si="66"/>
        <v>Q1</v>
      </c>
      <c r="U1040" s="2">
        <f t="shared" si="67"/>
        <v>2025</v>
      </c>
    </row>
    <row r="1041" spans="1:21" x14ac:dyDescent="0.3">
      <c r="A1041" t="s">
        <v>6367</v>
      </c>
      <c r="B1041" t="s">
        <v>4430</v>
      </c>
      <c r="C1041" t="s">
        <v>4529</v>
      </c>
      <c r="D1041" t="s">
        <v>4372</v>
      </c>
      <c r="E1041">
        <v>23</v>
      </c>
      <c r="F1041" t="s">
        <v>6368</v>
      </c>
      <c r="G1041">
        <v>9991016581</v>
      </c>
      <c r="H1041" t="s">
        <v>4410</v>
      </c>
      <c r="I1041" t="s">
        <v>4411</v>
      </c>
      <c r="J1041" t="s">
        <v>4367</v>
      </c>
      <c r="K1041">
        <v>3.6</v>
      </c>
      <c r="L1041">
        <v>11.1</v>
      </c>
      <c r="M1041">
        <v>15.4</v>
      </c>
      <c r="N1041" t="s">
        <v>4368</v>
      </c>
      <c r="O1041" t="s">
        <v>4369</v>
      </c>
      <c r="P1041" s="1">
        <v>45661</v>
      </c>
      <c r="Q1041" t="str">
        <f t="shared" si="64"/>
        <v>10+ Years</v>
      </c>
      <c r="R1041" t="str">
        <f>IF(Table7[[#This Row],[Age]]&lt;=25,"20-25",IF(Table7[[#This Row],[Age]]&lt;=30,"26-30",IF(Table7[[#This Row],[Age]]&lt;=35,"31-35","36+")))</f>
        <v>20-25</v>
      </c>
      <c r="S1041" t="str">
        <f t="shared" si="65"/>
        <v>January</v>
      </c>
      <c r="T1041" s="2" t="str">
        <f t="shared" si="66"/>
        <v>Q1</v>
      </c>
      <c r="U1041" s="2">
        <f t="shared" si="67"/>
        <v>2025</v>
      </c>
    </row>
    <row r="1042" spans="1:21" x14ac:dyDescent="0.3">
      <c r="A1042" t="s">
        <v>2703</v>
      </c>
      <c r="B1042" t="s">
        <v>4668</v>
      </c>
      <c r="C1042" t="s">
        <v>4974</v>
      </c>
      <c r="D1042" t="s">
        <v>4372</v>
      </c>
      <c r="E1042">
        <v>32</v>
      </c>
      <c r="F1042" t="s">
        <v>6369</v>
      </c>
      <c r="G1042">
        <v>9699508642</v>
      </c>
      <c r="H1042" t="s">
        <v>4404</v>
      </c>
      <c r="I1042" t="s">
        <v>4405</v>
      </c>
      <c r="J1042" t="s">
        <v>4389</v>
      </c>
      <c r="K1042">
        <v>17.2</v>
      </c>
      <c r="L1042">
        <v>28.4</v>
      </c>
      <c r="M1042">
        <v>41.1</v>
      </c>
      <c r="N1042" t="s">
        <v>4368</v>
      </c>
      <c r="O1042" t="s">
        <v>4485</v>
      </c>
      <c r="P1042" s="1">
        <v>46016</v>
      </c>
      <c r="Q1042" t="str">
        <f t="shared" si="64"/>
        <v>10+ Years</v>
      </c>
      <c r="R1042" t="str">
        <f>IF(Table7[[#This Row],[Age]]&lt;=25,"20-25",IF(Table7[[#This Row],[Age]]&lt;=30,"26-30",IF(Table7[[#This Row],[Age]]&lt;=35,"31-35","36+")))</f>
        <v>31-35</v>
      </c>
      <c r="S1042" t="str">
        <f t="shared" si="65"/>
        <v>December</v>
      </c>
      <c r="T1042" s="2" t="str">
        <f t="shared" si="66"/>
        <v>Q4</v>
      </c>
      <c r="U1042" s="2">
        <f t="shared" si="67"/>
        <v>2025</v>
      </c>
    </row>
    <row r="1043" spans="1:21" x14ac:dyDescent="0.3">
      <c r="A1043" t="s">
        <v>798</v>
      </c>
      <c r="B1043" t="s">
        <v>4451</v>
      </c>
      <c r="C1043" t="s">
        <v>5809</v>
      </c>
      <c r="D1043" t="s">
        <v>4372</v>
      </c>
      <c r="E1043">
        <v>22</v>
      </c>
      <c r="F1043" t="s">
        <v>6370</v>
      </c>
      <c r="G1043">
        <v>9273407312</v>
      </c>
      <c r="H1043" t="s">
        <v>4365</v>
      </c>
      <c r="I1043" t="s">
        <v>4366</v>
      </c>
      <c r="J1043" t="s">
        <v>4415</v>
      </c>
      <c r="K1043">
        <v>1.9</v>
      </c>
      <c r="L1043">
        <v>15.8</v>
      </c>
      <c r="M1043">
        <v>20.9</v>
      </c>
      <c r="N1043" t="s">
        <v>4390</v>
      </c>
      <c r="O1043" t="s">
        <v>4369</v>
      </c>
      <c r="P1043" s="1">
        <v>45795</v>
      </c>
      <c r="Q1043" t="str">
        <f t="shared" si="64"/>
        <v>10+ Years</v>
      </c>
      <c r="R1043" t="str">
        <f>IF(Table7[[#This Row],[Age]]&lt;=25,"20-25",IF(Table7[[#This Row],[Age]]&lt;=30,"26-30",IF(Table7[[#This Row],[Age]]&lt;=35,"31-35","36+")))</f>
        <v>20-25</v>
      </c>
      <c r="S1043" t="str">
        <f t="shared" si="65"/>
        <v>May</v>
      </c>
      <c r="T1043" s="2" t="str">
        <f t="shared" si="66"/>
        <v>Q2</v>
      </c>
      <c r="U1043" s="2">
        <f t="shared" si="67"/>
        <v>2025</v>
      </c>
    </row>
    <row r="1044" spans="1:21" x14ac:dyDescent="0.3">
      <c r="A1044" t="s">
        <v>3542</v>
      </c>
      <c r="B1044" t="s">
        <v>6371</v>
      </c>
      <c r="C1044" t="s">
        <v>6372</v>
      </c>
      <c r="D1044" t="s">
        <v>4372</v>
      </c>
      <c r="E1044">
        <v>27</v>
      </c>
      <c r="F1044" t="s">
        <v>6373</v>
      </c>
      <c r="G1044">
        <v>9109365873</v>
      </c>
      <c r="H1044" t="s">
        <v>4387</v>
      </c>
      <c r="I1044" t="s">
        <v>4388</v>
      </c>
      <c r="J1044" t="s">
        <v>4389</v>
      </c>
      <c r="K1044">
        <v>3.6</v>
      </c>
      <c r="L1044">
        <v>5.6</v>
      </c>
      <c r="M1044">
        <v>7.8</v>
      </c>
      <c r="N1044" t="s">
        <v>4390</v>
      </c>
      <c r="O1044" t="s">
        <v>4419</v>
      </c>
      <c r="P1044" s="1">
        <v>45898</v>
      </c>
      <c r="Q1044" t="str">
        <f t="shared" si="64"/>
        <v>10+ Years</v>
      </c>
      <c r="R1044" t="str">
        <f>IF(Table7[[#This Row],[Age]]&lt;=25,"20-25",IF(Table7[[#This Row],[Age]]&lt;=30,"26-30",IF(Table7[[#This Row],[Age]]&lt;=35,"31-35","36+")))</f>
        <v>26-30</v>
      </c>
      <c r="S1044" t="str">
        <f t="shared" si="65"/>
        <v>August</v>
      </c>
      <c r="T1044" s="2" t="str">
        <f t="shared" si="66"/>
        <v>Q3</v>
      </c>
      <c r="U1044" s="2">
        <f t="shared" si="67"/>
        <v>2025</v>
      </c>
    </row>
    <row r="1045" spans="1:21" x14ac:dyDescent="0.3">
      <c r="A1045" t="s">
        <v>537</v>
      </c>
      <c r="B1045" t="s">
        <v>4664</v>
      </c>
      <c r="C1045" t="s">
        <v>6374</v>
      </c>
      <c r="D1045" t="s">
        <v>4363</v>
      </c>
      <c r="E1045">
        <v>24</v>
      </c>
      <c r="F1045" t="s">
        <v>6375</v>
      </c>
      <c r="G1045">
        <v>9645621394</v>
      </c>
      <c r="H1045" t="s">
        <v>4387</v>
      </c>
      <c r="I1045" t="s">
        <v>4388</v>
      </c>
      <c r="J1045" t="s">
        <v>4376</v>
      </c>
      <c r="K1045">
        <v>0.1</v>
      </c>
      <c r="L1045">
        <v>7.7</v>
      </c>
      <c r="M1045">
        <v>9.8000000000000007</v>
      </c>
      <c r="N1045" t="s">
        <v>4368</v>
      </c>
      <c r="O1045" t="s">
        <v>4391</v>
      </c>
      <c r="P1045" s="1">
        <v>45724</v>
      </c>
      <c r="Q1045" t="str">
        <f t="shared" si="64"/>
        <v>10+ Years</v>
      </c>
      <c r="R1045" t="str">
        <f>IF(Table7[[#This Row],[Age]]&lt;=25,"20-25",IF(Table7[[#This Row],[Age]]&lt;=30,"26-30",IF(Table7[[#This Row],[Age]]&lt;=35,"31-35","36+")))</f>
        <v>20-25</v>
      </c>
      <c r="S1045" t="str">
        <f t="shared" si="65"/>
        <v>March</v>
      </c>
      <c r="T1045" s="2" t="str">
        <f t="shared" si="66"/>
        <v>Q1</v>
      </c>
      <c r="U1045" s="2">
        <f t="shared" si="67"/>
        <v>2025</v>
      </c>
    </row>
    <row r="1046" spans="1:21" x14ac:dyDescent="0.3">
      <c r="A1046" t="s">
        <v>489</v>
      </c>
      <c r="B1046" t="s">
        <v>5408</v>
      </c>
      <c r="C1046" t="s">
        <v>4797</v>
      </c>
      <c r="D1046" t="s">
        <v>4372</v>
      </c>
      <c r="E1046">
        <v>30</v>
      </c>
      <c r="F1046" t="s">
        <v>6376</v>
      </c>
      <c r="G1046">
        <v>9219309575</v>
      </c>
      <c r="H1046" t="s">
        <v>4506</v>
      </c>
      <c r="I1046" t="s">
        <v>4507</v>
      </c>
      <c r="J1046" t="s">
        <v>4482</v>
      </c>
      <c r="K1046">
        <v>4.3</v>
      </c>
      <c r="L1046">
        <v>12.8</v>
      </c>
      <c r="M1046">
        <v>14.4</v>
      </c>
      <c r="N1046" t="s">
        <v>4377</v>
      </c>
      <c r="O1046" t="s">
        <v>4369</v>
      </c>
      <c r="P1046" s="1">
        <v>45674</v>
      </c>
      <c r="Q1046" t="str">
        <f t="shared" si="64"/>
        <v>10+ Years</v>
      </c>
      <c r="R1046" t="str">
        <f>IF(Table7[[#This Row],[Age]]&lt;=25,"20-25",IF(Table7[[#This Row],[Age]]&lt;=30,"26-30",IF(Table7[[#This Row],[Age]]&lt;=35,"31-35","36+")))</f>
        <v>26-30</v>
      </c>
      <c r="S1046" t="str">
        <f t="shared" si="65"/>
        <v>January</v>
      </c>
      <c r="T1046" s="2" t="str">
        <f t="shared" si="66"/>
        <v>Q1</v>
      </c>
      <c r="U1046" s="2">
        <f t="shared" si="67"/>
        <v>2025</v>
      </c>
    </row>
    <row r="1047" spans="1:21" x14ac:dyDescent="0.3">
      <c r="A1047" t="s">
        <v>1473</v>
      </c>
      <c r="B1047" t="s">
        <v>6377</v>
      </c>
      <c r="C1047" t="s">
        <v>4729</v>
      </c>
      <c r="D1047" t="s">
        <v>4363</v>
      </c>
      <c r="E1047">
        <v>27</v>
      </c>
      <c r="F1047" t="s">
        <v>6378</v>
      </c>
      <c r="G1047">
        <v>9309377015</v>
      </c>
      <c r="H1047" t="s">
        <v>4491</v>
      </c>
      <c r="I1047" t="s">
        <v>4491</v>
      </c>
      <c r="J1047" t="s">
        <v>4482</v>
      </c>
      <c r="K1047">
        <v>2.4</v>
      </c>
      <c r="L1047">
        <v>10.199999999999999</v>
      </c>
      <c r="M1047">
        <v>14.6</v>
      </c>
      <c r="N1047" t="s">
        <v>4377</v>
      </c>
      <c r="O1047" t="s">
        <v>4419</v>
      </c>
      <c r="P1047" s="1">
        <v>45823</v>
      </c>
      <c r="Q1047" t="str">
        <f t="shared" si="64"/>
        <v>10+ Years</v>
      </c>
      <c r="R1047" t="str">
        <f>IF(Table7[[#This Row],[Age]]&lt;=25,"20-25",IF(Table7[[#This Row],[Age]]&lt;=30,"26-30",IF(Table7[[#This Row],[Age]]&lt;=35,"31-35","36+")))</f>
        <v>26-30</v>
      </c>
      <c r="S1047" t="str">
        <f t="shared" si="65"/>
        <v>June</v>
      </c>
      <c r="T1047" s="2" t="str">
        <f t="shared" si="66"/>
        <v>Q2</v>
      </c>
      <c r="U1047" s="2">
        <f t="shared" si="67"/>
        <v>2025</v>
      </c>
    </row>
    <row r="1048" spans="1:21" x14ac:dyDescent="0.3">
      <c r="A1048" t="s">
        <v>3695</v>
      </c>
      <c r="B1048" t="s">
        <v>4731</v>
      </c>
      <c r="C1048" t="s">
        <v>4974</v>
      </c>
      <c r="D1048" t="s">
        <v>4363</v>
      </c>
      <c r="E1048">
        <v>35</v>
      </c>
      <c r="F1048" t="s">
        <v>6379</v>
      </c>
      <c r="G1048">
        <v>9665040014</v>
      </c>
      <c r="H1048" t="s">
        <v>4395</v>
      </c>
      <c r="I1048" t="s">
        <v>4396</v>
      </c>
      <c r="J1048" t="s">
        <v>4618</v>
      </c>
      <c r="K1048">
        <v>11</v>
      </c>
      <c r="L1048">
        <v>20.7</v>
      </c>
      <c r="M1048">
        <v>27.4</v>
      </c>
      <c r="N1048" t="s">
        <v>4390</v>
      </c>
      <c r="O1048" t="s">
        <v>4383</v>
      </c>
      <c r="P1048" s="1">
        <v>45791</v>
      </c>
      <c r="Q1048" t="str">
        <f t="shared" si="64"/>
        <v>10+ Years</v>
      </c>
      <c r="R1048" t="str">
        <f>IF(Table7[[#This Row],[Age]]&lt;=25,"20-25",IF(Table7[[#This Row],[Age]]&lt;=30,"26-30",IF(Table7[[#This Row],[Age]]&lt;=35,"31-35","36+")))</f>
        <v>31-35</v>
      </c>
      <c r="S1048" t="str">
        <f t="shared" si="65"/>
        <v>May</v>
      </c>
      <c r="T1048" s="2" t="str">
        <f t="shared" si="66"/>
        <v>Q2</v>
      </c>
      <c r="U1048" s="2">
        <f t="shared" si="67"/>
        <v>2025</v>
      </c>
    </row>
    <row r="1049" spans="1:21" x14ac:dyDescent="0.3">
      <c r="A1049" t="s">
        <v>441</v>
      </c>
      <c r="B1049" t="s">
        <v>4430</v>
      </c>
      <c r="C1049" t="s">
        <v>6380</v>
      </c>
      <c r="D1049" t="s">
        <v>4372</v>
      </c>
      <c r="E1049">
        <v>29</v>
      </c>
      <c r="F1049" t="s">
        <v>6381</v>
      </c>
      <c r="G1049">
        <v>9464781511</v>
      </c>
      <c r="H1049" t="s">
        <v>4404</v>
      </c>
      <c r="I1049" t="s">
        <v>4405</v>
      </c>
      <c r="J1049" t="s">
        <v>4432</v>
      </c>
      <c r="K1049">
        <v>1.9</v>
      </c>
      <c r="L1049">
        <v>5</v>
      </c>
      <c r="M1049">
        <v>5.7</v>
      </c>
      <c r="N1049" t="s">
        <v>4390</v>
      </c>
      <c r="O1049" t="s">
        <v>4369</v>
      </c>
      <c r="P1049" s="1">
        <v>45923</v>
      </c>
      <c r="Q1049" t="str">
        <f t="shared" si="64"/>
        <v>10+ Years</v>
      </c>
      <c r="R1049" t="str">
        <f>IF(Table7[[#This Row],[Age]]&lt;=25,"20-25",IF(Table7[[#This Row],[Age]]&lt;=30,"26-30",IF(Table7[[#This Row],[Age]]&lt;=35,"31-35","36+")))</f>
        <v>26-30</v>
      </c>
      <c r="S1049" t="str">
        <f t="shared" si="65"/>
        <v>September</v>
      </c>
      <c r="T1049" s="2" t="str">
        <f t="shared" si="66"/>
        <v>Q3</v>
      </c>
      <c r="U1049" s="2">
        <f t="shared" si="67"/>
        <v>2025</v>
      </c>
    </row>
    <row r="1050" spans="1:21" x14ac:dyDescent="0.3">
      <c r="A1050" t="s">
        <v>1855</v>
      </c>
      <c r="B1050" t="s">
        <v>4884</v>
      </c>
      <c r="C1050" t="s">
        <v>6382</v>
      </c>
      <c r="D1050" t="s">
        <v>4372</v>
      </c>
      <c r="E1050">
        <v>31</v>
      </c>
      <c r="F1050" t="s">
        <v>6383</v>
      </c>
      <c r="G1050">
        <v>9417878090</v>
      </c>
      <c r="H1050" t="s">
        <v>4381</v>
      </c>
      <c r="I1050" t="s">
        <v>4382</v>
      </c>
      <c r="J1050" t="s">
        <v>4367</v>
      </c>
      <c r="K1050">
        <v>11.3</v>
      </c>
      <c r="L1050">
        <v>17</v>
      </c>
      <c r="M1050">
        <v>21.7</v>
      </c>
      <c r="N1050" t="s">
        <v>4406</v>
      </c>
      <c r="O1050" t="s">
        <v>4369</v>
      </c>
      <c r="P1050" s="1">
        <v>45734</v>
      </c>
      <c r="Q1050" t="str">
        <f t="shared" si="64"/>
        <v>10+ Years</v>
      </c>
      <c r="R1050" t="str">
        <f>IF(Table7[[#This Row],[Age]]&lt;=25,"20-25",IF(Table7[[#This Row],[Age]]&lt;=30,"26-30",IF(Table7[[#This Row],[Age]]&lt;=35,"31-35","36+")))</f>
        <v>31-35</v>
      </c>
      <c r="S1050" t="str">
        <f t="shared" si="65"/>
        <v>March</v>
      </c>
      <c r="T1050" s="2" t="str">
        <f t="shared" si="66"/>
        <v>Q1</v>
      </c>
      <c r="U1050" s="2">
        <f t="shared" si="67"/>
        <v>2025</v>
      </c>
    </row>
    <row r="1051" spans="1:21" x14ac:dyDescent="0.3">
      <c r="A1051" t="s">
        <v>459</v>
      </c>
      <c r="B1051" t="s">
        <v>4934</v>
      </c>
      <c r="C1051" t="s">
        <v>4362</v>
      </c>
      <c r="D1051" t="s">
        <v>4372</v>
      </c>
      <c r="E1051">
        <v>35</v>
      </c>
      <c r="F1051" t="s">
        <v>6384</v>
      </c>
      <c r="G1051">
        <v>9956829612</v>
      </c>
      <c r="H1051" t="s">
        <v>4381</v>
      </c>
      <c r="I1051" t="s">
        <v>4382</v>
      </c>
      <c r="J1051" t="s">
        <v>4446</v>
      </c>
      <c r="K1051">
        <v>1.6</v>
      </c>
      <c r="L1051">
        <v>8</v>
      </c>
      <c r="M1051">
        <v>9.6</v>
      </c>
      <c r="O1051" t="s">
        <v>4391</v>
      </c>
      <c r="P1051" s="1">
        <v>45888</v>
      </c>
      <c r="Q1051" t="str">
        <f t="shared" si="64"/>
        <v>10+ Years</v>
      </c>
      <c r="R1051" t="str">
        <f>IF(Table7[[#This Row],[Age]]&lt;=25,"20-25",IF(Table7[[#This Row],[Age]]&lt;=30,"26-30",IF(Table7[[#This Row],[Age]]&lt;=35,"31-35","36+")))</f>
        <v>31-35</v>
      </c>
      <c r="S1051" t="str">
        <f t="shared" si="65"/>
        <v>August</v>
      </c>
      <c r="T1051" s="2" t="str">
        <f t="shared" si="66"/>
        <v>Q3</v>
      </c>
      <c r="U1051" s="2">
        <f t="shared" si="67"/>
        <v>2025</v>
      </c>
    </row>
    <row r="1052" spans="1:21" x14ac:dyDescent="0.3">
      <c r="A1052" t="s">
        <v>1890</v>
      </c>
      <c r="B1052" t="s">
        <v>5922</v>
      </c>
      <c r="C1052" t="s">
        <v>5047</v>
      </c>
      <c r="D1052" t="s">
        <v>4363</v>
      </c>
      <c r="E1052">
        <v>21</v>
      </c>
      <c r="F1052" t="s">
        <v>6385</v>
      </c>
      <c r="G1052">
        <v>9471304884</v>
      </c>
      <c r="H1052" t="s">
        <v>4395</v>
      </c>
      <c r="I1052" t="s">
        <v>4396</v>
      </c>
      <c r="J1052" t="s">
        <v>4367</v>
      </c>
      <c r="K1052">
        <v>0.8</v>
      </c>
      <c r="L1052">
        <v>7.2</v>
      </c>
      <c r="M1052">
        <v>8.3000000000000007</v>
      </c>
      <c r="N1052" t="s">
        <v>4390</v>
      </c>
      <c r="O1052" t="s">
        <v>4391</v>
      </c>
      <c r="P1052" s="1">
        <v>45697</v>
      </c>
      <c r="Q1052" t="str">
        <f t="shared" si="64"/>
        <v>10+ Years</v>
      </c>
      <c r="R1052" t="str">
        <f>IF(Table7[[#This Row],[Age]]&lt;=25,"20-25",IF(Table7[[#This Row],[Age]]&lt;=30,"26-30",IF(Table7[[#This Row],[Age]]&lt;=35,"31-35","36+")))</f>
        <v>20-25</v>
      </c>
      <c r="S1052" t="str">
        <f t="shared" si="65"/>
        <v>February</v>
      </c>
      <c r="T1052" s="2" t="str">
        <f t="shared" si="66"/>
        <v>Q1</v>
      </c>
      <c r="U1052" s="2">
        <f t="shared" si="67"/>
        <v>2025</v>
      </c>
    </row>
    <row r="1053" spans="1:21" x14ac:dyDescent="0.3">
      <c r="A1053" t="s">
        <v>6386</v>
      </c>
      <c r="B1053" t="s">
        <v>6387</v>
      </c>
      <c r="C1053" t="s">
        <v>4924</v>
      </c>
      <c r="D1053" t="s">
        <v>4363</v>
      </c>
      <c r="E1053">
        <v>22</v>
      </c>
      <c r="F1053" t="s">
        <v>6388</v>
      </c>
      <c r="G1053">
        <v>9700636488</v>
      </c>
      <c r="H1053" t="s">
        <v>4395</v>
      </c>
      <c r="I1053" t="s">
        <v>4396</v>
      </c>
      <c r="J1053" t="s">
        <v>4389</v>
      </c>
      <c r="K1053">
        <v>4.0999999999999996</v>
      </c>
      <c r="L1053">
        <v>10.4</v>
      </c>
      <c r="M1053">
        <v>12.3</v>
      </c>
      <c r="N1053" t="s">
        <v>4390</v>
      </c>
      <c r="O1053" t="s">
        <v>4391</v>
      </c>
      <c r="P1053" s="1">
        <v>45927</v>
      </c>
      <c r="Q1053" t="str">
        <f t="shared" si="64"/>
        <v>10+ Years</v>
      </c>
      <c r="R1053" t="str">
        <f>IF(Table7[[#This Row],[Age]]&lt;=25,"20-25",IF(Table7[[#This Row],[Age]]&lt;=30,"26-30",IF(Table7[[#This Row],[Age]]&lt;=35,"31-35","36+")))</f>
        <v>20-25</v>
      </c>
      <c r="S1053" t="str">
        <f t="shared" si="65"/>
        <v>September</v>
      </c>
      <c r="T1053" s="2" t="str">
        <f t="shared" si="66"/>
        <v>Q3</v>
      </c>
      <c r="U1053" s="2">
        <f t="shared" si="67"/>
        <v>2025</v>
      </c>
    </row>
    <row r="1054" spans="1:21" x14ac:dyDescent="0.3">
      <c r="A1054" t="s">
        <v>620</v>
      </c>
      <c r="B1054" t="s">
        <v>4568</v>
      </c>
      <c r="C1054" t="s">
        <v>6389</v>
      </c>
      <c r="D1054" t="s">
        <v>4363</v>
      </c>
      <c r="E1054">
        <v>29</v>
      </c>
      <c r="F1054" t="s">
        <v>6390</v>
      </c>
      <c r="G1054">
        <v>9994216865</v>
      </c>
      <c r="H1054" t="s">
        <v>4410</v>
      </c>
      <c r="I1054" t="s">
        <v>4411</v>
      </c>
      <c r="J1054" t="s">
        <v>4389</v>
      </c>
      <c r="K1054">
        <v>0.4</v>
      </c>
      <c r="L1054">
        <v>12.6</v>
      </c>
      <c r="M1054">
        <v>16.5</v>
      </c>
      <c r="N1054" t="s">
        <v>4390</v>
      </c>
      <c r="O1054" t="s">
        <v>4391</v>
      </c>
      <c r="P1054" s="1">
        <v>45723</v>
      </c>
      <c r="Q1054" t="str">
        <f t="shared" si="64"/>
        <v>10+ Years</v>
      </c>
      <c r="R1054" t="str">
        <f>IF(Table7[[#This Row],[Age]]&lt;=25,"20-25",IF(Table7[[#This Row],[Age]]&lt;=30,"26-30",IF(Table7[[#This Row],[Age]]&lt;=35,"31-35","36+")))</f>
        <v>26-30</v>
      </c>
      <c r="S1054" t="str">
        <f t="shared" si="65"/>
        <v>March</v>
      </c>
      <c r="T1054" s="2" t="str">
        <f t="shared" si="66"/>
        <v>Q1</v>
      </c>
      <c r="U1054" s="2">
        <f t="shared" si="67"/>
        <v>2025</v>
      </c>
    </row>
    <row r="1055" spans="1:21" x14ac:dyDescent="0.3">
      <c r="A1055" t="s">
        <v>1273</v>
      </c>
      <c r="B1055" t="s">
        <v>5559</v>
      </c>
      <c r="C1055" t="s">
        <v>5429</v>
      </c>
      <c r="D1055" t="s">
        <v>4363</v>
      </c>
      <c r="E1055">
        <v>33</v>
      </c>
      <c r="F1055" t="s">
        <v>6391</v>
      </c>
      <c r="G1055">
        <v>9570871261</v>
      </c>
      <c r="H1055" t="s">
        <v>4521</v>
      </c>
      <c r="I1055" t="s">
        <v>4522</v>
      </c>
      <c r="J1055" t="s">
        <v>4367</v>
      </c>
      <c r="K1055">
        <v>1.1000000000000001</v>
      </c>
      <c r="L1055">
        <v>4</v>
      </c>
      <c r="M1055">
        <v>4.5999999999999996</v>
      </c>
      <c r="N1055" t="s">
        <v>4377</v>
      </c>
      <c r="O1055" t="s">
        <v>4369</v>
      </c>
      <c r="P1055" s="1">
        <v>45943</v>
      </c>
      <c r="Q1055" t="str">
        <f t="shared" si="64"/>
        <v>10+ Years</v>
      </c>
      <c r="R1055" t="str">
        <f>IF(Table7[[#This Row],[Age]]&lt;=25,"20-25",IF(Table7[[#This Row],[Age]]&lt;=30,"26-30",IF(Table7[[#This Row],[Age]]&lt;=35,"31-35","36+")))</f>
        <v>31-35</v>
      </c>
      <c r="S1055" t="str">
        <f t="shared" si="65"/>
        <v>October</v>
      </c>
      <c r="T1055" s="2" t="str">
        <f t="shared" si="66"/>
        <v>Q4</v>
      </c>
      <c r="U1055" s="2">
        <f t="shared" si="67"/>
        <v>2025</v>
      </c>
    </row>
    <row r="1056" spans="1:21" x14ac:dyDescent="0.3">
      <c r="A1056" t="s">
        <v>3632</v>
      </c>
      <c r="B1056" t="s">
        <v>5821</v>
      </c>
      <c r="C1056" t="s">
        <v>5176</v>
      </c>
      <c r="D1056" t="s">
        <v>4372</v>
      </c>
      <c r="E1056">
        <v>23</v>
      </c>
      <c r="F1056" t="s">
        <v>6392</v>
      </c>
      <c r="G1056">
        <v>9816360030</v>
      </c>
      <c r="H1056" t="s">
        <v>4395</v>
      </c>
      <c r="I1056" t="s">
        <v>4396</v>
      </c>
      <c r="J1056" t="s">
        <v>4432</v>
      </c>
      <c r="K1056">
        <v>0.3</v>
      </c>
      <c r="L1056">
        <v>7.2</v>
      </c>
      <c r="M1056">
        <v>9.8000000000000007</v>
      </c>
      <c r="N1056" t="s">
        <v>4368</v>
      </c>
      <c r="O1056" t="s">
        <v>4400</v>
      </c>
      <c r="P1056" s="1">
        <v>45819</v>
      </c>
      <c r="Q1056" t="str">
        <f t="shared" si="64"/>
        <v>10+ Years</v>
      </c>
      <c r="R1056" t="str">
        <f>IF(Table7[[#This Row],[Age]]&lt;=25,"20-25",IF(Table7[[#This Row],[Age]]&lt;=30,"26-30",IF(Table7[[#This Row],[Age]]&lt;=35,"31-35","36+")))</f>
        <v>20-25</v>
      </c>
      <c r="S1056" t="str">
        <f t="shared" si="65"/>
        <v>June</v>
      </c>
      <c r="T1056" s="2" t="str">
        <f t="shared" si="66"/>
        <v>Q2</v>
      </c>
      <c r="U1056" s="2">
        <f t="shared" si="67"/>
        <v>2025</v>
      </c>
    </row>
    <row r="1057" spans="1:21" x14ac:dyDescent="0.3">
      <c r="A1057" t="s">
        <v>1158</v>
      </c>
      <c r="B1057" t="s">
        <v>6377</v>
      </c>
      <c r="C1057" t="s">
        <v>5440</v>
      </c>
      <c r="D1057" t="s">
        <v>4363</v>
      </c>
      <c r="E1057">
        <v>27</v>
      </c>
      <c r="F1057" t="s">
        <v>6393</v>
      </c>
      <c r="G1057">
        <v>9156082754</v>
      </c>
      <c r="H1057" t="s">
        <v>4521</v>
      </c>
      <c r="I1057" t="s">
        <v>4522</v>
      </c>
      <c r="J1057" t="s">
        <v>4376</v>
      </c>
      <c r="K1057">
        <v>3.7</v>
      </c>
      <c r="M1057">
        <v>11.5</v>
      </c>
      <c r="N1057" t="s">
        <v>4390</v>
      </c>
      <c r="O1057" t="s">
        <v>4391</v>
      </c>
      <c r="P1057" s="1">
        <v>45816</v>
      </c>
      <c r="Q1057" t="str">
        <f t="shared" si="64"/>
        <v>10+ Years</v>
      </c>
      <c r="R1057" t="str">
        <f>IF(Table7[[#This Row],[Age]]&lt;=25,"20-25",IF(Table7[[#This Row],[Age]]&lt;=30,"26-30",IF(Table7[[#This Row],[Age]]&lt;=35,"31-35","36+")))</f>
        <v>26-30</v>
      </c>
      <c r="S1057" t="str">
        <f t="shared" si="65"/>
        <v>June</v>
      </c>
      <c r="T1057" s="2" t="str">
        <f t="shared" si="66"/>
        <v>Q2</v>
      </c>
      <c r="U1057" s="2">
        <f t="shared" si="67"/>
        <v>2025</v>
      </c>
    </row>
    <row r="1058" spans="1:21" x14ac:dyDescent="0.3">
      <c r="A1058" t="s">
        <v>2748</v>
      </c>
      <c r="B1058" t="s">
        <v>4534</v>
      </c>
      <c r="C1058" t="s">
        <v>5017</v>
      </c>
      <c r="D1058" t="s">
        <v>4363</v>
      </c>
      <c r="E1058">
        <v>21</v>
      </c>
      <c r="F1058" t="s">
        <v>6394</v>
      </c>
      <c r="G1058">
        <v>9799985309</v>
      </c>
      <c r="H1058" t="s">
        <v>4387</v>
      </c>
      <c r="I1058" t="s">
        <v>4388</v>
      </c>
      <c r="J1058" t="s">
        <v>4450</v>
      </c>
      <c r="K1058">
        <v>4.0999999999999996</v>
      </c>
      <c r="L1058">
        <v>8.4</v>
      </c>
      <c r="M1058">
        <v>11.3</v>
      </c>
      <c r="N1058" t="s">
        <v>4368</v>
      </c>
      <c r="O1058" t="s">
        <v>4419</v>
      </c>
      <c r="P1058" s="1">
        <v>45959</v>
      </c>
      <c r="Q1058" t="str">
        <f t="shared" si="64"/>
        <v>10+ Years</v>
      </c>
      <c r="R1058" t="str">
        <f>IF(Table7[[#This Row],[Age]]&lt;=25,"20-25",IF(Table7[[#This Row],[Age]]&lt;=30,"26-30",IF(Table7[[#This Row],[Age]]&lt;=35,"31-35","36+")))</f>
        <v>20-25</v>
      </c>
      <c r="S1058" t="str">
        <f t="shared" si="65"/>
        <v>October</v>
      </c>
      <c r="T1058" s="2" t="str">
        <f t="shared" si="66"/>
        <v>Q4</v>
      </c>
      <c r="U1058" s="2">
        <f t="shared" si="67"/>
        <v>2025</v>
      </c>
    </row>
    <row r="1059" spans="1:21" x14ac:dyDescent="0.3">
      <c r="A1059" t="s">
        <v>2123</v>
      </c>
      <c r="B1059" t="s">
        <v>4429</v>
      </c>
      <c r="C1059" t="s">
        <v>6268</v>
      </c>
      <c r="D1059" t="s">
        <v>4372</v>
      </c>
      <c r="E1059">
        <v>33</v>
      </c>
      <c r="F1059" t="s">
        <v>6395</v>
      </c>
      <c r="G1059">
        <v>9409592383</v>
      </c>
      <c r="H1059" t="s">
        <v>4521</v>
      </c>
      <c r="I1059" t="s">
        <v>4522</v>
      </c>
      <c r="J1059" t="s">
        <v>4482</v>
      </c>
      <c r="K1059">
        <v>1.4</v>
      </c>
      <c r="L1059">
        <v>9.6999999999999993</v>
      </c>
      <c r="M1059">
        <v>13.2</v>
      </c>
      <c r="N1059" t="s">
        <v>4390</v>
      </c>
      <c r="O1059" t="s">
        <v>4400</v>
      </c>
      <c r="P1059" s="1">
        <v>45712</v>
      </c>
      <c r="Q1059" t="str">
        <f t="shared" si="64"/>
        <v>10+ Years</v>
      </c>
      <c r="R1059" t="str">
        <f>IF(Table7[[#This Row],[Age]]&lt;=25,"20-25",IF(Table7[[#This Row],[Age]]&lt;=30,"26-30",IF(Table7[[#This Row],[Age]]&lt;=35,"31-35","36+")))</f>
        <v>31-35</v>
      </c>
      <c r="S1059" t="str">
        <f t="shared" si="65"/>
        <v>February</v>
      </c>
      <c r="T1059" s="2" t="str">
        <f t="shared" si="66"/>
        <v>Q1</v>
      </c>
      <c r="U1059" s="2">
        <f t="shared" si="67"/>
        <v>2025</v>
      </c>
    </row>
    <row r="1060" spans="1:21" x14ac:dyDescent="0.3">
      <c r="A1060" t="s">
        <v>2083</v>
      </c>
      <c r="B1060" t="s">
        <v>6396</v>
      </c>
      <c r="C1060" t="s">
        <v>5880</v>
      </c>
      <c r="D1060" t="s">
        <v>4372</v>
      </c>
      <c r="E1060">
        <v>27</v>
      </c>
      <c r="F1060" t="s">
        <v>6397</v>
      </c>
      <c r="G1060">
        <v>9714738528</v>
      </c>
      <c r="H1060" t="s">
        <v>4521</v>
      </c>
      <c r="I1060" t="s">
        <v>4522</v>
      </c>
      <c r="J1060" t="s">
        <v>4618</v>
      </c>
      <c r="K1060">
        <v>2.1</v>
      </c>
      <c r="L1060">
        <v>8.6</v>
      </c>
      <c r="M1060">
        <v>10.6</v>
      </c>
      <c r="N1060" t="s">
        <v>4406</v>
      </c>
      <c r="O1060" t="s">
        <v>4400</v>
      </c>
      <c r="P1060" s="1">
        <v>46008</v>
      </c>
      <c r="Q1060" t="str">
        <f t="shared" si="64"/>
        <v>10+ Years</v>
      </c>
      <c r="R1060" t="str">
        <f>IF(Table7[[#This Row],[Age]]&lt;=25,"20-25",IF(Table7[[#This Row],[Age]]&lt;=30,"26-30",IF(Table7[[#This Row],[Age]]&lt;=35,"31-35","36+")))</f>
        <v>26-30</v>
      </c>
      <c r="S1060" t="str">
        <f t="shared" si="65"/>
        <v>December</v>
      </c>
      <c r="T1060" s="2" t="str">
        <f t="shared" si="66"/>
        <v>Q4</v>
      </c>
      <c r="U1060" s="2">
        <f t="shared" si="67"/>
        <v>2025</v>
      </c>
    </row>
    <row r="1061" spans="1:21" x14ac:dyDescent="0.3">
      <c r="A1061" t="s">
        <v>3378</v>
      </c>
      <c r="B1061" t="s">
        <v>6398</v>
      </c>
      <c r="C1061" t="s">
        <v>6399</v>
      </c>
      <c r="D1061" t="s">
        <v>4363</v>
      </c>
      <c r="E1061">
        <v>40</v>
      </c>
      <c r="F1061" t="s">
        <v>6400</v>
      </c>
      <c r="G1061">
        <v>9403479271</v>
      </c>
      <c r="H1061" t="s">
        <v>4454</v>
      </c>
      <c r="I1061" t="s">
        <v>4455</v>
      </c>
      <c r="J1061" t="s">
        <v>4450</v>
      </c>
      <c r="K1061">
        <v>0.5</v>
      </c>
      <c r="L1061">
        <v>2.5</v>
      </c>
      <c r="M1061">
        <v>3.3</v>
      </c>
      <c r="N1061" t="s">
        <v>4390</v>
      </c>
      <c r="O1061" t="s">
        <v>4369</v>
      </c>
      <c r="P1061" s="1">
        <v>45781</v>
      </c>
      <c r="Q1061" t="str">
        <f t="shared" si="64"/>
        <v>10+ Years</v>
      </c>
      <c r="R1061" t="str">
        <f>IF(Table7[[#This Row],[Age]]&lt;=25,"20-25",IF(Table7[[#This Row],[Age]]&lt;=30,"26-30",IF(Table7[[#This Row],[Age]]&lt;=35,"31-35","36+")))</f>
        <v>36+</v>
      </c>
      <c r="S1061" t="str">
        <f t="shared" si="65"/>
        <v>May</v>
      </c>
      <c r="T1061" s="2" t="str">
        <f t="shared" si="66"/>
        <v>Q2</v>
      </c>
      <c r="U1061" s="2">
        <f t="shared" si="67"/>
        <v>2025</v>
      </c>
    </row>
    <row r="1062" spans="1:21" x14ac:dyDescent="0.3">
      <c r="A1062" t="s">
        <v>3856</v>
      </c>
      <c r="B1062" t="s">
        <v>6401</v>
      </c>
      <c r="C1062" t="s">
        <v>6402</v>
      </c>
      <c r="D1062" t="s">
        <v>4372</v>
      </c>
      <c r="E1062">
        <v>25</v>
      </c>
      <c r="F1062" t="s">
        <v>6403</v>
      </c>
      <c r="G1062">
        <v>9117646498</v>
      </c>
      <c r="H1062" t="s">
        <v>4387</v>
      </c>
      <c r="I1062" t="s">
        <v>4388</v>
      </c>
      <c r="J1062" t="s">
        <v>4446</v>
      </c>
      <c r="K1062">
        <v>0.6</v>
      </c>
      <c r="L1062">
        <v>6.2</v>
      </c>
      <c r="M1062">
        <v>8</v>
      </c>
      <c r="N1062" t="s">
        <v>4368</v>
      </c>
      <c r="O1062" t="s">
        <v>4391</v>
      </c>
      <c r="P1062" s="1">
        <v>45913</v>
      </c>
      <c r="Q1062" t="str">
        <f t="shared" si="64"/>
        <v>10+ Years</v>
      </c>
      <c r="R1062" t="str">
        <f>IF(Table7[[#This Row],[Age]]&lt;=25,"20-25",IF(Table7[[#This Row],[Age]]&lt;=30,"26-30",IF(Table7[[#This Row],[Age]]&lt;=35,"31-35","36+")))</f>
        <v>20-25</v>
      </c>
      <c r="S1062" t="str">
        <f t="shared" si="65"/>
        <v>September</v>
      </c>
      <c r="T1062" s="2" t="str">
        <f t="shared" si="66"/>
        <v>Q3</v>
      </c>
      <c r="U1062" s="2">
        <f t="shared" si="67"/>
        <v>2025</v>
      </c>
    </row>
    <row r="1063" spans="1:21" x14ac:dyDescent="0.3">
      <c r="A1063" t="s">
        <v>301</v>
      </c>
      <c r="B1063" t="s">
        <v>4784</v>
      </c>
      <c r="C1063" t="s">
        <v>5154</v>
      </c>
      <c r="D1063" t="s">
        <v>4372</v>
      </c>
      <c r="E1063">
        <v>28</v>
      </c>
      <c r="F1063" t="s">
        <v>6404</v>
      </c>
      <c r="G1063">
        <v>9332917743</v>
      </c>
      <c r="H1063" t="s">
        <v>4374</v>
      </c>
      <c r="I1063" t="s">
        <v>4375</v>
      </c>
      <c r="J1063" t="s">
        <v>4608</v>
      </c>
      <c r="K1063">
        <v>1.4</v>
      </c>
      <c r="M1063">
        <v>10.5</v>
      </c>
      <c r="N1063" t="s">
        <v>4377</v>
      </c>
      <c r="O1063" t="s">
        <v>4383</v>
      </c>
      <c r="P1063" s="1">
        <v>45737</v>
      </c>
      <c r="Q1063" t="str">
        <f t="shared" si="64"/>
        <v>10+ Years</v>
      </c>
      <c r="R1063" t="str">
        <f>IF(Table7[[#This Row],[Age]]&lt;=25,"20-25",IF(Table7[[#This Row],[Age]]&lt;=30,"26-30",IF(Table7[[#This Row],[Age]]&lt;=35,"31-35","36+")))</f>
        <v>26-30</v>
      </c>
      <c r="S1063" t="str">
        <f t="shared" si="65"/>
        <v>March</v>
      </c>
      <c r="T1063" s="2" t="str">
        <f t="shared" si="66"/>
        <v>Q1</v>
      </c>
      <c r="U1063" s="2">
        <f t="shared" si="67"/>
        <v>2025</v>
      </c>
    </row>
    <row r="1064" spans="1:21" x14ac:dyDescent="0.3">
      <c r="A1064" t="s">
        <v>6405</v>
      </c>
      <c r="B1064" t="s">
        <v>4648</v>
      </c>
      <c r="C1064" t="s">
        <v>6406</v>
      </c>
      <c r="D1064" t="s">
        <v>4363</v>
      </c>
      <c r="E1064">
        <v>33</v>
      </c>
      <c r="F1064" t="s">
        <v>6407</v>
      </c>
      <c r="G1064">
        <v>9454622241</v>
      </c>
      <c r="H1064" t="s">
        <v>4387</v>
      </c>
      <c r="I1064" t="s">
        <v>4388</v>
      </c>
      <c r="K1064">
        <v>1.5</v>
      </c>
      <c r="L1064">
        <v>4.9000000000000004</v>
      </c>
      <c r="M1064">
        <v>5.7</v>
      </c>
      <c r="N1064" t="s">
        <v>4406</v>
      </c>
      <c r="O1064" t="s">
        <v>4400</v>
      </c>
      <c r="P1064" s="1">
        <v>45962</v>
      </c>
      <c r="Q1064" t="str">
        <f t="shared" si="64"/>
        <v>10+ Years</v>
      </c>
      <c r="R1064" t="str">
        <f>IF(Table7[[#This Row],[Age]]&lt;=25,"20-25",IF(Table7[[#This Row],[Age]]&lt;=30,"26-30",IF(Table7[[#This Row],[Age]]&lt;=35,"31-35","36+")))</f>
        <v>31-35</v>
      </c>
      <c r="S1064" t="str">
        <f t="shared" si="65"/>
        <v>November</v>
      </c>
      <c r="T1064" s="2" t="str">
        <f t="shared" si="66"/>
        <v>Q4</v>
      </c>
      <c r="U1064" s="2">
        <f t="shared" si="67"/>
        <v>2025</v>
      </c>
    </row>
    <row r="1065" spans="1:21" x14ac:dyDescent="0.3">
      <c r="A1065" t="s">
        <v>363</v>
      </c>
      <c r="B1065" t="s">
        <v>6408</v>
      </c>
      <c r="C1065" t="s">
        <v>4594</v>
      </c>
      <c r="D1065" t="s">
        <v>4372</v>
      </c>
      <c r="E1065">
        <v>23</v>
      </c>
      <c r="F1065" t="s">
        <v>6409</v>
      </c>
      <c r="G1065">
        <v>9354207463</v>
      </c>
      <c r="H1065" t="s">
        <v>4395</v>
      </c>
      <c r="I1065" t="s">
        <v>4396</v>
      </c>
      <c r="J1065" t="s">
        <v>4376</v>
      </c>
      <c r="K1065">
        <v>0.3</v>
      </c>
      <c r="L1065">
        <v>5.3</v>
      </c>
      <c r="M1065">
        <v>6.1</v>
      </c>
      <c r="N1065" t="s">
        <v>4390</v>
      </c>
      <c r="O1065" t="s">
        <v>4391</v>
      </c>
      <c r="P1065" s="1">
        <v>45719</v>
      </c>
      <c r="Q1065" t="str">
        <f t="shared" si="64"/>
        <v>10+ Years</v>
      </c>
      <c r="R1065" t="str">
        <f>IF(Table7[[#This Row],[Age]]&lt;=25,"20-25",IF(Table7[[#This Row],[Age]]&lt;=30,"26-30",IF(Table7[[#This Row],[Age]]&lt;=35,"31-35","36+")))</f>
        <v>20-25</v>
      </c>
      <c r="S1065" t="str">
        <f t="shared" si="65"/>
        <v>March</v>
      </c>
      <c r="T1065" s="2" t="str">
        <f t="shared" si="66"/>
        <v>Q1</v>
      </c>
      <c r="U1065" s="2">
        <f t="shared" si="67"/>
        <v>2025</v>
      </c>
    </row>
    <row r="1066" spans="1:21" x14ac:dyDescent="0.3">
      <c r="A1066" t="s">
        <v>2024</v>
      </c>
      <c r="B1066" t="s">
        <v>5509</v>
      </c>
      <c r="C1066" t="s">
        <v>6410</v>
      </c>
      <c r="D1066" t="s">
        <v>4363</v>
      </c>
      <c r="E1066">
        <v>25</v>
      </c>
      <c r="F1066" t="s">
        <v>6411</v>
      </c>
      <c r="G1066">
        <v>9235910823</v>
      </c>
      <c r="H1066" t="s">
        <v>4387</v>
      </c>
      <c r="I1066" t="s">
        <v>4388</v>
      </c>
      <c r="J1066" t="s">
        <v>4446</v>
      </c>
      <c r="K1066">
        <v>4.8</v>
      </c>
      <c r="L1066">
        <v>13.5</v>
      </c>
      <c r="M1066">
        <v>18.3</v>
      </c>
      <c r="N1066" t="s">
        <v>4390</v>
      </c>
      <c r="O1066" t="s">
        <v>4391</v>
      </c>
      <c r="P1066" s="1">
        <v>45732</v>
      </c>
      <c r="Q1066" t="str">
        <f t="shared" si="64"/>
        <v>10+ Years</v>
      </c>
      <c r="R1066" t="str">
        <f>IF(Table7[[#This Row],[Age]]&lt;=25,"20-25",IF(Table7[[#This Row],[Age]]&lt;=30,"26-30",IF(Table7[[#This Row],[Age]]&lt;=35,"31-35","36+")))</f>
        <v>20-25</v>
      </c>
      <c r="S1066" t="str">
        <f t="shared" si="65"/>
        <v>March</v>
      </c>
      <c r="T1066" s="2" t="str">
        <f t="shared" si="66"/>
        <v>Q1</v>
      </c>
      <c r="U1066" s="2">
        <f t="shared" si="67"/>
        <v>2025</v>
      </c>
    </row>
    <row r="1067" spans="1:21" x14ac:dyDescent="0.3">
      <c r="A1067" t="s">
        <v>1847</v>
      </c>
      <c r="B1067" t="s">
        <v>5476</v>
      </c>
      <c r="C1067" t="s">
        <v>4603</v>
      </c>
      <c r="D1067" t="s">
        <v>4363</v>
      </c>
      <c r="E1067">
        <v>31</v>
      </c>
      <c r="F1067" t="s">
        <v>6412</v>
      </c>
      <c r="G1067">
        <v>9821999556</v>
      </c>
      <c r="H1067" t="s">
        <v>4491</v>
      </c>
      <c r="I1067" t="s">
        <v>4491</v>
      </c>
      <c r="J1067" t="s">
        <v>4432</v>
      </c>
      <c r="K1067">
        <v>6.9</v>
      </c>
      <c r="L1067">
        <v>12.6</v>
      </c>
      <c r="M1067">
        <v>16.100000000000001</v>
      </c>
      <c r="N1067" t="s">
        <v>4368</v>
      </c>
      <c r="O1067" t="s">
        <v>4485</v>
      </c>
      <c r="P1067" s="1">
        <v>45980</v>
      </c>
      <c r="Q1067" t="str">
        <f t="shared" si="64"/>
        <v>10+ Years</v>
      </c>
      <c r="R1067" t="str">
        <f>IF(Table7[[#This Row],[Age]]&lt;=25,"20-25",IF(Table7[[#This Row],[Age]]&lt;=30,"26-30",IF(Table7[[#This Row],[Age]]&lt;=35,"31-35","36+")))</f>
        <v>31-35</v>
      </c>
      <c r="S1067" t="str">
        <f t="shared" si="65"/>
        <v>November</v>
      </c>
      <c r="T1067" s="2" t="str">
        <f t="shared" si="66"/>
        <v>Q4</v>
      </c>
      <c r="U1067" s="2">
        <f t="shared" si="67"/>
        <v>2025</v>
      </c>
    </row>
    <row r="1068" spans="1:21" x14ac:dyDescent="0.3">
      <c r="A1068" t="s">
        <v>289</v>
      </c>
      <c r="B1068" t="s">
        <v>4407</v>
      </c>
      <c r="C1068" t="s">
        <v>6413</v>
      </c>
      <c r="D1068" t="s">
        <v>4363</v>
      </c>
      <c r="E1068">
        <v>21</v>
      </c>
      <c r="F1068" t="s">
        <v>6414</v>
      </c>
      <c r="G1068">
        <v>9285030578</v>
      </c>
      <c r="H1068" t="s">
        <v>4410</v>
      </c>
      <c r="I1068" t="s">
        <v>4411</v>
      </c>
      <c r="J1068" t="s">
        <v>4482</v>
      </c>
      <c r="K1068">
        <v>5.0999999999999996</v>
      </c>
      <c r="L1068">
        <v>14.5</v>
      </c>
      <c r="M1068">
        <v>19.2</v>
      </c>
      <c r="N1068" t="s">
        <v>4494</v>
      </c>
      <c r="O1068" t="s">
        <v>4369</v>
      </c>
      <c r="P1068" s="1">
        <v>45963</v>
      </c>
      <c r="Q1068" t="str">
        <f t="shared" si="64"/>
        <v>10+ Years</v>
      </c>
      <c r="R1068" t="str">
        <f>IF(Table7[[#This Row],[Age]]&lt;=25,"20-25",IF(Table7[[#This Row],[Age]]&lt;=30,"26-30",IF(Table7[[#This Row],[Age]]&lt;=35,"31-35","36+")))</f>
        <v>20-25</v>
      </c>
      <c r="S1068" t="str">
        <f t="shared" si="65"/>
        <v>November</v>
      </c>
      <c r="T1068" s="2" t="str">
        <f t="shared" si="66"/>
        <v>Q4</v>
      </c>
      <c r="U1068" s="2">
        <f t="shared" si="67"/>
        <v>2025</v>
      </c>
    </row>
    <row r="1069" spans="1:21" x14ac:dyDescent="0.3">
      <c r="A1069" t="s">
        <v>6415</v>
      </c>
      <c r="B1069" t="s">
        <v>4392</v>
      </c>
      <c r="C1069" t="s">
        <v>4616</v>
      </c>
      <c r="D1069" t="s">
        <v>4372</v>
      </c>
      <c r="E1069">
        <v>26</v>
      </c>
      <c r="F1069" t="s">
        <v>6416</v>
      </c>
      <c r="G1069">
        <v>9692320592</v>
      </c>
      <c r="H1069" t="s">
        <v>4374</v>
      </c>
      <c r="I1069" t="s">
        <v>4375</v>
      </c>
      <c r="J1069" t="s">
        <v>4432</v>
      </c>
      <c r="K1069">
        <v>7.5</v>
      </c>
      <c r="L1069">
        <v>16.899999999999999</v>
      </c>
      <c r="M1069">
        <v>20.100000000000001</v>
      </c>
      <c r="N1069" t="s">
        <v>4377</v>
      </c>
      <c r="O1069" t="s">
        <v>4391</v>
      </c>
      <c r="P1069" s="1">
        <v>45858</v>
      </c>
      <c r="Q1069" t="str">
        <f t="shared" si="64"/>
        <v>10+ Years</v>
      </c>
      <c r="R1069" t="str">
        <f>IF(Table7[[#This Row],[Age]]&lt;=25,"20-25",IF(Table7[[#This Row],[Age]]&lt;=30,"26-30",IF(Table7[[#This Row],[Age]]&lt;=35,"31-35","36+")))</f>
        <v>26-30</v>
      </c>
      <c r="S1069" t="str">
        <f t="shared" si="65"/>
        <v>July</v>
      </c>
      <c r="T1069" s="2" t="str">
        <f t="shared" si="66"/>
        <v>Q3</v>
      </c>
      <c r="U1069" s="2">
        <f t="shared" si="67"/>
        <v>2025</v>
      </c>
    </row>
    <row r="1070" spans="1:21" x14ac:dyDescent="0.3">
      <c r="A1070" t="s">
        <v>82</v>
      </c>
      <c r="B1070" t="s">
        <v>4416</v>
      </c>
      <c r="C1070" t="s">
        <v>6417</v>
      </c>
      <c r="D1070" t="s">
        <v>4372</v>
      </c>
      <c r="E1070">
        <v>26</v>
      </c>
      <c r="F1070" t="s">
        <v>6418</v>
      </c>
      <c r="G1070">
        <v>9261474025</v>
      </c>
      <c r="H1070" t="s">
        <v>4365</v>
      </c>
      <c r="I1070" t="s">
        <v>4366</v>
      </c>
      <c r="J1070" t="s">
        <v>4376</v>
      </c>
      <c r="K1070">
        <v>6.5</v>
      </c>
      <c r="L1070">
        <v>9.8000000000000007</v>
      </c>
      <c r="M1070">
        <v>13.3</v>
      </c>
      <c r="N1070" t="s">
        <v>4390</v>
      </c>
      <c r="O1070" t="s">
        <v>4369</v>
      </c>
      <c r="P1070" s="1">
        <v>45918</v>
      </c>
      <c r="Q1070" t="str">
        <f t="shared" si="64"/>
        <v>10+ Years</v>
      </c>
      <c r="R1070" t="str">
        <f>IF(Table7[[#This Row],[Age]]&lt;=25,"20-25",IF(Table7[[#This Row],[Age]]&lt;=30,"26-30",IF(Table7[[#This Row],[Age]]&lt;=35,"31-35","36+")))</f>
        <v>26-30</v>
      </c>
      <c r="S1070" t="str">
        <f t="shared" si="65"/>
        <v>September</v>
      </c>
      <c r="T1070" s="2" t="str">
        <f t="shared" si="66"/>
        <v>Q3</v>
      </c>
      <c r="U1070" s="2">
        <f t="shared" si="67"/>
        <v>2025</v>
      </c>
    </row>
    <row r="1071" spans="1:21" x14ac:dyDescent="0.3">
      <c r="A1071" t="s">
        <v>139</v>
      </c>
      <c r="B1071" t="s">
        <v>5491</v>
      </c>
      <c r="C1071" t="s">
        <v>4742</v>
      </c>
      <c r="D1071" t="s">
        <v>4363</v>
      </c>
      <c r="E1071">
        <v>36</v>
      </c>
      <c r="F1071" t="s">
        <v>6419</v>
      </c>
      <c r="G1071">
        <v>9107446854</v>
      </c>
      <c r="H1071" t="s">
        <v>4374</v>
      </c>
      <c r="I1071" t="s">
        <v>4375</v>
      </c>
      <c r="J1071" t="s">
        <v>4367</v>
      </c>
      <c r="K1071">
        <v>4.8</v>
      </c>
      <c r="L1071">
        <v>15.5</v>
      </c>
      <c r="M1071">
        <v>17.600000000000001</v>
      </c>
      <c r="N1071" t="s">
        <v>4390</v>
      </c>
      <c r="O1071" t="s">
        <v>4400</v>
      </c>
      <c r="P1071" s="1">
        <v>45868</v>
      </c>
      <c r="Q1071" t="str">
        <f t="shared" si="64"/>
        <v>10+ Years</v>
      </c>
      <c r="R1071" t="str">
        <f>IF(Table7[[#This Row],[Age]]&lt;=25,"20-25",IF(Table7[[#This Row],[Age]]&lt;=30,"26-30",IF(Table7[[#This Row],[Age]]&lt;=35,"31-35","36+")))</f>
        <v>36+</v>
      </c>
      <c r="S1071" t="str">
        <f t="shared" si="65"/>
        <v>July</v>
      </c>
      <c r="T1071" s="2" t="str">
        <f t="shared" si="66"/>
        <v>Q3</v>
      </c>
      <c r="U1071" s="2">
        <f t="shared" si="67"/>
        <v>2025</v>
      </c>
    </row>
    <row r="1072" spans="1:21" x14ac:dyDescent="0.3">
      <c r="A1072" t="s">
        <v>3524</v>
      </c>
      <c r="B1072" t="s">
        <v>4565</v>
      </c>
      <c r="C1072" t="s">
        <v>5082</v>
      </c>
      <c r="D1072" t="s">
        <v>4372</v>
      </c>
      <c r="E1072">
        <v>31</v>
      </c>
      <c r="F1072" t="s">
        <v>6420</v>
      </c>
      <c r="G1072">
        <v>9330965868</v>
      </c>
      <c r="H1072" t="s">
        <v>4491</v>
      </c>
      <c r="I1072" t="s">
        <v>4491</v>
      </c>
      <c r="J1072" t="s">
        <v>4618</v>
      </c>
      <c r="K1072">
        <v>4.5</v>
      </c>
      <c r="L1072">
        <v>11.1</v>
      </c>
      <c r="M1072">
        <v>14.1</v>
      </c>
      <c r="N1072" t="s">
        <v>4368</v>
      </c>
      <c r="O1072" t="s">
        <v>4391</v>
      </c>
      <c r="P1072" s="1">
        <v>45932</v>
      </c>
      <c r="Q1072" t="str">
        <f t="shared" si="64"/>
        <v>10+ Years</v>
      </c>
      <c r="R1072" t="str">
        <f>IF(Table7[[#This Row],[Age]]&lt;=25,"20-25",IF(Table7[[#This Row],[Age]]&lt;=30,"26-30",IF(Table7[[#This Row],[Age]]&lt;=35,"31-35","36+")))</f>
        <v>31-35</v>
      </c>
      <c r="S1072" t="str">
        <f t="shared" si="65"/>
        <v>October</v>
      </c>
      <c r="T1072" s="2" t="str">
        <f t="shared" si="66"/>
        <v>Q4</v>
      </c>
      <c r="U1072" s="2">
        <f t="shared" si="67"/>
        <v>2025</v>
      </c>
    </row>
    <row r="1073" spans="1:21" x14ac:dyDescent="0.3">
      <c r="A1073" t="s">
        <v>1769</v>
      </c>
      <c r="B1073" t="s">
        <v>4451</v>
      </c>
      <c r="C1073" t="s">
        <v>4558</v>
      </c>
      <c r="D1073" t="s">
        <v>4363</v>
      </c>
      <c r="E1073">
        <v>36</v>
      </c>
      <c r="F1073" t="s">
        <v>6421</v>
      </c>
      <c r="G1073">
        <v>9271387060</v>
      </c>
      <c r="H1073" t="s">
        <v>4473</v>
      </c>
      <c r="I1073" t="s">
        <v>4473</v>
      </c>
      <c r="J1073" t="s">
        <v>4376</v>
      </c>
      <c r="K1073">
        <v>3.1</v>
      </c>
      <c r="L1073">
        <v>7.3</v>
      </c>
      <c r="M1073">
        <v>10.5</v>
      </c>
      <c r="N1073" t="s">
        <v>4390</v>
      </c>
      <c r="O1073" t="s">
        <v>4485</v>
      </c>
      <c r="P1073" s="1">
        <v>45821</v>
      </c>
      <c r="Q1073" t="str">
        <f t="shared" si="64"/>
        <v>10+ Years</v>
      </c>
      <c r="R1073" t="str">
        <f>IF(Table7[[#This Row],[Age]]&lt;=25,"20-25",IF(Table7[[#This Row],[Age]]&lt;=30,"26-30",IF(Table7[[#This Row],[Age]]&lt;=35,"31-35","36+")))</f>
        <v>36+</v>
      </c>
      <c r="S1073" t="str">
        <f t="shared" si="65"/>
        <v>June</v>
      </c>
      <c r="T1073" s="2" t="str">
        <f t="shared" si="66"/>
        <v>Q2</v>
      </c>
      <c r="U1073" s="2">
        <f t="shared" si="67"/>
        <v>2025</v>
      </c>
    </row>
    <row r="1074" spans="1:21" x14ac:dyDescent="0.3">
      <c r="A1074" t="s">
        <v>6422</v>
      </c>
      <c r="B1074" t="s">
        <v>5322</v>
      </c>
      <c r="C1074" t="s">
        <v>5557</v>
      </c>
      <c r="D1074" t="s">
        <v>4363</v>
      </c>
      <c r="E1074">
        <v>25</v>
      </c>
      <c r="F1074" t="s">
        <v>6423</v>
      </c>
      <c r="G1074">
        <v>9965878395</v>
      </c>
      <c r="H1074" t="s">
        <v>4521</v>
      </c>
      <c r="I1074" t="s">
        <v>4522</v>
      </c>
      <c r="J1074" t="s">
        <v>4482</v>
      </c>
      <c r="K1074">
        <v>0.8</v>
      </c>
      <c r="L1074">
        <v>10.8</v>
      </c>
      <c r="M1074">
        <v>13.3</v>
      </c>
      <c r="N1074" t="s">
        <v>4390</v>
      </c>
      <c r="O1074" t="s">
        <v>4456</v>
      </c>
      <c r="P1074" s="1">
        <v>45858</v>
      </c>
      <c r="Q1074" t="str">
        <f t="shared" si="64"/>
        <v>10+ Years</v>
      </c>
      <c r="R1074" t="str">
        <f>IF(Table7[[#This Row],[Age]]&lt;=25,"20-25",IF(Table7[[#This Row],[Age]]&lt;=30,"26-30",IF(Table7[[#This Row],[Age]]&lt;=35,"31-35","36+")))</f>
        <v>20-25</v>
      </c>
      <c r="S1074" t="str">
        <f t="shared" si="65"/>
        <v>July</v>
      </c>
      <c r="T1074" s="2" t="str">
        <f t="shared" si="66"/>
        <v>Q3</v>
      </c>
      <c r="U1074" s="2">
        <f t="shared" si="67"/>
        <v>2025</v>
      </c>
    </row>
    <row r="1075" spans="1:21" x14ac:dyDescent="0.3">
      <c r="A1075" t="s">
        <v>2836</v>
      </c>
      <c r="B1075" t="s">
        <v>4763</v>
      </c>
      <c r="C1075" t="s">
        <v>4908</v>
      </c>
      <c r="D1075" t="s">
        <v>4363</v>
      </c>
      <c r="E1075">
        <v>25</v>
      </c>
      <c r="F1075" t="s">
        <v>6424</v>
      </c>
      <c r="G1075">
        <v>9486611759</v>
      </c>
      <c r="H1075" t="s">
        <v>4395</v>
      </c>
      <c r="I1075" t="s">
        <v>4396</v>
      </c>
      <c r="J1075" t="s">
        <v>4450</v>
      </c>
      <c r="K1075">
        <v>1.4</v>
      </c>
      <c r="L1075">
        <v>7.5</v>
      </c>
      <c r="M1075">
        <v>8.6999999999999993</v>
      </c>
      <c r="N1075" t="s">
        <v>4406</v>
      </c>
      <c r="O1075" t="s">
        <v>4391</v>
      </c>
      <c r="P1075" s="1">
        <v>45748</v>
      </c>
      <c r="Q1075" t="str">
        <f t="shared" si="64"/>
        <v>10+ Years</v>
      </c>
      <c r="R1075" t="str">
        <f>IF(Table7[[#This Row],[Age]]&lt;=25,"20-25",IF(Table7[[#This Row],[Age]]&lt;=30,"26-30",IF(Table7[[#This Row],[Age]]&lt;=35,"31-35","36+")))</f>
        <v>20-25</v>
      </c>
      <c r="S1075" t="str">
        <f t="shared" si="65"/>
        <v>April</v>
      </c>
      <c r="T1075" s="2" t="str">
        <f t="shared" si="66"/>
        <v>Q2</v>
      </c>
      <c r="U1075" s="2">
        <f t="shared" si="67"/>
        <v>2025</v>
      </c>
    </row>
    <row r="1076" spans="1:21" x14ac:dyDescent="0.3">
      <c r="A1076" t="s">
        <v>1508</v>
      </c>
      <c r="B1076" t="s">
        <v>5730</v>
      </c>
      <c r="C1076" t="s">
        <v>4797</v>
      </c>
      <c r="D1076" t="s">
        <v>4363</v>
      </c>
      <c r="E1076">
        <v>28</v>
      </c>
      <c r="F1076" t="s">
        <v>6425</v>
      </c>
      <c r="G1076">
        <v>9241536545</v>
      </c>
      <c r="H1076" t="s">
        <v>4404</v>
      </c>
      <c r="I1076" t="s">
        <v>4405</v>
      </c>
      <c r="J1076" t="s">
        <v>4376</v>
      </c>
      <c r="K1076">
        <v>1.7</v>
      </c>
      <c r="L1076">
        <v>6.2</v>
      </c>
      <c r="M1076">
        <v>7.8</v>
      </c>
      <c r="N1076" t="s">
        <v>4368</v>
      </c>
      <c r="O1076" t="s">
        <v>4456</v>
      </c>
      <c r="P1076" s="1">
        <v>45825</v>
      </c>
      <c r="Q1076" t="str">
        <f t="shared" si="64"/>
        <v>10+ Years</v>
      </c>
      <c r="R1076" t="str">
        <f>IF(Table7[[#This Row],[Age]]&lt;=25,"20-25",IF(Table7[[#This Row],[Age]]&lt;=30,"26-30",IF(Table7[[#This Row],[Age]]&lt;=35,"31-35","36+")))</f>
        <v>26-30</v>
      </c>
      <c r="S1076" t="str">
        <f t="shared" si="65"/>
        <v>June</v>
      </c>
      <c r="T1076" s="2" t="str">
        <f t="shared" si="66"/>
        <v>Q2</v>
      </c>
      <c r="U1076" s="2">
        <f t="shared" si="67"/>
        <v>2025</v>
      </c>
    </row>
    <row r="1077" spans="1:21" x14ac:dyDescent="0.3">
      <c r="A1077" t="s">
        <v>6426</v>
      </c>
      <c r="B1077" t="s">
        <v>6427</v>
      </c>
      <c r="C1077" t="s">
        <v>5765</v>
      </c>
      <c r="D1077" t="s">
        <v>4372</v>
      </c>
      <c r="E1077">
        <v>21</v>
      </c>
      <c r="F1077" t="s">
        <v>6428</v>
      </c>
      <c r="G1077">
        <v>9909700412</v>
      </c>
      <c r="H1077" t="s">
        <v>4404</v>
      </c>
      <c r="I1077" t="s">
        <v>4405</v>
      </c>
      <c r="J1077" t="s">
        <v>4446</v>
      </c>
      <c r="K1077">
        <v>2.7</v>
      </c>
      <c r="L1077">
        <v>8.6999999999999993</v>
      </c>
      <c r="M1077">
        <v>10.6</v>
      </c>
      <c r="N1077" t="s">
        <v>4368</v>
      </c>
      <c r="O1077" t="s">
        <v>4456</v>
      </c>
      <c r="P1077" s="1">
        <v>45732</v>
      </c>
      <c r="Q1077" t="str">
        <f t="shared" si="64"/>
        <v>10+ Years</v>
      </c>
      <c r="R1077" t="str">
        <f>IF(Table7[[#This Row],[Age]]&lt;=25,"20-25",IF(Table7[[#This Row],[Age]]&lt;=30,"26-30",IF(Table7[[#This Row],[Age]]&lt;=35,"31-35","36+")))</f>
        <v>20-25</v>
      </c>
      <c r="S1077" t="str">
        <f t="shared" si="65"/>
        <v>March</v>
      </c>
      <c r="T1077" s="2" t="str">
        <f t="shared" si="66"/>
        <v>Q1</v>
      </c>
      <c r="U1077" s="2">
        <f t="shared" si="67"/>
        <v>2025</v>
      </c>
    </row>
    <row r="1078" spans="1:21" x14ac:dyDescent="0.3">
      <c r="A1078" t="s">
        <v>2770</v>
      </c>
      <c r="B1078" t="s">
        <v>5730</v>
      </c>
      <c r="C1078" t="s">
        <v>5192</v>
      </c>
      <c r="D1078" t="s">
        <v>4372</v>
      </c>
      <c r="E1078">
        <v>25</v>
      </c>
      <c r="F1078" t="s">
        <v>6429</v>
      </c>
      <c r="G1078">
        <v>9121711001</v>
      </c>
      <c r="H1078" t="s">
        <v>4374</v>
      </c>
      <c r="I1078" t="s">
        <v>4375</v>
      </c>
      <c r="J1078" t="s">
        <v>4432</v>
      </c>
      <c r="K1078">
        <v>0.3</v>
      </c>
      <c r="L1078">
        <v>8.8000000000000007</v>
      </c>
      <c r="M1078">
        <v>10.1</v>
      </c>
      <c r="N1078" t="s">
        <v>4377</v>
      </c>
      <c r="O1078" t="s">
        <v>4383</v>
      </c>
      <c r="P1078" s="1">
        <v>45732</v>
      </c>
      <c r="Q1078" t="str">
        <f t="shared" si="64"/>
        <v>10+ Years</v>
      </c>
      <c r="R1078" t="str">
        <f>IF(Table7[[#This Row],[Age]]&lt;=25,"20-25",IF(Table7[[#This Row],[Age]]&lt;=30,"26-30",IF(Table7[[#This Row],[Age]]&lt;=35,"31-35","36+")))</f>
        <v>20-25</v>
      </c>
      <c r="S1078" t="str">
        <f t="shared" si="65"/>
        <v>March</v>
      </c>
      <c r="T1078" s="2" t="str">
        <f t="shared" si="66"/>
        <v>Q1</v>
      </c>
      <c r="U1078" s="2">
        <f t="shared" si="67"/>
        <v>2025</v>
      </c>
    </row>
    <row r="1079" spans="1:21" x14ac:dyDescent="0.3">
      <c r="A1079" t="s">
        <v>709</v>
      </c>
      <c r="B1079" t="s">
        <v>4566</v>
      </c>
      <c r="C1079" t="s">
        <v>6085</v>
      </c>
      <c r="D1079" t="s">
        <v>4363</v>
      </c>
      <c r="E1079">
        <v>29</v>
      </c>
      <c r="F1079" t="s">
        <v>6430</v>
      </c>
      <c r="G1079">
        <v>9183542806</v>
      </c>
      <c r="H1079" t="s">
        <v>4473</v>
      </c>
      <c r="I1079" t="s">
        <v>4473</v>
      </c>
      <c r="J1079" t="s">
        <v>4618</v>
      </c>
      <c r="K1079">
        <v>3.4</v>
      </c>
      <c r="L1079">
        <v>12.3</v>
      </c>
      <c r="M1079">
        <v>16.8</v>
      </c>
      <c r="N1079" t="s">
        <v>4377</v>
      </c>
      <c r="O1079" t="s">
        <v>4400</v>
      </c>
      <c r="P1079" s="1">
        <v>45750</v>
      </c>
      <c r="Q1079" t="str">
        <f t="shared" si="64"/>
        <v>10+ Years</v>
      </c>
      <c r="R1079" t="str">
        <f>IF(Table7[[#This Row],[Age]]&lt;=25,"20-25",IF(Table7[[#This Row],[Age]]&lt;=30,"26-30",IF(Table7[[#This Row],[Age]]&lt;=35,"31-35","36+")))</f>
        <v>26-30</v>
      </c>
      <c r="S1079" t="str">
        <f t="shared" si="65"/>
        <v>April</v>
      </c>
      <c r="T1079" s="2" t="str">
        <f t="shared" si="66"/>
        <v>Q2</v>
      </c>
      <c r="U1079" s="2">
        <f t="shared" si="67"/>
        <v>2025</v>
      </c>
    </row>
    <row r="1080" spans="1:21" x14ac:dyDescent="0.3">
      <c r="A1080" t="s">
        <v>2576</v>
      </c>
      <c r="B1080" t="s">
        <v>4526</v>
      </c>
      <c r="C1080" t="s">
        <v>4417</v>
      </c>
      <c r="D1080" t="s">
        <v>4372</v>
      </c>
      <c r="E1080">
        <v>22</v>
      </c>
      <c r="F1080" t="s">
        <v>6431</v>
      </c>
      <c r="G1080">
        <v>9142181121</v>
      </c>
      <c r="H1080" t="s">
        <v>4506</v>
      </c>
      <c r="I1080" t="s">
        <v>4507</v>
      </c>
      <c r="J1080" t="s">
        <v>4376</v>
      </c>
      <c r="K1080">
        <v>6.3</v>
      </c>
      <c r="L1080">
        <v>9.5</v>
      </c>
      <c r="M1080">
        <v>10.9</v>
      </c>
      <c r="N1080" t="s">
        <v>4368</v>
      </c>
      <c r="O1080" t="s">
        <v>4369</v>
      </c>
      <c r="P1080" s="1">
        <v>45702</v>
      </c>
      <c r="Q1080" t="str">
        <f t="shared" si="64"/>
        <v>10+ Years</v>
      </c>
      <c r="R1080" t="str">
        <f>IF(Table7[[#This Row],[Age]]&lt;=25,"20-25",IF(Table7[[#This Row],[Age]]&lt;=30,"26-30",IF(Table7[[#This Row],[Age]]&lt;=35,"31-35","36+")))</f>
        <v>20-25</v>
      </c>
      <c r="S1080" t="str">
        <f t="shared" si="65"/>
        <v>February</v>
      </c>
      <c r="T1080" s="2" t="str">
        <f t="shared" si="66"/>
        <v>Q1</v>
      </c>
      <c r="U1080" s="2">
        <f t="shared" si="67"/>
        <v>2025</v>
      </c>
    </row>
    <row r="1081" spans="1:21" x14ac:dyDescent="0.3">
      <c r="A1081" t="s">
        <v>1120</v>
      </c>
      <c r="B1081" t="s">
        <v>6432</v>
      </c>
      <c r="C1081" t="s">
        <v>4537</v>
      </c>
      <c r="D1081" t="s">
        <v>4372</v>
      </c>
      <c r="E1081">
        <v>36</v>
      </c>
      <c r="F1081" t="s">
        <v>6433</v>
      </c>
      <c r="G1081">
        <v>9271196989</v>
      </c>
      <c r="H1081" t="s">
        <v>4395</v>
      </c>
      <c r="I1081" t="s">
        <v>4396</v>
      </c>
      <c r="J1081" t="s">
        <v>4367</v>
      </c>
      <c r="K1081">
        <v>3.4</v>
      </c>
      <c r="L1081">
        <v>11.5</v>
      </c>
      <c r="M1081">
        <v>14.3</v>
      </c>
      <c r="N1081" t="s">
        <v>4377</v>
      </c>
      <c r="O1081" t="s">
        <v>4369</v>
      </c>
      <c r="P1081" s="1">
        <v>45658</v>
      </c>
      <c r="Q1081" t="str">
        <f t="shared" si="64"/>
        <v>10+ Years</v>
      </c>
      <c r="R1081" t="str">
        <f>IF(Table7[[#This Row],[Age]]&lt;=25,"20-25",IF(Table7[[#This Row],[Age]]&lt;=30,"26-30",IF(Table7[[#This Row],[Age]]&lt;=35,"31-35","36+")))</f>
        <v>36+</v>
      </c>
      <c r="S1081" t="str">
        <f t="shared" si="65"/>
        <v>January</v>
      </c>
      <c r="T1081" s="2" t="str">
        <f t="shared" si="66"/>
        <v>Q1</v>
      </c>
      <c r="U1081" s="2">
        <f t="shared" si="67"/>
        <v>2025</v>
      </c>
    </row>
    <row r="1082" spans="1:21" x14ac:dyDescent="0.3">
      <c r="A1082" t="s">
        <v>6434</v>
      </c>
      <c r="B1082" t="s">
        <v>4573</v>
      </c>
      <c r="C1082" t="s">
        <v>6101</v>
      </c>
      <c r="D1082" t="s">
        <v>4363</v>
      </c>
      <c r="E1082">
        <v>24</v>
      </c>
      <c r="F1082" t="s">
        <v>6435</v>
      </c>
      <c r="G1082">
        <v>9904044550</v>
      </c>
      <c r="H1082" t="s">
        <v>4410</v>
      </c>
      <c r="I1082" t="s">
        <v>4411</v>
      </c>
      <c r="J1082" t="s">
        <v>4367</v>
      </c>
      <c r="K1082">
        <v>12</v>
      </c>
      <c r="L1082">
        <v>15.7</v>
      </c>
      <c r="M1082">
        <v>20.399999999999999</v>
      </c>
      <c r="N1082" t="s">
        <v>4406</v>
      </c>
      <c r="O1082" t="s">
        <v>4400</v>
      </c>
      <c r="P1082" s="1">
        <v>45759</v>
      </c>
      <c r="Q1082" t="str">
        <f t="shared" si="64"/>
        <v>10+ Years</v>
      </c>
      <c r="R1082" t="str">
        <f>IF(Table7[[#This Row],[Age]]&lt;=25,"20-25",IF(Table7[[#This Row],[Age]]&lt;=30,"26-30",IF(Table7[[#This Row],[Age]]&lt;=35,"31-35","36+")))</f>
        <v>20-25</v>
      </c>
      <c r="S1082" t="str">
        <f t="shared" si="65"/>
        <v>April</v>
      </c>
      <c r="T1082" s="2" t="str">
        <f t="shared" si="66"/>
        <v>Q2</v>
      </c>
      <c r="U1082" s="2">
        <f t="shared" si="67"/>
        <v>2025</v>
      </c>
    </row>
    <row r="1083" spans="1:21" x14ac:dyDescent="0.3">
      <c r="A1083" t="s">
        <v>483</v>
      </c>
      <c r="B1083" t="s">
        <v>4586</v>
      </c>
      <c r="C1083" t="s">
        <v>4922</v>
      </c>
      <c r="D1083" t="s">
        <v>4372</v>
      </c>
      <c r="E1083">
        <v>32</v>
      </c>
      <c r="F1083" t="s">
        <v>6436</v>
      </c>
      <c r="G1083">
        <v>9327131248</v>
      </c>
      <c r="H1083" t="s">
        <v>4473</v>
      </c>
      <c r="I1083" t="s">
        <v>4473</v>
      </c>
      <c r="J1083" t="s">
        <v>4446</v>
      </c>
      <c r="K1083">
        <v>4.7</v>
      </c>
      <c r="L1083">
        <v>8.1999999999999993</v>
      </c>
      <c r="M1083">
        <v>11.1</v>
      </c>
      <c r="N1083" t="s">
        <v>4368</v>
      </c>
      <c r="O1083" t="s">
        <v>4456</v>
      </c>
      <c r="P1083" s="1">
        <v>45677</v>
      </c>
      <c r="Q1083" t="str">
        <f t="shared" si="64"/>
        <v>10+ Years</v>
      </c>
      <c r="R1083" t="str">
        <f>IF(Table7[[#This Row],[Age]]&lt;=25,"20-25",IF(Table7[[#This Row],[Age]]&lt;=30,"26-30",IF(Table7[[#This Row],[Age]]&lt;=35,"31-35","36+")))</f>
        <v>31-35</v>
      </c>
      <c r="S1083" t="str">
        <f t="shared" si="65"/>
        <v>January</v>
      </c>
      <c r="T1083" s="2" t="str">
        <f t="shared" si="66"/>
        <v>Q1</v>
      </c>
      <c r="U1083" s="2">
        <f t="shared" si="67"/>
        <v>2025</v>
      </c>
    </row>
    <row r="1084" spans="1:21" x14ac:dyDescent="0.3">
      <c r="A1084" t="s">
        <v>1378</v>
      </c>
      <c r="B1084" t="s">
        <v>4668</v>
      </c>
      <c r="C1084" t="s">
        <v>5957</v>
      </c>
      <c r="D1084" t="s">
        <v>4363</v>
      </c>
      <c r="E1084">
        <v>31</v>
      </c>
      <c r="F1084" t="s">
        <v>6437</v>
      </c>
      <c r="G1084">
        <v>9376123709</v>
      </c>
      <c r="H1084" t="s">
        <v>4395</v>
      </c>
      <c r="I1084" t="s">
        <v>4396</v>
      </c>
      <c r="J1084" t="s">
        <v>4389</v>
      </c>
      <c r="K1084">
        <v>0.6</v>
      </c>
      <c r="L1084">
        <v>4.5</v>
      </c>
      <c r="M1084">
        <v>6.1</v>
      </c>
      <c r="O1084" t="s">
        <v>4369</v>
      </c>
      <c r="P1084" s="1">
        <v>45679</v>
      </c>
      <c r="Q1084" t="str">
        <f t="shared" si="64"/>
        <v>10+ Years</v>
      </c>
      <c r="R1084" t="str">
        <f>IF(Table7[[#This Row],[Age]]&lt;=25,"20-25",IF(Table7[[#This Row],[Age]]&lt;=30,"26-30",IF(Table7[[#This Row],[Age]]&lt;=35,"31-35","36+")))</f>
        <v>31-35</v>
      </c>
      <c r="S1084" t="str">
        <f t="shared" si="65"/>
        <v>January</v>
      </c>
      <c r="T1084" s="2" t="str">
        <f t="shared" si="66"/>
        <v>Q1</v>
      </c>
      <c r="U1084" s="2">
        <f t="shared" si="67"/>
        <v>2025</v>
      </c>
    </row>
    <row r="1085" spans="1:21" x14ac:dyDescent="0.3">
      <c r="A1085" t="s">
        <v>6438</v>
      </c>
      <c r="B1085" t="s">
        <v>6439</v>
      </c>
      <c r="C1085" t="s">
        <v>6028</v>
      </c>
      <c r="D1085" t="s">
        <v>4372</v>
      </c>
      <c r="E1085">
        <v>29</v>
      </c>
      <c r="F1085" t="s">
        <v>6440</v>
      </c>
      <c r="G1085">
        <v>9845807185</v>
      </c>
      <c r="H1085" t="s">
        <v>4491</v>
      </c>
      <c r="I1085" t="s">
        <v>4491</v>
      </c>
      <c r="J1085" t="s">
        <v>4367</v>
      </c>
      <c r="K1085">
        <v>7.2</v>
      </c>
      <c r="M1085">
        <v>21.5</v>
      </c>
      <c r="N1085" t="s">
        <v>4377</v>
      </c>
      <c r="O1085" t="s">
        <v>4391</v>
      </c>
      <c r="P1085" s="1">
        <v>45923</v>
      </c>
      <c r="Q1085" t="str">
        <f t="shared" si="64"/>
        <v>10+ Years</v>
      </c>
      <c r="R1085" t="str">
        <f>IF(Table7[[#This Row],[Age]]&lt;=25,"20-25",IF(Table7[[#This Row],[Age]]&lt;=30,"26-30",IF(Table7[[#This Row],[Age]]&lt;=35,"31-35","36+")))</f>
        <v>26-30</v>
      </c>
      <c r="S1085" t="str">
        <f t="shared" si="65"/>
        <v>September</v>
      </c>
      <c r="T1085" s="2" t="str">
        <f t="shared" si="66"/>
        <v>Q3</v>
      </c>
      <c r="U1085" s="2">
        <f t="shared" si="67"/>
        <v>2025</v>
      </c>
    </row>
    <row r="1086" spans="1:21" x14ac:dyDescent="0.3">
      <c r="A1086" t="s">
        <v>3656</v>
      </c>
      <c r="B1086" t="s">
        <v>4679</v>
      </c>
      <c r="C1086" t="s">
        <v>5211</v>
      </c>
      <c r="D1086" t="s">
        <v>4372</v>
      </c>
      <c r="E1086">
        <v>22</v>
      </c>
      <c r="F1086" t="s">
        <v>6441</v>
      </c>
      <c r="G1086">
        <v>9797526993</v>
      </c>
      <c r="H1086" t="s">
        <v>4404</v>
      </c>
      <c r="I1086" t="s">
        <v>4405</v>
      </c>
      <c r="J1086" t="s">
        <v>4415</v>
      </c>
      <c r="K1086">
        <v>0.7</v>
      </c>
      <c r="L1086">
        <v>7.7</v>
      </c>
      <c r="M1086">
        <v>10.6</v>
      </c>
      <c r="N1086" t="s">
        <v>4390</v>
      </c>
      <c r="O1086" t="s">
        <v>4369</v>
      </c>
      <c r="P1086" s="1">
        <v>45938</v>
      </c>
      <c r="Q1086" t="str">
        <f t="shared" si="64"/>
        <v>10+ Years</v>
      </c>
      <c r="R1086" t="str">
        <f>IF(Table7[[#This Row],[Age]]&lt;=25,"20-25",IF(Table7[[#This Row],[Age]]&lt;=30,"26-30",IF(Table7[[#This Row],[Age]]&lt;=35,"31-35","36+")))</f>
        <v>20-25</v>
      </c>
      <c r="S1086" t="str">
        <f t="shared" si="65"/>
        <v>October</v>
      </c>
      <c r="T1086" s="2" t="str">
        <f t="shared" si="66"/>
        <v>Q4</v>
      </c>
      <c r="U1086" s="2">
        <f t="shared" si="67"/>
        <v>2025</v>
      </c>
    </row>
    <row r="1087" spans="1:21" x14ac:dyDescent="0.3">
      <c r="A1087" t="s">
        <v>1583</v>
      </c>
      <c r="B1087" t="s">
        <v>4793</v>
      </c>
      <c r="C1087" t="s">
        <v>6442</v>
      </c>
      <c r="D1087" t="s">
        <v>4372</v>
      </c>
      <c r="E1087">
        <v>21</v>
      </c>
      <c r="F1087" t="s">
        <v>6443</v>
      </c>
      <c r="G1087">
        <v>9459868969</v>
      </c>
      <c r="H1087" t="s">
        <v>4473</v>
      </c>
      <c r="I1087" t="s">
        <v>4473</v>
      </c>
      <c r="J1087" t="s">
        <v>4482</v>
      </c>
      <c r="K1087">
        <v>3.8</v>
      </c>
      <c r="L1087">
        <v>11</v>
      </c>
      <c r="M1087">
        <v>13.1</v>
      </c>
      <c r="N1087" t="s">
        <v>4368</v>
      </c>
      <c r="O1087" t="s">
        <v>4400</v>
      </c>
      <c r="P1087" s="1">
        <v>46005</v>
      </c>
      <c r="Q1087" t="str">
        <f t="shared" si="64"/>
        <v>10+ Years</v>
      </c>
      <c r="R1087" t="str">
        <f>IF(Table7[[#This Row],[Age]]&lt;=25,"20-25",IF(Table7[[#This Row],[Age]]&lt;=30,"26-30",IF(Table7[[#This Row],[Age]]&lt;=35,"31-35","36+")))</f>
        <v>20-25</v>
      </c>
      <c r="S1087" t="str">
        <f t="shared" si="65"/>
        <v>December</v>
      </c>
      <c r="T1087" s="2" t="str">
        <f t="shared" si="66"/>
        <v>Q4</v>
      </c>
      <c r="U1087" s="2">
        <f t="shared" si="67"/>
        <v>2025</v>
      </c>
    </row>
    <row r="1088" spans="1:21" x14ac:dyDescent="0.3">
      <c r="A1088" t="s">
        <v>1483</v>
      </c>
      <c r="B1088" t="s">
        <v>4508</v>
      </c>
      <c r="C1088" t="s">
        <v>6444</v>
      </c>
      <c r="D1088" t="s">
        <v>4372</v>
      </c>
      <c r="E1088">
        <v>31</v>
      </c>
      <c r="F1088" t="s">
        <v>6445</v>
      </c>
      <c r="G1088">
        <v>9234748182</v>
      </c>
      <c r="H1088" t="s">
        <v>4445</v>
      </c>
      <c r="I1088" t="s">
        <v>4396</v>
      </c>
      <c r="J1088" t="s">
        <v>4415</v>
      </c>
      <c r="K1088">
        <v>3.5</v>
      </c>
      <c r="M1088">
        <v>10</v>
      </c>
      <c r="N1088" t="s">
        <v>4377</v>
      </c>
      <c r="O1088" t="s">
        <v>4391</v>
      </c>
      <c r="P1088" s="1">
        <v>45743</v>
      </c>
      <c r="Q1088" t="str">
        <f t="shared" si="64"/>
        <v>10+ Years</v>
      </c>
      <c r="R1088" t="str">
        <f>IF(Table7[[#This Row],[Age]]&lt;=25,"20-25",IF(Table7[[#This Row],[Age]]&lt;=30,"26-30",IF(Table7[[#This Row],[Age]]&lt;=35,"31-35","36+")))</f>
        <v>31-35</v>
      </c>
      <c r="S1088" t="str">
        <f t="shared" si="65"/>
        <v>March</v>
      </c>
      <c r="T1088" s="2" t="str">
        <f t="shared" si="66"/>
        <v>Q1</v>
      </c>
      <c r="U1088" s="2">
        <f t="shared" si="67"/>
        <v>2025</v>
      </c>
    </row>
    <row r="1089" spans="1:21" x14ac:dyDescent="0.3">
      <c r="A1089" t="s">
        <v>778</v>
      </c>
      <c r="B1089" t="s">
        <v>5486</v>
      </c>
      <c r="C1089" t="s">
        <v>5695</v>
      </c>
      <c r="D1089" t="s">
        <v>4363</v>
      </c>
      <c r="E1089">
        <v>26</v>
      </c>
      <c r="F1089" t="s">
        <v>6446</v>
      </c>
      <c r="G1089">
        <v>9754209794</v>
      </c>
      <c r="H1089" t="s">
        <v>4491</v>
      </c>
      <c r="I1089" t="s">
        <v>4491</v>
      </c>
      <c r="J1089" t="s">
        <v>4376</v>
      </c>
      <c r="K1089">
        <v>4.7</v>
      </c>
      <c r="L1089">
        <v>4.2</v>
      </c>
      <c r="M1089">
        <v>5.2</v>
      </c>
      <c r="N1089" t="s">
        <v>4406</v>
      </c>
      <c r="O1089" t="s">
        <v>4383</v>
      </c>
      <c r="P1089" s="1">
        <v>45865</v>
      </c>
      <c r="Q1089" t="str">
        <f t="shared" si="64"/>
        <v>10+ Years</v>
      </c>
      <c r="R1089" t="str">
        <f>IF(Table7[[#This Row],[Age]]&lt;=25,"20-25",IF(Table7[[#This Row],[Age]]&lt;=30,"26-30",IF(Table7[[#This Row],[Age]]&lt;=35,"31-35","36+")))</f>
        <v>26-30</v>
      </c>
      <c r="S1089" t="str">
        <f t="shared" si="65"/>
        <v>July</v>
      </c>
      <c r="T1089" s="2" t="str">
        <f t="shared" si="66"/>
        <v>Q3</v>
      </c>
      <c r="U1089" s="2">
        <f t="shared" si="67"/>
        <v>2025</v>
      </c>
    </row>
    <row r="1090" spans="1:21" x14ac:dyDescent="0.3">
      <c r="A1090" t="s">
        <v>3017</v>
      </c>
      <c r="B1090" t="s">
        <v>4715</v>
      </c>
      <c r="C1090" t="s">
        <v>4710</v>
      </c>
      <c r="D1090" t="s">
        <v>4363</v>
      </c>
      <c r="E1090">
        <v>23</v>
      </c>
      <c r="F1090" t="s">
        <v>6447</v>
      </c>
      <c r="G1090">
        <v>9812145052</v>
      </c>
      <c r="H1090" t="s">
        <v>4395</v>
      </c>
      <c r="I1090" t="s">
        <v>4396</v>
      </c>
      <c r="K1090">
        <v>0.6</v>
      </c>
      <c r="L1090">
        <v>9</v>
      </c>
      <c r="M1090">
        <v>11.8</v>
      </c>
      <c r="O1090" t="s">
        <v>4369</v>
      </c>
      <c r="P1090" s="1">
        <v>45732</v>
      </c>
      <c r="Q1090" t="str">
        <f t="shared" ref="Q1090:Q1153" si="68">IF(P1090&lt;=2,"0-2 Years",IF(P1090&lt;=5,"3-5 Years",IF(P1090&lt;=10,"6-10 Years","10+ Years")))</f>
        <v>10+ Years</v>
      </c>
      <c r="R1090" t="str">
        <f>IF(Table7[[#This Row],[Age]]&lt;=25,"20-25",IF(Table7[[#This Row],[Age]]&lt;=30,"26-30",IF(Table7[[#This Row],[Age]]&lt;=35,"31-35","36+")))</f>
        <v>20-25</v>
      </c>
      <c r="S1090" t="str">
        <f t="shared" ref="S1090:S1153" si="69">TEXT(P1090,"mmmm")</f>
        <v>March</v>
      </c>
      <c r="T1090" s="2" t="str">
        <f t="shared" ref="T1090:T1153" si="70">"Q"&amp;ROUNDUP(MONTH(P1090)/3,0)</f>
        <v>Q1</v>
      </c>
      <c r="U1090" s="2">
        <f t="shared" ref="U1090:U1153" si="71">YEAR(P1090)</f>
        <v>2025</v>
      </c>
    </row>
    <row r="1091" spans="1:21" x14ac:dyDescent="0.3">
      <c r="A1091" t="s">
        <v>153</v>
      </c>
      <c r="B1091" t="s">
        <v>4451</v>
      </c>
      <c r="C1091" t="s">
        <v>4393</v>
      </c>
      <c r="D1091" t="s">
        <v>4363</v>
      </c>
      <c r="E1091">
        <v>25</v>
      </c>
      <c r="F1091" t="s">
        <v>6448</v>
      </c>
      <c r="G1091">
        <v>9242397378</v>
      </c>
      <c r="H1091" t="s">
        <v>4365</v>
      </c>
      <c r="I1091" t="s">
        <v>4366</v>
      </c>
      <c r="J1091" t="s">
        <v>4450</v>
      </c>
      <c r="K1091">
        <v>2.2999999999999998</v>
      </c>
      <c r="M1091">
        <v>9.8000000000000007</v>
      </c>
      <c r="N1091" t="s">
        <v>4377</v>
      </c>
      <c r="O1091" t="s">
        <v>4400</v>
      </c>
      <c r="P1091" s="1">
        <v>45964</v>
      </c>
      <c r="Q1091" t="str">
        <f t="shared" si="68"/>
        <v>10+ Years</v>
      </c>
      <c r="R1091" t="str">
        <f>IF(Table7[[#This Row],[Age]]&lt;=25,"20-25",IF(Table7[[#This Row],[Age]]&lt;=30,"26-30",IF(Table7[[#This Row],[Age]]&lt;=35,"31-35","36+")))</f>
        <v>20-25</v>
      </c>
      <c r="S1091" t="str">
        <f t="shared" si="69"/>
        <v>November</v>
      </c>
      <c r="T1091" s="2" t="str">
        <f t="shared" si="70"/>
        <v>Q4</v>
      </c>
      <c r="U1091" s="2">
        <f t="shared" si="71"/>
        <v>2025</v>
      </c>
    </row>
    <row r="1092" spans="1:21" x14ac:dyDescent="0.3">
      <c r="A1092" t="s">
        <v>3677</v>
      </c>
      <c r="B1092" t="s">
        <v>4679</v>
      </c>
      <c r="C1092" t="s">
        <v>6374</v>
      </c>
      <c r="D1092" t="s">
        <v>4372</v>
      </c>
      <c r="E1092">
        <v>36</v>
      </c>
      <c r="F1092" t="s">
        <v>6449</v>
      </c>
      <c r="G1092">
        <v>9924717965</v>
      </c>
      <c r="H1092" t="s">
        <v>4454</v>
      </c>
      <c r="I1092" t="s">
        <v>4455</v>
      </c>
      <c r="J1092" t="s">
        <v>4376</v>
      </c>
      <c r="K1092">
        <v>0.4</v>
      </c>
      <c r="L1092">
        <v>2.5</v>
      </c>
      <c r="M1092">
        <v>3.6</v>
      </c>
      <c r="N1092" t="s">
        <v>4406</v>
      </c>
      <c r="O1092" t="s">
        <v>4400</v>
      </c>
      <c r="P1092" s="1">
        <v>45664</v>
      </c>
      <c r="Q1092" t="str">
        <f t="shared" si="68"/>
        <v>10+ Years</v>
      </c>
      <c r="R1092" t="str">
        <f>IF(Table7[[#This Row],[Age]]&lt;=25,"20-25",IF(Table7[[#This Row],[Age]]&lt;=30,"26-30",IF(Table7[[#This Row],[Age]]&lt;=35,"31-35","36+")))</f>
        <v>36+</v>
      </c>
      <c r="S1092" t="str">
        <f t="shared" si="69"/>
        <v>January</v>
      </c>
      <c r="T1092" s="2" t="str">
        <f t="shared" si="70"/>
        <v>Q1</v>
      </c>
      <c r="U1092" s="2">
        <f t="shared" si="71"/>
        <v>2025</v>
      </c>
    </row>
    <row r="1093" spans="1:21" x14ac:dyDescent="0.3">
      <c r="A1093" t="s">
        <v>1014</v>
      </c>
      <c r="B1093" t="s">
        <v>4465</v>
      </c>
      <c r="C1093" t="s">
        <v>4486</v>
      </c>
      <c r="D1093" t="s">
        <v>4363</v>
      </c>
      <c r="E1093">
        <v>40</v>
      </c>
      <c r="F1093" t="s">
        <v>6450</v>
      </c>
      <c r="G1093">
        <v>9673566350</v>
      </c>
      <c r="H1093" t="s">
        <v>4387</v>
      </c>
      <c r="I1093" t="s">
        <v>4388</v>
      </c>
      <c r="J1093" t="s">
        <v>4367</v>
      </c>
      <c r="K1093">
        <v>0.9</v>
      </c>
      <c r="L1093">
        <v>4.9000000000000004</v>
      </c>
      <c r="M1093">
        <v>6.2</v>
      </c>
      <c r="N1093" t="s">
        <v>4390</v>
      </c>
      <c r="O1093" t="s">
        <v>4485</v>
      </c>
      <c r="P1093" s="1">
        <v>45697</v>
      </c>
      <c r="Q1093" t="str">
        <f t="shared" si="68"/>
        <v>10+ Years</v>
      </c>
      <c r="R1093" t="str">
        <f>IF(Table7[[#This Row],[Age]]&lt;=25,"20-25",IF(Table7[[#This Row],[Age]]&lt;=30,"26-30",IF(Table7[[#This Row],[Age]]&lt;=35,"31-35","36+")))</f>
        <v>36+</v>
      </c>
      <c r="S1093" t="str">
        <f t="shared" si="69"/>
        <v>February</v>
      </c>
      <c r="T1093" s="2" t="str">
        <f t="shared" si="70"/>
        <v>Q1</v>
      </c>
      <c r="U1093" s="2">
        <f t="shared" si="71"/>
        <v>2025</v>
      </c>
    </row>
    <row r="1094" spans="1:21" x14ac:dyDescent="0.3">
      <c r="A1094" t="s">
        <v>515</v>
      </c>
      <c r="B1094" t="s">
        <v>6068</v>
      </c>
      <c r="C1094" t="s">
        <v>5125</v>
      </c>
      <c r="D1094" t="s">
        <v>4363</v>
      </c>
      <c r="E1094">
        <v>25</v>
      </c>
      <c r="F1094" t="s">
        <v>6451</v>
      </c>
      <c r="G1094">
        <v>9953938868</v>
      </c>
      <c r="H1094" t="s">
        <v>4387</v>
      </c>
      <c r="I1094" t="s">
        <v>4388</v>
      </c>
      <c r="J1094" t="s">
        <v>4367</v>
      </c>
      <c r="K1094">
        <v>0</v>
      </c>
      <c r="L1094">
        <v>5.7</v>
      </c>
      <c r="M1094">
        <v>8.1</v>
      </c>
      <c r="N1094" t="s">
        <v>4494</v>
      </c>
      <c r="O1094" t="s">
        <v>4391</v>
      </c>
      <c r="P1094" s="1">
        <v>45764</v>
      </c>
      <c r="Q1094" t="str">
        <f t="shared" si="68"/>
        <v>10+ Years</v>
      </c>
      <c r="R1094" t="str">
        <f>IF(Table7[[#This Row],[Age]]&lt;=25,"20-25",IF(Table7[[#This Row],[Age]]&lt;=30,"26-30",IF(Table7[[#This Row],[Age]]&lt;=35,"31-35","36+")))</f>
        <v>20-25</v>
      </c>
      <c r="S1094" t="str">
        <f t="shared" si="69"/>
        <v>April</v>
      </c>
      <c r="T1094" s="2" t="str">
        <f t="shared" si="70"/>
        <v>Q2</v>
      </c>
      <c r="U1094" s="2">
        <f t="shared" si="71"/>
        <v>2025</v>
      </c>
    </row>
    <row r="1095" spans="1:21" x14ac:dyDescent="0.3">
      <c r="A1095" t="s">
        <v>3684</v>
      </c>
      <c r="B1095" t="s">
        <v>6452</v>
      </c>
      <c r="C1095" t="s">
        <v>5184</v>
      </c>
      <c r="D1095" t="s">
        <v>4363</v>
      </c>
      <c r="E1095">
        <v>32</v>
      </c>
      <c r="F1095" t="s">
        <v>6453</v>
      </c>
      <c r="G1095">
        <v>9335760346</v>
      </c>
      <c r="H1095" t="s">
        <v>4506</v>
      </c>
      <c r="I1095" t="s">
        <v>4507</v>
      </c>
      <c r="J1095" t="s">
        <v>4482</v>
      </c>
      <c r="K1095">
        <v>1.4</v>
      </c>
      <c r="L1095">
        <v>7.9</v>
      </c>
      <c r="M1095">
        <v>10.7</v>
      </c>
      <c r="N1095" t="s">
        <v>4494</v>
      </c>
      <c r="O1095" t="s">
        <v>4383</v>
      </c>
      <c r="P1095" s="1">
        <v>45853</v>
      </c>
      <c r="Q1095" t="str">
        <f t="shared" si="68"/>
        <v>10+ Years</v>
      </c>
      <c r="R1095" t="str">
        <f>IF(Table7[[#This Row],[Age]]&lt;=25,"20-25",IF(Table7[[#This Row],[Age]]&lt;=30,"26-30",IF(Table7[[#This Row],[Age]]&lt;=35,"31-35","36+")))</f>
        <v>31-35</v>
      </c>
      <c r="S1095" t="str">
        <f t="shared" si="69"/>
        <v>July</v>
      </c>
      <c r="T1095" s="2" t="str">
        <f t="shared" si="70"/>
        <v>Q3</v>
      </c>
      <c r="U1095" s="2">
        <f t="shared" si="71"/>
        <v>2025</v>
      </c>
    </row>
    <row r="1096" spans="1:21" x14ac:dyDescent="0.3">
      <c r="A1096" t="s">
        <v>3134</v>
      </c>
      <c r="B1096" t="s">
        <v>6454</v>
      </c>
      <c r="C1096" t="s">
        <v>4982</v>
      </c>
      <c r="D1096" t="s">
        <v>4372</v>
      </c>
      <c r="E1096">
        <v>27</v>
      </c>
      <c r="F1096" t="s">
        <v>6455</v>
      </c>
      <c r="G1096">
        <v>9942050482</v>
      </c>
      <c r="H1096" t="s">
        <v>4410</v>
      </c>
      <c r="I1096" t="s">
        <v>4411</v>
      </c>
      <c r="J1096" t="s">
        <v>4367</v>
      </c>
      <c r="K1096">
        <v>9.6</v>
      </c>
      <c r="L1096">
        <v>15.4</v>
      </c>
      <c r="M1096">
        <v>17.600000000000001</v>
      </c>
      <c r="N1096" t="s">
        <v>4406</v>
      </c>
      <c r="O1096" t="s">
        <v>4485</v>
      </c>
      <c r="P1096" s="1">
        <v>45753</v>
      </c>
      <c r="Q1096" t="str">
        <f t="shared" si="68"/>
        <v>10+ Years</v>
      </c>
      <c r="R1096" t="str">
        <f>IF(Table7[[#This Row],[Age]]&lt;=25,"20-25",IF(Table7[[#This Row],[Age]]&lt;=30,"26-30",IF(Table7[[#This Row],[Age]]&lt;=35,"31-35","36+")))</f>
        <v>26-30</v>
      </c>
      <c r="S1096" t="str">
        <f t="shared" si="69"/>
        <v>April</v>
      </c>
      <c r="T1096" s="2" t="str">
        <f t="shared" si="70"/>
        <v>Q2</v>
      </c>
      <c r="U1096" s="2">
        <f t="shared" si="71"/>
        <v>2025</v>
      </c>
    </row>
    <row r="1097" spans="1:21" x14ac:dyDescent="0.3">
      <c r="A1097" t="s">
        <v>831</v>
      </c>
      <c r="B1097" t="s">
        <v>5352</v>
      </c>
      <c r="C1097" t="s">
        <v>6030</v>
      </c>
      <c r="D1097" t="s">
        <v>4372</v>
      </c>
      <c r="E1097">
        <v>28</v>
      </c>
      <c r="F1097" t="s">
        <v>6456</v>
      </c>
      <c r="G1097">
        <v>9716608606</v>
      </c>
      <c r="H1097" t="s">
        <v>4374</v>
      </c>
      <c r="I1097" t="s">
        <v>4375</v>
      </c>
      <c r="J1097" t="s">
        <v>4482</v>
      </c>
      <c r="K1097">
        <v>0.6</v>
      </c>
      <c r="M1097">
        <v>8</v>
      </c>
      <c r="N1097" t="s">
        <v>4390</v>
      </c>
      <c r="O1097" t="s">
        <v>4369</v>
      </c>
      <c r="P1097" s="1">
        <v>45757</v>
      </c>
      <c r="Q1097" t="str">
        <f t="shared" si="68"/>
        <v>10+ Years</v>
      </c>
      <c r="R1097" t="str">
        <f>IF(Table7[[#This Row],[Age]]&lt;=25,"20-25",IF(Table7[[#This Row],[Age]]&lt;=30,"26-30",IF(Table7[[#This Row],[Age]]&lt;=35,"31-35","36+")))</f>
        <v>26-30</v>
      </c>
      <c r="S1097" t="str">
        <f t="shared" si="69"/>
        <v>April</v>
      </c>
      <c r="T1097" s="2" t="str">
        <f t="shared" si="70"/>
        <v>Q2</v>
      </c>
      <c r="U1097" s="2">
        <f t="shared" si="71"/>
        <v>2025</v>
      </c>
    </row>
    <row r="1098" spans="1:21" x14ac:dyDescent="0.3">
      <c r="A1098" t="s">
        <v>2572</v>
      </c>
      <c r="B1098" t="s">
        <v>4668</v>
      </c>
      <c r="C1098" t="s">
        <v>5366</v>
      </c>
      <c r="D1098" t="s">
        <v>4372</v>
      </c>
      <c r="E1098">
        <v>29</v>
      </c>
      <c r="F1098" t="s">
        <v>6457</v>
      </c>
      <c r="G1098">
        <v>9721869858</v>
      </c>
      <c r="H1098" t="s">
        <v>4491</v>
      </c>
      <c r="I1098" t="s">
        <v>4491</v>
      </c>
      <c r="J1098" t="s">
        <v>4389</v>
      </c>
      <c r="K1098">
        <v>1.9</v>
      </c>
      <c r="L1098">
        <v>8.6</v>
      </c>
      <c r="M1098">
        <v>11.9</v>
      </c>
      <c r="N1098" t="s">
        <v>4377</v>
      </c>
      <c r="O1098" t="s">
        <v>4383</v>
      </c>
      <c r="P1098" s="1">
        <v>45698</v>
      </c>
      <c r="Q1098" t="str">
        <f t="shared" si="68"/>
        <v>10+ Years</v>
      </c>
      <c r="R1098" t="str">
        <f>IF(Table7[[#This Row],[Age]]&lt;=25,"20-25",IF(Table7[[#This Row],[Age]]&lt;=30,"26-30",IF(Table7[[#This Row],[Age]]&lt;=35,"31-35","36+")))</f>
        <v>26-30</v>
      </c>
      <c r="S1098" t="str">
        <f t="shared" si="69"/>
        <v>February</v>
      </c>
      <c r="T1098" s="2" t="str">
        <f t="shared" si="70"/>
        <v>Q1</v>
      </c>
      <c r="U1098" s="2">
        <f t="shared" si="71"/>
        <v>2025</v>
      </c>
    </row>
    <row r="1099" spans="1:21" x14ac:dyDescent="0.3">
      <c r="A1099" t="s">
        <v>3948</v>
      </c>
      <c r="B1099" t="s">
        <v>4901</v>
      </c>
      <c r="C1099" t="s">
        <v>5290</v>
      </c>
      <c r="D1099" t="s">
        <v>4372</v>
      </c>
      <c r="E1099">
        <v>22</v>
      </c>
      <c r="F1099" t="s">
        <v>6458</v>
      </c>
      <c r="G1099">
        <v>9692389310</v>
      </c>
      <c r="H1099" t="s">
        <v>4410</v>
      </c>
      <c r="I1099" t="s">
        <v>4411</v>
      </c>
      <c r="J1099" t="s">
        <v>4389</v>
      </c>
      <c r="K1099">
        <v>0.1</v>
      </c>
      <c r="L1099">
        <v>8.5</v>
      </c>
      <c r="M1099">
        <v>9.8000000000000007</v>
      </c>
      <c r="N1099" t="s">
        <v>4390</v>
      </c>
      <c r="O1099" t="s">
        <v>4391</v>
      </c>
      <c r="P1099" s="1">
        <v>45787</v>
      </c>
      <c r="Q1099" t="str">
        <f t="shared" si="68"/>
        <v>10+ Years</v>
      </c>
      <c r="R1099" t="str">
        <f>IF(Table7[[#This Row],[Age]]&lt;=25,"20-25",IF(Table7[[#This Row],[Age]]&lt;=30,"26-30",IF(Table7[[#This Row],[Age]]&lt;=35,"31-35","36+")))</f>
        <v>20-25</v>
      </c>
      <c r="S1099" t="str">
        <f t="shared" si="69"/>
        <v>May</v>
      </c>
      <c r="T1099" s="2" t="str">
        <f t="shared" si="70"/>
        <v>Q2</v>
      </c>
      <c r="U1099" s="2">
        <f t="shared" si="71"/>
        <v>2025</v>
      </c>
    </row>
    <row r="1100" spans="1:21" x14ac:dyDescent="0.3">
      <c r="A1100" t="s">
        <v>1041</v>
      </c>
      <c r="B1100" t="s">
        <v>5016</v>
      </c>
      <c r="C1100" t="s">
        <v>4486</v>
      </c>
      <c r="D1100" t="s">
        <v>4363</v>
      </c>
      <c r="E1100">
        <v>30</v>
      </c>
      <c r="F1100" t="s">
        <v>6459</v>
      </c>
      <c r="G1100">
        <v>9602790241</v>
      </c>
      <c r="H1100" t="s">
        <v>4454</v>
      </c>
      <c r="I1100" t="s">
        <v>4455</v>
      </c>
      <c r="J1100" t="s">
        <v>4389</v>
      </c>
      <c r="K1100">
        <v>0.3</v>
      </c>
      <c r="L1100">
        <v>6.2</v>
      </c>
      <c r="M1100">
        <v>7.6</v>
      </c>
      <c r="N1100" t="s">
        <v>4390</v>
      </c>
      <c r="O1100" t="s">
        <v>4369</v>
      </c>
      <c r="P1100" s="1">
        <v>45859</v>
      </c>
      <c r="Q1100" t="str">
        <f t="shared" si="68"/>
        <v>10+ Years</v>
      </c>
      <c r="R1100" t="str">
        <f>IF(Table7[[#This Row],[Age]]&lt;=25,"20-25",IF(Table7[[#This Row],[Age]]&lt;=30,"26-30",IF(Table7[[#This Row],[Age]]&lt;=35,"31-35","36+")))</f>
        <v>26-30</v>
      </c>
      <c r="S1100" t="str">
        <f t="shared" si="69"/>
        <v>July</v>
      </c>
      <c r="T1100" s="2" t="str">
        <f t="shared" si="70"/>
        <v>Q3</v>
      </c>
      <c r="U1100" s="2">
        <f t="shared" si="71"/>
        <v>2025</v>
      </c>
    </row>
    <row r="1101" spans="1:21" x14ac:dyDescent="0.3">
      <c r="A1101" t="s">
        <v>64</v>
      </c>
      <c r="B1101" t="s">
        <v>6432</v>
      </c>
      <c r="C1101" t="s">
        <v>5904</v>
      </c>
      <c r="D1101" t="s">
        <v>4372</v>
      </c>
      <c r="E1101">
        <v>29</v>
      </c>
      <c r="F1101" t="s">
        <v>6460</v>
      </c>
      <c r="G1101">
        <v>9240771587</v>
      </c>
      <c r="H1101" t="s">
        <v>4445</v>
      </c>
      <c r="I1101" t="s">
        <v>4396</v>
      </c>
      <c r="J1101" t="s">
        <v>4482</v>
      </c>
      <c r="K1101">
        <v>2.7</v>
      </c>
      <c r="L1101">
        <v>12.2</v>
      </c>
      <c r="M1101">
        <v>15.7</v>
      </c>
      <c r="N1101" t="s">
        <v>4377</v>
      </c>
      <c r="O1101" t="s">
        <v>4400</v>
      </c>
      <c r="P1101" s="1">
        <v>45663</v>
      </c>
      <c r="Q1101" t="str">
        <f t="shared" si="68"/>
        <v>10+ Years</v>
      </c>
      <c r="R1101" t="str">
        <f>IF(Table7[[#This Row],[Age]]&lt;=25,"20-25",IF(Table7[[#This Row],[Age]]&lt;=30,"26-30",IF(Table7[[#This Row],[Age]]&lt;=35,"31-35","36+")))</f>
        <v>26-30</v>
      </c>
      <c r="S1101" t="str">
        <f t="shared" si="69"/>
        <v>January</v>
      </c>
      <c r="T1101" s="2" t="str">
        <f t="shared" si="70"/>
        <v>Q1</v>
      </c>
      <c r="U1101" s="2">
        <f t="shared" si="71"/>
        <v>2025</v>
      </c>
    </row>
    <row r="1102" spans="1:21" x14ac:dyDescent="0.3">
      <c r="A1102" t="s">
        <v>1471</v>
      </c>
      <c r="B1102" t="s">
        <v>4674</v>
      </c>
      <c r="C1102" t="s">
        <v>4980</v>
      </c>
      <c r="D1102" t="s">
        <v>4372</v>
      </c>
      <c r="E1102">
        <v>21</v>
      </c>
      <c r="F1102" t="s">
        <v>6461</v>
      </c>
      <c r="G1102">
        <v>9884594499</v>
      </c>
      <c r="H1102" t="s">
        <v>4365</v>
      </c>
      <c r="I1102" t="s">
        <v>4366</v>
      </c>
      <c r="J1102" t="s">
        <v>4432</v>
      </c>
      <c r="K1102">
        <v>3.8</v>
      </c>
      <c r="L1102">
        <v>14</v>
      </c>
      <c r="M1102">
        <v>16.7</v>
      </c>
      <c r="N1102" t="s">
        <v>4390</v>
      </c>
      <c r="O1102" t="s">
        <v>4419</v>
      </c>
      <c r="P1102" s="1">
        <v>45816</v>
      </c>
      <c r="Q1102" t="str">
        <f t="shared" si="68"/>
        <v>10+ Years</v>
      </c>
      <c r="R1102" t="str">
        <f>IF(Table7[[#This Row],[Age]]&lt;=25,"20-25",IF(Table7[[#This Row],[Age]]&lt;=30,"26-30",IF(Table7[[#This Row],[Age]]&lt;=35,"31-35","36+")))</f>
        <v>20-25</v>
      </c>
      <c r="S1102" t="str">
        <f t="shared" si="69"/>
        <v>June</v>
      </c>
      <c r="T1102" s="2" t="str">
        <f t="shared" si="70"/>
        <v>Q2</v>
      </c>
      <c r="U1102" s="2">
        <f t="shared" si="71"/>
        <v>2025</v>
      </c>
    </row>
    <row r="1103" spans="1:21" x14ac:dyDescent="0.3">
      <c r="A1103" t="s">
        <v>1750</v>
      </c>
      <c r="B1103" t="s">
        <v>4874</v>
      </c>
      <c r="C1103" t="s">
        <v>4558</v>
      </c>
      <c r="D1103" t="s">
        <v>4372</v>
      </c>
      <c r="E1103">
        <v>32</v>
      </c>
      <c r="F1103" t="s">
        <v>6462</v>
      </c>
      <c r="G1103">
        <v>9227564948</v>
      </c>
      <c r="H1103" t="s">
        <v>4410</v>
      </c>
      <c r="I1103" t="s">
        <v>4411</v>
      </c>
      <c r="J1103" t="s">
        <v>4446</v>
      </c>
      <c r="K1103">
        <v>2.7</v>
      </c>
      <c r="L1103">
        <v>7.7</v>
      </c>
      <c r="M1103">
        <v>11.1</v>
      </c>
      <c r="O1103" t="s">
        <v>4391</v>
      </c>
      <c r="P1103" s="1">
        <v>45972</v>
      </c>
      <c r="Q1103" t="str">
        <f t="shared" si="68"/>
        <v>10+ Years</v>
      </c>
      <c r="R1103" t="str">
        <f>IF(Table7[[#This Row],[Age]]&lt;=25,"20-25",IF(Table7[[#This Row],[Age]]&lt;=30,"26-30",IF(Table7[[#This Row],[Age]]&lt;=35,"31-35","36+")))</f>
        <v>31-35</v>
      </c>
      <c r="S1103" t="str">
        <f t="shared" si="69"/>
        <v>November</v>
      </c>
      <c r="T1103" s="2" t="str">
        <f t="shared" si="70"/>
        <v>Q4</v>
      </c>
      <c r="U1103" s="2">
        <f t="shared" si="71"/>
        <v>2025</v>
      </c>
    </row>
    <row r="1104" spans="1:21" x14ac:dyDescent="0.3">
      <c r="A1104" t="s">
        <v>589</v>
      </c>
      <c r="B1104" t="s">
        <v>4820</v>
      </c>
      <c r="C1104" t="s">
        <v>6463</v>
      </c>
      <c r="D1104" t="s">
        <v>4363</v>
      </c>
      <c r="E1104">
        <v>29</v>
      </c>
      <c r="F1104" t="s">
        <v>6464</v>
      </c>
      <c r="G1104">
        <v>9749784293</v>
      </c>
      <c r="H1104" t="s">
        <v>4491</v>
      </c>
      <c r="I1104" t="s">
        <v>4491</v>
      </c>
      <c r="J1104" t="s">
        <v>4446</v>
      </c>
      <c r="K1104">
        <v>5.2</v>
      </c>
      <c r="L1104">
        <v>11.5</v>
      </c>
      <c r="M1104">
        <v>13</v>
      </c>
      <c r="N1104" t="s">
        <v>4368</v>
      </c>
      <c r="O1104" t="s">
        <v>4456</v>
      </c>
      <c r="P1104" s="1">
        <v>45825</v>
      </c>
      <c r="Q1104" t="str">
        <f t="shared" si="68"/>
        <v>10+ Years</v>
      </c>
      <c r="R1104" t="str">
        <f>IF(Table7[[#This Row],[Age]]&lt;=25,"20-25",IF(Table7[[#This Row],[Age]]&lt;=30,"26-30",IF(Table7[[#This Row],[Age]]&lt;=35,"31-35","36+")))</f>
        <v>26-30</v>
      </c>
      <c r="S1104" t="str">
        <f t="shared" si="69"/>
        <v>June</v>
      </c>
      <c r="T1104" s="2" t="str">
        <f t="shared" si="70"/>
        <v>Q2</v>
      </c>
      <c r="U1104" s="2">
        <f t="shared" si="71"/>
        <v>2025</v>
      </c>
    </row>
    <row r="1105" spans="1:21" x14ac:dyDescent="0.3">
      <c r="A1105" t="s">
        <v>1665</v>
      </c>
      <c r="B1105" t="s">
        <v>6465</v>
      </c>
      <c r="C1105" t="s">
        <v>4894</v>
      </c>
      <c r="D1105" t="s">
        <v>4363</v>
      </c>
      <c r="E1105">
        <v>31</v>
      </c>
      <c r="F1105" t="s">
        <v>6466</v>
      </c>
      <c r="G1105">
        <v>9110631708</v>
      </c>
      <c r="H1105" t="s">
        <v>4445</v>
      </c>
      <c r="I1105" t="s">
        <v>4396</v>
      </c>
      <c r="J1105" t="s">
        <v>4367</v>
      </c>
      <c r="K1105">
        <v>0.1</v>
      </c>
      <c r="L1105">
        <v>8.3000000000000007</v>
      </c>
      <c r="M1105">
        <v>10.4</v>
      </c>
      <c r="N1105" t="s">
        <v>4390</v>
      </c>
      <c r="O1105" t="s">
        <v>4391</v>
      </c>
      <c r="P1105" s="1">
        <v>45948</v>
      </c>
      <c r="Q1105" t="str">
        <f t="shared" si="68"/>
        <v>10+ Years</v>
      </c>
      <c r="R1105" t="str">
        <f>IF(Table7[[#This Row],[Age]]&lt;=25,"20-25",IF(Table7[[#This Row],[Age]]&lt;=30,"26-30",IF(Table7[[#This Row],[Age]]&lt;=35,"31-35","36+")))</f>
        <v>31-35</v>
      </c>
      <c r="S1105" t="str">
        <f t="shared" si="69"/>
        <v>October</v>
      </c>
      <c r="T1105" s="2" t="str">
        <f t="shared" si="70"/>
        <v>Q4</v>
      </c>
      <c r="U1105" s="2">
        <f t="shared" si="71"/>
        <v>2025</v>
      </c>
    </row>
    <row r="1106" spans="1:21" x14ac:dyDescent="0.3">
      <c r="A1106" t="s">
        <v>933</v>
      </c>
      <c r="B1106" t="s">
        <v>4828</v>
      </c>
      <c r="C1106" t="s">
        <v>4693</v>
      </c>
      <c r="D1106" t="s">
        <v>4372</v>
      </c>
      <c r="E1106">
        <v>29</v>
      </c>
      <c r="F1106" t="s">
        <v>6467</v>
      </c>
      <c r="G1106">
        <v>9371714594</v>
      </c>
      <c r="H1106" t="s">
        <v>4395</v>
      </c>
      <c r="I1106" t="s">
        <v>4396</v>
      </c>
      <c r="J1106" t="s">
        <v>4446</v>
      </c>
      <c r="K1106">
        <v>13.7</v>
      </c>
      <c r="M1106">
        <v>33.799999999999997</v>
      </c>
      <c r="N1106" t="s">
        <v>4390</v>
      </c>
      <c r="O1106" t="s">
        <v>4391</v>
      </c>
      <c r="P1106" s="1">
        <v>45872</v>
      </c>
      <c r="Q1106" t="str">
        <f t="shared" si="68"/>
        <v>10+ Years</v>
      </c>
      <c r="R1106" t="str">
        <f>IF(Table7[[#This Row],[Age]]&lt;=25,"20-25",IF(Table7[[#This Row],[Age]]&lt;=30,"26-30",IF(Table7[[#This Row],[Age]]&lt;=35,"31-35","36+")))</f>
        <v>26-30</v>
      </c>
      <c r="S1106" t="str">
        <f t="shared" si="69"/>
        <v>August</v>
      </c>
      <c r="T1106" s="2" t="str">
        <f t="shared" si="70"/>
        <v>Q3</v>
      </c>
      <c r="U1106" s="2">
        <f t="shared" si="71"/>
        <v>2025</v>
      </c>
    </row>
    <row r="1107" spans="1:21" x14ac:dyDescent="0.3">
      <c r="A1107" t="s">
        <v>3418</v>
      </c>
      <c r="B1107" t="s">
        <v>6175</v>
      </c>
      <c r="C1107" t="s">
        <v>5135</v>
      </c>
      <c r="D1107" t="s">
        <v>4363</v>
      </c>
      <c r="E1107">
        <v>31</v>
      </c>
      <c r="F1107" t="s">
        <v>6468</v>
      </c>
      <c r="G1107">
        <v>9233923075</v>
      </c>
      <c r="H1107" t="s">
        <v>4365</v>
      </c>
      <c r="I1107" t="s">
        <v>4366</v>
      </c>
      <c r="J1107" t="s">
        <v>4367</v>
      </c>
      <c r="K1107">
        <v>2.1</v>
      </c>
      <c r="M1107">
        <v>3</v>
      </c>
      <c r="N1107" t="s">
        <v>4368</v>
      </c>
      <c r="O1107" t="s">
        <v>4485</v>
      </c>
      <c r="P1107" s="1">
        <v>45843</v>
      </c>
      <c r="Q1107" t="str">
        <f t="shared" si="68"/>
        <v>10+ Years</v>
      </c>
      <c r="R1107" t="str">
        <f>IF(Table7[[#This Row],[Age]]&lt;=25,"20-25",IF(Table7[[#This Row],[Age]]&lt;=30,"26-30",IF(Table7[[#This Row],[Age]]&lt;=35,"31-35","36+")))</f>
        <v>31-35</v>
      </c>
      <c r="S1107" t="str">
        <f t="shared" si="69"/>
        <v>July</v>
      </c>
      <c r="T1107" s="2" t="str">
        <f t="shared" si="70"/>
        <v>Q3</v>
      </c>
      <c r="U1107" s="2">
        <f t="shared" si="71"/>
        <v>2025</v>
      </c>
    </row>
    <row r="1108" spans="1:21" x14ac:dyDescent="0.3">
      <c r="A1108" t="s">
        <v>3241</v>
      </c>
      <c r="B1108" t="s">
        <v>5640</v>
      </c>
      <c r="C1108" t="s">
        <v>6469</v>
      </c>
      <c r="D1108" t="s">
        <v>4363</v>
      </c>
      <c r="E1108">
        <v>22</v>
      </c>
      <c r="F1108" t="s">
        <v>6470</v>
      </c>
      <c r="G1108">
        <v>9704591593</v>
      </c>
      <c r="H1108" t="s">
        <v>4404</v>
      </c>
      <c r="I1108" t="s">
        <v>4405</v>
      </c>
      <c r="J1108" t="s">
        <v>4450</v>
      </c>
      <c r="K1108">
        <v>13.5</v>
      </c>
      <c r="L1108">
        <v>21.9</v>
      </c>
      <c r="M1108">
        <v>31</v>
      </c>
      <c r="N1108" t="s">
        <v>4390</v>
      </c>
      <c r="O1108" t="s">
        <v>4391</v>
      </c>
      <c r="P1108" s="1">
        <v>45782</v>
      </c>
      <c r="Q1108" t="str">
        <f t="shared" si="68"/>
        <v>10+ Years</v>
      </c>
      <c r="R1108" t="str">
        <f>IF(Table7[[#This Row],[Age]]&lt;=25,"20-25",IF(Table7[[#This Row],[Age]]&lt;=30,"26-30",IF(Table7[[#This Row],[Age]]&lt;=35,"31-35","36+")))</f>
        <v>20-25</v>
      </c>
      <c r="S1108" t="str">
        <f t="shared" si="69"/>
        <v>May</v>
      </c>
      <c r="T1108" s="2" t="str">
        <f t="shared" si="70"/>
        <v>Q2</v>
      </c>
      <c r="U1108" s="2">
        <f t="shared" si="71"/>
        <v>2025</v>
      </c>
    </row>
    <row r="1109" spans="1:21" x14ac:dyDescent="0.3">
      <c r="A1109" t="s">
        <v>716</v>
      </c>
      <c r="B1109" t="s">
        <v>6471</v>
      </c>
      <c r="C1109" t="s">
        <v>6472</v>
      </c>
      <c r="D1109" t="s">
        <v>4372</v>
      </c>
      <c r="E1109">
        <v>35</v>
      </c>
      <c r="F1109" t="s">
        <v>6473</v>
      </c>
      <c r="G1109">
        <v>9320590561</v>
      </c>
      <c r="H1109" t="s">
        <v>4506</v>
      </c>
      <c r="I1109" t="s">
        <v>4507</v>
      </c>
      <c r="J1109" t="s">
        <v>4446</v>
      </c>
      <c r="K1109">
        <v>0.2</v>
      </c>
      <c r="L1109">
        <v>5.6</v>
      </c>
      <c r="M1109">
        <v>7</v>
      </c>
      <c r="N1109" t="s">
        <v>4494</v>
      </c>
      <c r="O1109" t="s">
        <v>4369</v>
      </c>
      <c r="P1109" s="1">
        <v>45935</v>
      </c>
      <c r="Q1109" t="str">
        <f t="shared" si="68"/>
        <v>10+ Years</v>
      </c>
      <c r="R1109" t="str">
        <f>IF(Table7[[#This Row],[Age]]&lt;=25,"20-25",IF(Table7[[#This Row],[Age]]&lt;=30,"26-30",IF(Table7[[#This Row],[Age]]&lt;=35,"31-35","36+")))</f>
        <v>31-35</v>
      </c>
      <c r="S1109" t="str">
        <f t="shared" si="69"/>
        <v>October</v>
      </c>
      <c r="T1109" s="2" t="str">
        <f t="shared" si="70"/>
        <v>Q4</v>
      </c>
      <c r="U1109" s="2">
        <f t="shared" si="71"/>
        <v>2025</v>
      </c>
    </row>
    <row r="1110" spans="1:21" x14ac:dyDescent="0.3">
      <c r="A1110" t="s">
        <v>3545</v>
      </c>
      <c r="B1110" t="s">
        <v>4460</v>
      </c>
      <c r="C1110" t="s">
        <v>5897</v>
      </c>
      <c r="D1110" t="s">
        <v>4372</v>
      </c>
      <c r="E1110">
        <v>36</v>
      </c>
      <c r="F1110" t="s">
        <v>6474</v>
      </c>
      <c r="G1110">
        <v>9483560788</v>
      </c>
      <c r="H1110" t="s">
        <v>4381</v>
      </c>
      <c r="I1110" t="s">
        <v>4382</v>
      </c>
      <c r="J1110" t="s">
        <v>4618</v>
      </c>
      <c r="K1110">
        <v>3.5</v>
      </c>
      <c r="L1110">
        <v>10.199999999999999</v>
      </c>
      <c r="M1110">
        <v>14.6</v>
      </c>
      <c r="N1110" t="s">
        <v>4390</v>
      </c>
      <c r="O1110" t="s">
        <v>4383</v>
      </c>
      <c r="P1110" s="1">
        <v>45759</v>
      </c>
      <c r="Q1110" t="str">
        <f t="shared" si="68"/>
        <v>10+ Years</v>
      </c>
      <c r="R1110" t="str">
        <f>IF(Table7[[#This Row],[Age]]&lt;=25,"20-25",IF(Table7[[#This Row],[Age]]&lt;=30,"26-30",IF(Table7[[#This Row],[Age]]&lt;=35,"31-35","36+")))</f>
        <v>36+</v>
      </c>
      <c r="S1110" t="str">
        <f t="shared" si="69"/>
        <v>April</v>
      </c>
      <c r="T1110" s="2" t="str">
        <f t="shared" si="70"/>
        <v>Q2</v>
      </c>
      <c r="U1110" s="2">
        <f t="shared" si="71"/>
        <v>2025</v>
      </c>
    </row>
    <row r="1111" spans="1:21" x14ac:dyDescent="0.3">
      <c r="A1111" t="s">
        <v>813</v>
      </c>
      <c r="B1111" t="s">
        <v>5467</v>
      </c>
      <c r="C1111" t="s">
        <v>6475</v>
      </c>
      <c r="D1111" t="s">
        <v>4363</v>
      </c>
      <c r="E1111">
        <v>25</v>
      </c>
      <c r="F1111" t="s">
        <v>6476</v>
      </c>
      <c r="G1111">
        <v>9459228189</v>
      </c>
      <c r="H1111" t="s">
        <v>4473</v>
      </c>
      <c r="I1111" t="s">
        <v>4473</v>
      </c>
      <c r="J1111" t="s">
        <v>4389</v>
      </c>
      <c r="K1111">
        <v>14</v>
      </c>
      <c r="L1111">
        <v>22.3</v>
      </c>
      <c r="M1111">
        <v>28</v>
      </c>
      <c r="N1111" t="s">
        <v>4368</v>
      </c>
      <c r="O1111" t="s">
        <v>4369</v>
      </c>
      <c r="P1111" s="1">
        <v>45766</v>
      </c>
      <c r="Q1111" t="str">
        <f t="shared" si="68"/>
        <v>10+ Years</v>
      </c>
      <c r="R1111" t="str">
        <f>IF(Table7[[#This Row],[Age]]&lt;=25,"20-25",IF(Table7[[#This Row],[Age]]&lt;=30,"26-30",IF(Table7[[#This Row],[Age]]&lt;=35,"31-35","36+")))</f>
        <v>20-25</v>
      </c>
      <c r="S1111" t="str">
        <f t="shared" si="69"/>
        <v>April</v>
      </c>
      <c r="T1111" s="2" t="str">
        <f t="shared" si="70"/>
        <v>Q2</v>
      </c>
      <c r="U1111" s="2">
        <f t="shared" si="71"/>
        <v>2025</v>
      </c>
    </row>
    <row r="1112" spans="1:21" x14ac:dyDescent="0.3">
      <c r="A1112" t="s">
        <v>535</v>
      </c>
      <c r="B1112" t="s">
        <v>6477</v>
      </c>
      <c r="C1112" t="s">
        <v>5032</v>
      </c>
      <c r="D1112" t="s">
        <v>4372</v>
      </c>
      <c r="E1112">
        <v>29</v>
      </c>
      <c r="F1112" t="s">
        <v>6478</v>
      </c>
      <c r="G1112">
        <v>9814249392</v>
      </c>
      <c r="H1112" t="s">
        <v>4410</v>
      </c>
      <c r="I1112" t="s">
        <v>4411</v>
      </c>
      <c r="K1112">
        <v>5.0999999999999996</v>
      </c>
      <c r="L1112">
        <v>9.1999999999999993</v>
      </c>
      <c r="M1112">
        <v>13.1</v>
      </c>
      <c r="N1112" t="s">
        <v>4494</v>
      </c>
      <c r="O1112" t="s">
        <v>4456</v>
      </c>
      <c r="P1112" s="1">
        <v>45880</v>
      </c>
      <c r="Q1112" t="str">
        <f t="shared" si="68"/>
        <v>10+ Years</v>
      </c>
      <c r="R1112" t="str">
        <f>IF(Table7[[#This Row],[Age]]&lt;=25,"20-25",IF(Table7[[#This Row],[Age]]&lt;=30,"26-30",IF(Table7[[#This Row],[Age]]&lt;=35,"31-35","36+")))</f>
        <v>26-30</v>
      </c>
      <c r="S1112" t="str">
        <f t="shared" si="69"/>
        <v>August</v>
      </c>
      <c r="T1112" s="2" t="str">
        <f t="shared" si="70"/>
        <v>Q3</v>
      </c>
      <c r="U1112" s="2">
        <f t="shared" si="71"/>
        <v>2025</v>
      </c>
    </row>
    <row r="1113" spans="1:21" x14ac:dyDescent="0.3">
      <c r="A1113" t="s">
        <v>367</v>
      </c>
      <c r="B1113" t="s">
        <v>6290</v>
      </c>
      <c r="C1113" t="s">
        <v>5833</v>
      </c>
      <c r="D1113" t="s">
        <v>4372</v>
      </c>
      <c r="E1113">
        <v>27</v>
      </c>
      <c r="F1113" t="s">
        <v>6479</v>
      </c>
      <c r="G1113">
        <v>9376361053</v>
      </c>
      <c r="H1113" t="s">
        <v>4365</v>
      </c>
      <c r="I1113" t="s">
        <v>4366</v>
      </c>
      <c r="J1113" t="s">
        <v>4376</v>
      </c>
      <c r="K1113">
        <v>1.9</v>
      </c>
      <c r="L1113">
        <v>8.3000000000000007</v>
      </c>
      <c r="M1113">
        <v>9.9</v>
      </c>
      <c r="N1113" t="s">
        <v>4368</v>
      </c>
      <c r="O1113" t="s">
        <v>4400</v>
      </c>
      <c r="P1113" s="1">
        <v>45937</v>
      </c>
      <c r="Q1113" t="str">
        <f t="shared" si="68"/>
        <v>10+ Years</v>
      </c>
      <c r="R1113" t="str">
        <f>IF(Table7[[#This Row],[Age]]&lt;=25,"20-25",IF(Table7[[#This Row],[Age]]&lt;=30,"26-30",IF(Table7[[#This Row],[Age]]&lt;=35,"31-35","36+")))</f>
        <v>26-30</v>
      </c>
      <c r="S1113" t="str">
        <f t="shared" si="69"/>
        <v>October</v>
      </c>
      <c r="T1113" s="2" t="str">
        <f t="shared" si="70"/>
        <v>Q4</v>
      </c>
      <c r="U1113" s="2">
        <f t="shared" si="71"/>
        <v>2025</v>
      </c>
    </row>
    <row r="1114" spans="1:21" x14ac:dyDescent="0.3">
      <c r="A1114" t="s">
        <v>392</v>
      </c>
      <c r="B1114" t="s">
        <v>4565</v>
      </c>
      <c r="C1114" t="s">
        <v>4705</v>
      </c>
      <c r="D1114" t="s">
        <v>4363</v>
      </c>
      <c r="E1114">
        <v>25</v>
      </c>
      <c r="F1114" t="s">
        <v>6480</v>
      </c>
      <c r="G1114">
        <v>9212577299</v>
      </c>
      <c r="H1114" t="s">
        <v>4491</v>
      </c>
      <c r="I1114" t="s">
        <v>4491</v>
      </c>
      <c r="J1114" t="s">
        <v>4389</v>
      </c>
      <c r="K1114">
        <v>6.8</v>
      </c>
      <c r="L1114">
        <v>15.2</v>
      </c>
      <c r="M1114">
        <v>18.7</v>
      </c>
      <c r="N1114" t="s">
        <v>4390</v>
      </c>
      <c r="O1114" t="s">
        <v>4391</v>
      </c>
      <c r="P1114" s="1">
        <v>45908</v>
      </c>
      <c r="Q1114" t="str">
        <f t="shared" si="68"/>
        <v>10+ Years</v>
      </c>
      <c r="R1114" t="str">
        <f>IF(Table7[[#This Row],[Age]]&lt;=25,"20-25",IF(Table7[[#This Row],[Age]]&lt;=30,"26-30",IF(Table7[[#This Row],[Age]]&lt;=35,"31-35","36+")))</f>
        <v>20-25</v>
      </c>
      <c r="S1114" t="str">
        <f t="shared" si="69"/>
        <v>September</v>
      </c>
      <c r="T1114" s="2" t="str">
        <f t="shared" si="70"/>
        <v>Q3</v>
      </c>
      <c r="U1114" s="2">
        <f t="shared" si="71"/>
        <v>2025</v>
      </c>
    </row>
    <row r="1115" spans="1:21" x14ac:dyDescent="0.3">
      <c r="A1115" t="s">
        <v>1230</v>
      </c>
      <c r="B1115" t="s">
        <v>4545</v>
      </c>
      <c r="C1115" t="s">
        <v>6481</v>
      </c>
      <c r="D1115" t="s">
        <v>4372</v>
      </c>
      <c r="E1115">
        <v>28</v>
      </c>
      <c r="F1115" t="s">
        <v>6482</v>
      </c>
      <c r="G1115">
        <v>9842819075</v>
      </c>
      <c r="H1115" t="s">
        <v>4506</v>
      </c>
      <c r="I1115" t="s">
        <v>4507</v>
      </c>
      <c r="J1115" t="s">
        <v>4367</v>
      </c>
      <c r="K1115">
        <v>1.1000000000000001</v>
      </c>
      <c r="L1115">
        <v>6.4</v>
      </c>
      <c r="M1115">
        <v>7.7</v>
      </c>
      <c r="N1115" t="s">
        <v>4368</v>
      </c>
      <c r="O1115" t="s">
        <v>4391</v>
      </c>
      <c r="P1115" s="1">
        <v>45718</v>
      </c>
      <c r="Q1115" t="str">
        <f t="shared" si="68"/>
        <v>10+ Years</v>
      </c>
      <c r="R1115" t="str">
        <f>IF(Table7[[#This Row],[Age]]&lt;=25,"20-25",IF(Table7[[#This Row],[Age]]&lt;=30,"26-30",IF(Table7[[#This Row],[Age]]&lt;=35,"31-35","36+")))</f>
        <v>26-30</v>
      </c>
      <c r="S1115" t="str">
        <f t="shared" si="69"/>
        <v>March</v>
      </c>
      <c r="T1115" s="2" t="str">
        <f t="shared" si="70"/>
        <v>Q1</v>
      </c>
      <c r="U1115" s="2">
        <f t="shared" si="71"/>
        <v>2025</v>
      </c>
    </row>
    <row r="1116" spans="1:21" x14ac:dyDescent="0.3">
      <c r="A1116" t="s">
        <v>6483</v>
      </c>
      <c r="B1116" t="s">
        <v>4566</v>
      </c>
      <c r="C1116" t="s">
        <v>4642</v>
      </c>
      <c r="D1116" t="s">
        <v>4372</v>
      </c>
      <c r="E1116">
        <v>26</v>
      </c>
      <c r="F1116" t="s">
        <v>6484</v>
      </c>
      <c r="G1116">
        <v>9829899807</v>
      </c>
      <c r="H1116" t="s">
        <v>4491</v>
      </c>
      <c r="I1116" t="s">
        <v>4491</v>
      </c>
      <c r="J1116" t="s">
        <v>4367</v>
      </c>
      <c r="K1116">
        <v>1.4</v>
      </c>
      <c r="L1116">
        <v>11.8</v>
      </c>
      <c r="M1116">
        <v>15.7</v>
      </c>
      <c r="N1116" t="s">
        <v>4390</v>
      </c>
      <c r="O1116" t="s">
        <v>4400</v>
      </c>
      <c r="P1116" s="1">
        <v>45942</v>
      </c>
      <c r="Q1116" t="str">
        <f t="shared" si="68"/>
        <v>10+ Years</v>
      </c>
      <c r="R1116" t="str">
        <f>IF(Table7[[#This Row],[Age]]&lt;=25,"20-25",IF(Table7[[#This Row],[Age]]&lt;=30,"26-30",IF(Table7[[#This Row],[Age]]&lt;=35,"31-35","36+")))</f>
        <v>26-30</v>
      </c>
      <c r="S1116" t="str">
        <f t="shared" si="69"/>
        <v>October</v>
      </c>
      <c r="T1116" s="2" t="str">
        <f t="shared" si="70"/>
        <v>Q4</v>
      </c>
      <c r="U1116" s="2">
        <f t="shared" si="71"/>
        <v>2025</v>
      </c>
    </row>
    <row r="1117" spans="1:21" x14ac:dyDescent="0.3">
      <c r="A1117" t="s">
        <v>1194</v>
      </c>
      <c r="B1117" t="s">
        <v>5879</v>
      </c>
      <c r="C1117" t="s">
        <v>4642</v>
      </c>
      <c r="D1117" t="s">
        <v>4372</v>
      </c>
      <c r="E1117">
        <v>30</v>
      </c>
      <c r="F1117" t="s">
        <v>6485</v>
      </c>
      <c r="G1117">
        <v>9848181743</v>
      </c>
      <c r="H1117" t="s">
        <v>4473</v>
      </c>
      <c r="I1117" t="s">
        <v>4473</v>
      </c>
      <c r="J1117" t="s">
        <v>4482</v>
      </c>
      <c r="K1117">
        <v>4.0999999999999996</v>
      </c>
      <c r="L1117">
        <v>11.5</v>
      </c>
      <c r="M1117">
        <v>15.2</v>
      </c>
      <c r="N1117" t="s">
        <v>4390</v>
      </c>
      <c r="O1117" t="s">
        <v>4485</v>
      </c>
      <c r="P1117" s="1">
        <v>45881</v>
      </c>
      <c r="Q1117" t="str">
        <f t="shared" si="68"/>
        <v>10+ Years</v>
      </c>
      <c r="R1117" t="str">
        <f>IF(Table7[[#This Row],[Age]]&lt;=25,"20-25",IF(Table7[[#This Row],[Age]]&lt;=30,"26-30",IF(Table7[[#This Row],[Age]]&lt;=35,"31-35","36+")))</f>
        <v>26-30</v>
      </c>
      <c r="S1117" t="str">
        <f t="shared" si="69"/>
        <v>August</v>
      </c>
      <c r="T1117" s="2" t="str">
        <f t="shared" si="70"/>
        <v>Q3</v>
      </c>
      <c r="U1117" s="2">
        <f t="shared" si="71"/>
        <v>2025</v>
      </c>
    </row>
    <row r="1118" spans="1:21" x14ac:dyDescent="0.3">
      <c r="A1118" t="s">
        <v>851</v>
      </c>
      <c r="B1118" t="s">
        <v>4810</v>
      </c>
      <c r="C1118" t="s">
        <v>4833</v>
      </c>
      <c r="D1118" t="s">
        <v>4372</v>
      </c>
      <c r="E1118">
        <v>30</v>
      </c>
      <c r="F1118" t="s">
        <v>6486</v>
      </c>
      <c r="G1118">
        <v>9494245245</v>
      </c>
      <c r="H1118" t="s">
        <v>4395</v>
      </c>
      <c r="I1118" t="s">
        <v>4396</v>
      </c>
      <c r="J1118" t="s">
        <v>4367</v>
      </c>
      <c r="K1118">
        <v>12.2</v>
      </c>
      <c r="L1118">
        <v>22.2</v>
      </c>
      <c r="M1118">
        <v>26.8</v>
      </c>
      <c r="N1118" t="s">
        <v>4377</v>
      </c>
      <c r="O1118" t="s">
        <v>4391</v>
      </c>
      <c r="P1118" s="1">
        <v>45826</v>
      </c>
      <c r="Q1118" t="str">
        <f t="shared" si="68"/>
        <v>10+ Years</v>
      </c>
      <c r="R1118" t="str">
        <f>IF(Table7[[#This Row],[Age]]&lt;=25,"20-25",IF(Table7[[#This Row],[Age]]&lt;=30,"26-30",IF(Table7[[#This Row],[Age]]&lt;=35,"31-35","36+")))</f>
        <v>26-30</v>
      </c>
      <c r="S1118" t="str">
        <f t="shared" si="69"/>
        <v>June</v>
      </c>
      <c r="T1118" s="2" t="str">
        <f t="shared" si="70"/>
        <v>Q2</v>
      </c>
      <c r="U1118" s="2">
        <f t="shared" si="71"/>
        <v>2025</v>
      </c>
    </row>
    <row r="1119" spans="1:21" x14ac:dyDescent="0.3">
      <c r="A1119" t="s">
        <v>2781</v>
      </c>
      <c r="B1119" t="s">
        <v>4461</v>
      </c>
      <c r="C1119" t="s">
        <v>4655</v>
      </c>
      <c r="D1119" t="s">
        <v>4372</v>
      </c>
      <c r="E1119">
        <v>27</v>
      </c>
      <c r="F1119" t="s">
        <v>6487</v>
      </c>
      <c r="G1119">
        <v>9194395177</v>
      </c>
      <c r="H1119" t="s">
        <v>4454</v>
      </c>
      <c r="I1119" t="s">
        <v>4455</v>
      </c>
      <c r="J1119" t="s">
        <v>4389</v>
      </c>
      <c r="K1119">
        <v>0.8</v>
      </c>
      <c r="L1119">
        <v>4.2</v>
      </c>
      <c r="M1119">
        <v>5.2</v>
      </c>
      <c r="N1119" t="s">
        <v>4368</v>
      </c>
      <c r="O1119" t="s">
        <v>4383</v>
      </c>
      <c r="P1119" s="1">
        <v>45784</v>
      </c>
      <c r="Q1119" t="str">
        <f t="shared" si="68"/>
        <v>10+ Years</v>
      </c>
      <c r="R1119" t="str">
        <f>IF(Table7[[#This Row],[Age]]&lt;=25,"20-25",IF(Table7[[#This Row],[Age]]&lt;=30,"26-30",IF(Table7[[#This Row],[Age]]&lt;=35,"31-35","36+")))</f>
        <v>26-30</v>
      </c>
      <c r="S1119" t="str">
        <f t="shared" si="69"/>
        <v>May</v>
      </c>
      <c r="T1119" s="2" t="str">
        <f t="shared" si="70"/>
        <v>Q2</v>
      </c>
      <c r="U1119" s="2">
        <f t="shared" si="71"/>
        <v>2025</v>
      </c>
    </row>
    <row r="1120" spans="1:21" x14ac:dyDescent="0.3">
      <c r="A1120" t="s">
        <v>2014</v>
      </c>
      <c r="B1120" t="s">
        <v>4514</v>
      </c>
      <c r="C1120" t="s">
        <v>5359</v>
      </c>
      <c r="D1120" t="s">
        <v>4363</v>
      </c>
      <c r="E1120">
        <v>27</v>
      </c>
      <c r="F1120" t="s">
        <v>6488</v>
      </c>
      <c r="G1120">
        <v>9917024068</v>
      </c>
      <c r="H1120" t="s">
        <v>4491</v>
      </c>
      <c r="I1120" t="s">
        <v>4491</v>
      </c>
      <c r="J1120" t="s">
        <v>4415</v>
      </c>
      <c r="K1120">
        <v>3.9</v>
      </c>
      <c r="L1120">
        <v>9.5</v>
      </c>
      <c r="M1120">
        <v>11.2</v>
      </c>
      <c r="N1120" t="s">
        <v>4390</v>
      </c>
      <c r="O1120" t="s">
        <v>4391</v>
      </c>
      <c r="P1120" s="1">
        <v>45952</v>
      </c>
      <c r="Q1120" t="str">
        <f t="shared" si="68"/>
        <v>10+ Years</v>
      </c>
      <c r="R1120" t="str">
        <f>IF(Table7[[#This Row],[Age]]&lt;=25,"20-25",IF(Table7[[#This Row],[Age]]&lt;=30,"26-30",IF(Table7[[#This Row],[Age]]&lt;=35,"31-35","36+")))</f>
        <v>26-30</v>
      </c>
      <c r="S1120" t="str">
        <f t="shared" si="69"/>
        <v>October</v>
      </c>
      <c r="T1120" s="2" t="str">
        <f t="shared" si="70"/>
        <v>Q4</v>
      </c>
      <c r="U1120" s="2">
        <f t="shared" si="71"/>
        <v>2025</v>
      </c>
    </row>
    <row r="1121" spans="1:21" x14ac:dyDescent="0.3">
      <c r="A1121" t="s">
        <v>1069</v>
      </c>
      <c r="B1121" t="s">
        <v>5046</v>
      </c>
      <c r="C1121" t="s">
        <v>6489</v>
      </c>
      <c r="D1121" t="s">
        <v>4363</v>
      </c>
      <c r="E1121">
        <v>26</v>
      </c>
      <c r="F1121" t="s">
        <v>6490</v>
      </c>
      <c r="G1121">
        <v>9406711094</v>
      </c>
      <c r="H1121" t="s">
        <v>4395</v>
      </c>
      <c r="I1121" t="s">
        <v>4396</v>
      </c>
      <c r="J1121" t="s">
        <v>4367</v>
      </c>
      <c r="K1121">
        <v>1.4</v>
      </c>
      <c r="L1121">
        <v>7.7</v>
      </c>
      <c r="M1121">
        <v>11</v>
      </c>
      <c r="N1121" t="s">
        <v>4377</v>
      </c>
      <c r="O1121" t="s">
        <v>4391</v>
      </c>
      <c r="P1121" s="1">
        <v>45735</v>
      </c>
      <c r="Q1121" t="str">
        <f t="shared" si="68"/>
        <v>10+ Years</v>
      </c>
      <c r="R1121" t="str">
        <f>IF(Table7[[#This Row],[Age]]&lt;=25,"20-25",IF(Table7[[#This Row],[Age]]&lt;=30,"26-30",IF(Table7[[#This Row],[Age]]&lt;=35,"31-35","36+")))</f>
        <v>26-30</v>
      </c>
      <c r="S1121" t="str">
        <f t="shared" si="69"/>
        <v>March</v>
      </c>
      <c r="T1121" s="2" t="str">
        <f t="shared" si="70"/>
        <v>Q1</v>
      </c>
      <c r="U1121" s="2">
        <f t="shared" si="71"/>
        <v>2025</v>
      </c>
    </row>
    <row r="1122" spans="1:21" x14ac:dyDescent="0.3">
      <c r="A1122" t="s">
        <v>229</v>
      </c>
      <c r="B1122" t="s">
        <v>4727</v>
      </c>
      <c r="C1122" t="s">
        <v>5240</v>
      </c>
      <c r="D1122" t="s">
        <v>4363</v>
      </c>
      <c r="E1122">
        <v>35</v>
      </c>
      <c r="F1122" t="s">
        <v>6491</v>
      </c>
      <c r="G1122">
        <v>9847146456</v>
      </c>
      <c r="H1122" t="s">
        <v>4454</v>
      </c>
      <c r="I1122" t="s">
        <v>4455</v>
      </c>
      <c r="J1122" t="s">
        <v>4618</v>
      </c>
      <c r="K1122">
        <v>3.8</v>
      </c>
      <c r="L1122">
        <v>17</v>
      </c>
      <c r="M1122">
        <v>20.7</v>
      </c>
      <c r="N1122" t="s">
        <v>4390</v>
      </c>
      <c r="O1122" t="s">
        <v>4485</v>
      </c>
      <c r="P1122" s="1">
        <v>45759</v>
      </c>
      <c r="Q1122" t="str">
        <f t="shared" si="68"/>
        <v>10+ Years</v>
      </c>
      <c r="R1122" t="str">
        <f>IF(Table7[[#This Row],[Age]]&lt;=25,"20-25",IF(Table7[[#This Row],[Age]]&lt;=30,"26-30",IF(Table7[[#This Row],[Age]]&lt;=35,"31-35","36+")))</f>
        <v>31-35</v>
      </c>
      <c r="S1122" t="str">
        <f t="shared" si="69"/>
        <v>April</v>
      </c>
      <c r="T1122" s="2" t="str">
        <f t="shared" si="70"/>
        <v>Q2</v>
      </c>
      <c r="U1122" s="2">
        <f t="shared" si="71"/>
        <v>2025</v>
      </c>
    </row>
    <row r="1123" spans="1:21" x14ac:dyDescent="0.3">
      <c r="A1123" t="s">
        <v>3983</v>
      </c>
      <c r="B1123" t="s">
        <v>5204</v>
      </c>
      <c r="C1123" t="s">
        <v>6492</v>
      </c>
      <c r="D1123" t="s">
        <v>4372</v>
      </c>
      <c r="E1123">
        <v>31</v>
      </c>
      <c r="F1123" t="s">
        <v>6493</v>
      </c>
      <c r="G1123">
        <v>9817890982</v>
      </c>
      <c r="H1123" t="s">
        <v>4410</v>
      </c>
      <c r="I1123" t="s">
        <v>4411</v>
      </c>
      <c r="J1123" t="s">
        <v>4367</v>
      </c>
      <c r="K1123">
        <v>0.6</v>
      </c>
      <c r="L1123">
        <v>5.9</v>
      </c>
      <c r="M1123">
        <v>7.6</v>
      </c>
      <c r="N1123" t="s">
        <v>4406</v>
      </c>
      <c r="O1123" t="s">
        <v>4400</v>
      </c>
      <c r="P1123" s="1">
        <v>45878</v>
      </c>
      <c r="Q1123" t="str">
        <f t="shared" si="68"/>
        <v>10+ Years</v>
      </c>
      <c r="R1123" t="str">
        <f>IF(Table7[[#This Row],[Age]]&lt;=25,"20-25",IF(Table7[[#This Row],[Age]]&lt;=30,"26-30",IF(Table7[[#This Row],[Age]]&lt;=35,"31-35","36+")))</f>
        <v>31-35</v>
      </c>
      <c r="S1123" t="str">
        <f t="shared" si="69"/>
        <v>August</v>
      </c>
      <c r="T1123" s="2" t="str">
        <f t="shared" si="70"/>
        <v>Q3</v>
      </c>
      <c r="U1123" s="2">
        <f t="shared" si="71"/>
        <v>2025</v>
      </c>
    </row>
    <row r="1124" spans="1:21" x14ac:dyDescent="0.3">
      <c r="A1124" t="s">
        <v>31</v>
      </c>
      <c r="B1124" t="s">
        <v>6494</v>
      </c>
      <c r="C1124" t="s">
        <v>4398</v>
      </c>
      <c r="D1124" t="s">
        <v>4372</v>
      </c>
      <c r="E1124">
        <v>30</v>
      </c>
      <c r="F1124" t="s">
        <v>6495</v>
      </c>
      <c r="G1124">
        <v>9818966481</v>
      </c>
      <c r="H1124" t="s">
        <v>4454</v>
      </c>
      <c r="I1124" t="s">
        <v>4455</v>
      </c>
      <c r="J1124" t="s">
        <v>4618</v>
      </c>
      <c r="K1124">
        <v>1.8</v>
      </c>
      <c r="L1124">
        <v>8.6999999999999993</v>
      </c>
      <c r="M1124">
        <v>11.4</v>
      </c>
      <c r="N1124" t="s">
        <v>4390</v>
      </c>
      <c r="O1124" t="s">
        <v>4419</v>
      </c>
      <c r="P1124" s="1">
        <v>45831</v>
      </c>
      <c r="Q1124" t="str">
        <f t="shared" si="68"/>
        <v>10+ Years</v>
      </c>
      <c r="R1124" t="str">
        <f>IF(Table7[[#This Row],[Age]]&lt;=25,"20-25",IF(Table7[[#This Row],[Age]]&lt;=30,"26-30",IF(Table7[[#This Row],[Age]]&lt;=35,"31-35","36+")))</f>
        <v>26-30</v>
      </c>
      <c r="S1124" t="str">
        <f t="shared" si="69"/>
        <v>June</v>
      </c>
      <c r="T1124" s="2" t="str">
        <f t="shared" si="70"/>
        <v>Q2</v>
      </c>
      <c r="U1124" s="2">
        <f t="shared" si="71"/>
        <v>2025</v>
      </c>
    </row>
    <row r="1125" spans="1:21" x14ac:dyDescent="0.3">
      <c r="A1125" t="s">
        <v>2419</v>
      </c>
      <c r="B1125" t="s">
        <v>5034</v>
      </c>
      <c r="C1125" t="s">
        <v>4434</v>
      </c>
      <c r="D1125" t="s">
        <v>4372</v>
      </c>
      <c r="E1125">
        <v>36</v>
      </c>
      <c r="F1125" t="s">
        <v>6496</v>
      </c>
      <c r="G1125">
        <v>9466595082</v>
      </c>
      <c r="H1125" t="s">
        <v>4445</v>
      </c>
      <c r="I1125" t="s">
        <v>4396</v>
      </c>
      <c r="J1125" t="s">
        <v>4376</v>
      </c>
      <c r="K1125">
        <v>2</v>
      </c>
      <c r="L1125">
        <v>12.8</v>
      </c>
      <c r="M1125">
        <v>17.3</v>
      </c>
      <c r="N1125" t="s">
        <v>4406</v>
      </c>
      <c r="O1125" t="s">
        <v>4456</v>
      </c>
      <c r="P1125" s="1">
        <v>45920</v>
      </c>
      <c r="Q1125" t="str">
        <f t="shared" si="68"/>
        <v>10+ Years</v>
      </c>
      <c r="R1125" t="str">
        <f>IF(Table7[[#This Row],[Age]]&lt;=25,"20-25",IF(Table7[[#This Row],[Age]]&lt;=30,"26-30",IF(Table7[[#This Row],[Age]]&lt;=35,"31-35","36+")))</f>
        <v>36+</v>
      </c>
      <c r="S1125" t="str">
        <f t="shared" si="69"/>
        <v>September</v>
      </c>
      <c r="T1125" s="2" t="str">
        <f t="shared" si="70"/>
        <v>Q3</v>
      </c>
      <c r="U1125" s="2">
        <f t="shared" si="71"/>
        <v>2025</v>
      </c>
    </row>
    <row r="1126" spans="1:21" x14ac:dyDescent="0.3">
      <c r="A1126" t="s">
        <v>6497</v>
      </c>
      <c r="B1126" t="s">
        <v>5147</v>
      </c>
      <c r="C1126" t="s">
        <v>6498</v>
      </c>
      <c r="D1126" t="s">
        <v>4363</v>
      </c>
      <c r="E1126">
        <v>32</v>
      </c>
      <c r="F1126" t="s">
        <v>6499</v>
      </c>
      <c r="G1126">
        <v>9164853681</v>
      </c>
      <c r="H1126" t="s">
        <v>4521</v>
      </c>
      <c r="I1126" t="s">
        <v>4522</v>
      </c>
      <c r="J1126" t="s">
        <v>4482</v>
      </c>
      <c r="K1126">
        <v>1.6</v>
      </c>
      <c r="L1126">
        <v>10.7</v>
      </c>
      <c r="M1126">
        <v>12.5</v>
      </c>
      <c r="N1126" t="s">
        <v>4390</v>
      </c>
      <c r="O1126" t="s">
        <v>4391</v>
      </c>
      <c r="P1126" s="1">
        <v>45898</v>
      </c>
      <c r="Q1126" t="str">
        <f t="shared" si="68"/>
        <v>10+ Years</v>
      </c>
      <c r="R1126" t="str">
        <f>IF(Table7[[#This Row],[Age]]&lt;=25,"20-25",IF(Table7[[#This Row],[Age]]&lt;=30,"26-30",IF(Table7[[#This Row],[Age]]&lt;=35,"31-35","36+")))</f>
        <v>31-35</v>
      </c>
      <c r="S1126" t="str">
        <f t="shared" si="69"/>
        <v>August</v>
      </c>
      <c r="T1126" s="2" t="str">
        <f t="shared" si="70"/>
        <v>Q3</v>
      </c>
      <c r="U1126" s="2">
        <f t="shared" si="71"/>
        <v>2025</v>
      </c>
    </row>
    <row r="1127" spans="1:21" x14ac:dyDescent="0.3">
      <c r="A1127" t="s">
        <v>6500</v>
      </c>
      <c r="B1127" t="s">
        <v>5518</v>
      </c>
      <c r="C1127" t="s">
        <v>6501</v>
      </c>
      <c r="D1127" t="s">
        <v>4372</v>
      </c>
      <c r="E1127">
        <v>30</v>
      </c>
      <c r="F1127" t="s">
        <v>6502</v>
      </c>
      <c r="G1127">
        <v>9220724975</v>
      </c>
      <c r="H1127" t="s">
        <v>4454</v>
      </c>
      <c r="I1127" t="s">
        <v>4455</v>
      </c>
      <c r="J1127" t="s">
        <v>4415</v>
      </c>
      <c r="K1127">
        <v>20</v>
      </c>
      <c r="L1127">
        <v>25.9</v>
      </c>
      <c r="M1127">
        <v>31.9</v>
      </c>
      <c r="N1127" t="s">
        <v>4390</v>
      </c>
      <c r="O1127" t="s">
        <v>4456</v>
      </c>
      <c r="P1127" s="1">
        <v>45939</v>
      </c>
      <c r="Q1127" t="str">
        <f t="shared" si="68"/>
        <v>10+ Years</v>
      </c>
      <c r="R1127" t="str">
        <f>IF(Table7[[#This Row],[Age]]&lt;=25,"20-25",IF(Table7[[#This Row],[Age]]&lt;=30,"26-30",IF(Table7[[#This Row],[Age]]&lt;=35,"31-35","36+")))</f>
        <v>26-30</v>
      </c>
      <c r="S1127" t="str">
        <f t="shared" si="69"/>
        <v>October</v>
      </c>
      <c r="T1127" s="2" t="str">
        <f t="shared" si="70"/>
        <v>Q4</v>
      </c>
      <c r="U1127" s="2">
        <f t="shared" si="71"/>
        <v>2025</v>
      </c>
    </row>
    <row r="1128" spans="1:21" x14ac:dyDescent="0.3">
      <c r="A1128" t="s">
        <v>975</v>
      </c>
      <c r="B1128" t="s">
        <v>5491</v>
      </c>
      <c r="C1128" t="s">
        <v>4434</v>
      </c>
      <c r="D1128" t="s">
        <v>4372</v>
      </c>
      <c r="E1128">
        <v>28</v>
      </c>
      <c r="F1128" t="s">
        <v>6503</v>
      </c>
      <c r="G1128">
        <v>9862890280</v>
      </c>
      <c r="H1128" t="s">
        <v>4381</v>
      </c>
      <c r="I1128" t="s">
        <v>4382</v>
      </c>
      <c r="J1128" t="s">
        <v>4432</v>
      </c>
      <c r="K1128">
        <v>0.1</v>
      </c>
      <c r="L1128">
        <v>4.5</v>
      </c>
      <c r="M1128">
        <v>5.5</v>
      </c>
      <c r="N1128" t="s">
        <v>4406</v>
      </c>
      <c r="O1128" t="s">
        <v>4391</v>
      </c>
      <c r="P1128" s="1">
        <v>46022</v>
      </c>
      <c r="Q1128" t="str">
        <f t="shared" si="68"/>
        <v>10+ Years</v>
      </c>
      <c r="R1128" t="str">
        <f>IF(Table7[[#This Row],[Age]]&lt;=25,"20-25",IF(Table7[[#This Row],[Age]]&lt;=30,"26-30",IF(Table7[[#This Row],[Age]]&lt;=35,"31-35","36+")))</f>
        <v>26-30</v>
      </c>
      <c r="S1128" t="str">
        <f t="shared" si="69"/>
        <v>December</v>
      </c>
      <c r="T1128" s="2" t="str">
        <f t="shared" si="70"/>
        <v>Q4</v>
      </c>
      <c r="U1128" s="2">
        <f t="shared" si="71"/>
        <v>2025</v>
      </c>
    </row>
    <row r="1129" spans="1:21" x14ac:dyDescent="0.3">
      <c r="A1129" t="s">
        <v>869</v>
      </c>
      <c r="B1129" t="s">
        <v>4429</v>
      </c>
      <c r="C1129" t="s">
        <v>6350</v>
      </c>
      <c r="D1129" t="s">
        <v>4363</v>
      </c>
      <c r="E1129">
        <v>24</v>
      </c>
      <c r="F1129" t="s">
        <v>6504</v>
      </c>
      <c r="G1129">
        <v>9108454944</v>
      </c>
      <c r="H1129" t="s">
        <v>4395</v>
      </c>
      <c r="I1129" t="s">
        <v>4396</v>
      </c>
      <c r="J1129" t="s">
        <v>4389</v>
      </c>
      <c r="K1129">
        <v>1.1000000000000001</v>
      </c>
      <c r="L1129">
        <v>11.2</v>
      </c>
      <c r="M1129">
        <v>15.4</v>
      </c>
      <c r="N1129" t="s">
        <v>4368</v>
      </c>
      <c r="O1129" t="s">
        <v>4419</v>
      </c>
      <c r="P1129" s="1">
        <v>46020</v>
      </c>
      <c r="Q1129" t="str">
        <f t="shared" si="68"/>
        <v>10+ Years</v>
      </c>
      <c r="R1129" t="str">
        <f>IF(Table7[[#This Row],[Age]]&lt;=25,"20-25",IF(Table7[[#This Row],[Age]]&lt;=30,"26-30",IF(Table7[[#This Row],[Age]]&lt;=35,"31-35","36+")))</f>
        <v>20-25</v>
      </c>
      <c r="S1129" t="str">
        <f t="shared" si="69"/>
        <v>December</v>
      </c>
      <c r="T1129" s="2" t="str">
        <f t="shared" si="70"/>
        <v>Q4</v>
      </c>
      <c r="U1129" s="2">
        <f t="shared" si="71"/>
        <v>2025</v>
      </c>
    </row>
    <row r="1130" spans="1:21" x14ac:dyDescent="0.3">
      <c r="A1130" t="s">
        <v>420</v>
      </c>
      <c r="B1130" t="s">
        <v>4734</v>
      </c>
      <c r="C1130" t="s">
        <v>5448</v>
      </c>
      <c r="D1130" t="s">
        <v>4372</v>
      </c>
      <c r="E1130">
        <v>29</v>
      </c>
      <c r="F1130" t="s">
        <v>6505</v>
      </c>
      <c r="G1130">
        <v>9875030686</v>
      </c>
      <c r="H1130" t="s">
        <v>4506</v>
      </c>
      <c r="I1130" t="s">
        <v>4507</v>
      </c>
      <c r="J1130" t="s">
        <v>4618</v>
      </c>
      <c r="K1130">
        <v>0.5</v>
      </c>
      <c r="M1130">
        <v>11.4</v>
      </c>
      <c r="N1130" t="s">
        <v>4406</v>
      </c>
      <c r="O1130" t="s">
        <v>4419</v>
      </c>
      <c r="P1130" s="1">
        <v>45991</v>
      </c>
      <c r="Q1130" t="str">
        <f t="shared" si="68"/>
        <v>10+ Years</v>
      </c>
      <c r="R1130" t="str">
        <f>IF(Table7[[#This Row],[Age]]&lt;=25,"20-25",IF(Table7[[#This Row],[Age]]&lt;=30,"26-30",IF(Table7[[#This Row],[Age]]&lt;=35,"31-35","36+")))</f>
        <v>26-30</v>
      </c>
      <c r="S1130" t="str">
        <f t="shared" si="69"/>
        <v>November</v>
      </c>
      <c r="T1130" s="2" t="str">
        <f t="shared" si="70"/>
        <v>Q4</v>
      </c>
      <c r="U1130" s="2">
        <f t="shared" si="71"/>
        <v>2025</v>
      </c>
    </row>
    <row r="1131" spans="1:21" x14ac:dyDescent="0.3">
      <c r="A1131" t="s">
        <v>3181</v>
      </c>
      <c r="B1131" t="s">
        <v>4705</v>
      </c>
      <c r="C1131" t="s">
        <v>4982</v>
      </c>
      <c r="D1131" t="s">
        <v>4372</v>
      </c>
      <c r="E1131">
        <v>24</v>
      </c>
      <c r="F1131" t="s">
        <v>6506</v>
      </c>
      <c r="G1131">
        <v>9262267734</v>
      </c>
      <c r="H1131" t="s">
        <v>4374</v>
      </c>
      <c r="I1131" t="s">
        <v>4375</v>
      </c>
      <c r="J1131" t="s">
        <v>4415</v>
      </c>
      <c r="K1131">
        <v>2.1</v>
      </c>
      <c r="L1131">
        <v>4.5999999999999996</v>
      </c>
      <c r="M1131">
        <v>5.3</v>
      </c>
      <c r="N1131" t="s">
        <v>4377</v>
      </c>
      <c r="O1131" t="s">
        <v>4383</v>
      </c>
      <c r="P1131" s="1">
        <v>46013</v>
      </c>
      <c r="Q1131" t="str">
        <f t="shared" si="68"/>
        <v>10+ Years</v>
      </c>
      <c r="R1131" t="str">
        <f>IF(Table7[[#This Row],[Age]]&lt;=25,"20-25",IF(Table7[[#This Row],[Age]]&lt;=30,"26-30",IF(Table7[[#This Row],[Age]]&lt;=35,"31-35","36+")))</f>
        <v>20-25</v>
      </c>
      <c r="S1131" t="str">
        <f t="shared" si="69"/>
        <v>December</v>
      </c>
      <c r="T1131" s="2" t="str">
        <f t="shared" si="70"/>
        <v>Q4</v>
      </c>
      <c r="U1131" s="2">
        <f t="shared" si="71"/>
        <v>2025</v>
      </c>
    </row>
    <row r="1132" spans="1:21" x14ac:dyDescent="0.3">
      <c r="A1132" t="s">
        <v>1022</v>
      </c>
      <c r="B1132" t="s">
        <v>5476</v>
      </c>
      <c r="C1132" t="s">
        <v>6507</v>
      </c>
      <c r="D1132" t="s">
        <v>4372</v>
      </c>
      <c r="E1132">
        <v>29</v>
      </c>
      <c r="F1132" t="s">
        <v>6508</v>
      </c>
      <c r="G1132">
        <v>9118578080</v>
      </c>
      <c r="H1132" t="s">
        <v>4395</v>
      </c>
      <c r="I1132" t="s">
        <v>4396</v>
      </c>
      <c r="J1132" t="s">
        <v>4367</v>
      </c>
      <c r="K1132">
        <v>1</v>
      </c>
      <c r="L1132">
        <v>2.5</v>
      </c>
      <c r="M1132">
        <v>2.8</v>
      </c>
      <c r="N1132" t="s">
        <v>4390</v>
      </c>
      <c r="O1132" t="s">
        <v>4383</v>
      </c>
      <c r="P1132" s="1">
        <v>45774</v>
      </c>
      <c r="Q1132" t="str">
        <f t="shared" si="68"/>
        <v>10+ Years</v>
      </c>
      <c r="R1132" t="str">
        <f>IF(Table7[[#This Row],[Age]]&lt;=25,"20-25",IF(Table7[[#This Row],[Age]]&lt;=30,"26-30",IF(Table7[[#This Row],[Age]]&lt;=35,"31-35","36+")))</f>
        <v>26-30</v>
      </c>
      <c r="S1132" t="str">
        <f t="shared" si="69"/>
        <v>April</v>
      </c>
      <c r="T1132" s="2" t="str">
        <f t="shared" si="70"/>
        <v>Q2</v>
      </c>
      <c r="U1132" s="2">
        <f t="shared" si="71"/>
        <v>2025</v>
      </c>
    </row>
    <row r="1133" spans="1:21" x14ac:dyDescent="0.3">
      <c r="A1133" t="s">
        <v>1300</v>
      </c>
      <c r="B1133" t="s">
        <v>4566</v>
      </c>
      <c r="C1133" t="s">
        <v>4561</v>
      </c>
      <c r="D1133" t="s">
        <v>4363</v>
      </c>
      <c r="E1133">
        <v>29</v>
      </c>
      <c r="F1133" t="s">
        <v>6509</v>
      </c>
      <c r="G1133">
        <v>9103853083</v>
      </c>
      <c r="H1133" t="s">
        <v>4491</v>
      </c>
      <c r="I1133" t="s">
        <v>4491</v>
      </c>
      <c r="J1133" t="s">
        <v>4367</v>
      </c>
      <c r="K1133">
        <v>2.7</v>
      </c>
      <c r="L1133">
        <v>10</v>
      </c>
      <c r="M1133">
        <v>14.4</v>
      </c>
      <c r="N1133" t="s">
        <v>4377</v>
      </c>
      <c r="O1133" t="s">
        <v>4369</v>
      </c>
      <c r="P1133" s="1">
        <v>45993</v>
      </c>
      <c r="Q1133" t="str">
        <f t="shared" si="68"/>
        <v>10+ Years</v>
      </c>
      <c r="R1133" t="str">
        <f>IF(Table7[[#This Row],[Age]]&lt;=25,"20-25",IF(Table7[[#This Row],[Age]]&lt;=30,"26-30",IF(Table7[[#This Row],[Age]]&lt;=35,"31-35","36+")))</f>
        <v>26-30</v>
      </c>
      <c r="S1133" t="str">
        <f t="shared" si="69"/>
        <v>December</v>
      </c>
      <c r="T1133" s="2" t="str">
        <f t="shared" si="70"/>
        <v>Q4</v>
      </c>
      <c r="U1133" s="2">
        <f t="shared" si="71"/>
        <v>2025</v>
      </c>
    </row>
    <row r="1134" spans="1:21" x14ac:dyDescent="0.3">
      <c r="A1134" t="s">
        <v>3534</v>
      </c>
      <c r="B1134" t="s">
        <v>4884</v>
      </c>
      <c r="C1134" t="s">
        <v>6510</v>
      </c>
      <c r="D1134" t="s">
        <v>4363</v>
      </c>
      <c r="E1134">
        <v>25</v>
      </c>
      <c r="F1134" t="s">
        <v>6511</v>
      </c>
      <c r="G1134">
        <v>9678121793</v>
      </c>
      <c r="H1134" t="s">
        <v>4365</v>
      </c>
      <c r="I1134" t="s">
        <v>4366</v>
      </c>
      <c r="J1134" t="s">
        <v>4446</v>
      </c>
      <c r="K1134">
        <v>2.9</v>
      </c>
      <c r="L1134">
        <v>7.6</v>
      </c>
      <c r="M1134">
        <v>10.1</v>
      </c>
      <c r="N1134" t="s">
        <v>4494</v>
      </c>
      <c r="O1134" t="s">
        <v>4456</v>
      </c>
      <c r="P1134" s="1">
        <v>45879</v>
      </c>
      <c r="Q1134" t="str">
        <f t="shared" si="68"/>
        <v>10+ Years</v>
      </c>
      <c r="R1134" t="str">
        <f>IF(Table7[[#This Row],[Age]]&lt;=25,"20-25",IF(Table7[[#This Row],[Age]]&lt;=30,"26-30",IF(Table7[[#This Row],[Age]]&lt;=35,"31-35","36+")))</f>
        <v>20-25</v>
      </c>
      <c r="S1134" t="str">
        <f t="shared" si="69"/>
        <v>August</v>
      </c>
      <c r="T1134" s="2" t="str">
        <f t="shared" si="70"/>
        <v>Q3</v>
      </c>
      <c r="U1134" s="2">
        <f t="shared" si="71"/>
        <v>2025</v>
      </c>
    </row>
    <row r="1135" spans="1:21" x14ac:dyDescent="0.3">
      <c r="A1135" t="s">
        <v>3969</v>
      </c>
      <c r="B1135" t="s">
        <v>4664</v>
      </c>
      <c r="C1135" t="s">
        <v>6489</v>
      </c>
      <c r="D1135" t="s">
        <v>4372</v>
      </c>
      <c r="E1135">
        <v>34</v>
      </c>
      <c r="F1135" t="s">
        <v>6512</v>
      </c>
      <c r="G1135">
        <v>9443139716</v>
      </c>
      <c r="H1135" t="s">
        <v>4454</v>
      </c>
      <c r="I1135" t="s">
        <v>4455</v>
      </c>
      <c r="J1135" t="s">
        <v>4450</v>
      </c>
      <c r="K1135">
        <v>5.6</v>
      </c>
      <c r="L1135">
        <v>13.1</v>
      </c>
      <c r="M1135">
        <v>18.100000000000001</v>
      </c>
      <c r="N1135" t="s">
        <v>4494</v>
      </c>
      <c r="O1135" t="s">
        <v>4400</v>
      </c>
      <c r="P1135" s="1">
        <v>45858</v>
      </c>
      <c r="Q1135" t="str">
        <f t="shared" si="68"/>
        <v>10+ Years</v>
      </c>
      <c r="R1135" t="str">
        <f>IF(Table7[[#This Row],[Age]]&lt;=25,"20-25",IF(Table7[[#This Row],[Age]]&lt;=30,"26-30",IF(Table7[[#This Row],[Age]]&lt;=35,"31-35","36+")))</f>
        <v>31-35</v>
      </c>
      <c r="S1135" t="str">
        <f t="shared" si="69"/>
        <v>July</v>
      </c>
      <c r="T1135" s="2" t="str">
        <f t="shared" si="70"/>
        <v>Q3</v>
      </c>
      <c r="U1135" s="2">
        <f t="shared" si="71"/>
        <v>2025</v>
      </c>
    </row>
    <row r="1136" spans="1:21" x14ac:dyDescent="0.3">
      <c r="A1136" t="s">
        <v>3752</v>
      </c>
      <c r="B1136" t="s">
        <v>4467</v>
      </c>
      <c r="C1136" t="s">
        <v>6513</v>
      </c>
      <c r="D1136" t="s">
        <v>4372</v>
      </c>
      <c r="E1136">
        <v>24</v>
      </c>
      <c r="F1136" t="s">
        <v>6514</v>
      </c>
      <c r="G1136">
        <v>9940277815</v>
      </c>
      <c r="H1136" t="s">
        <v>4395</v>
      </c>
      <c r="I1136" t="s">
        <v>4396</v>
      </c>
      <c r="J1136" t="s">
        <v>4367</v>
      </c>
      <c r="K1136">
        <v>7.7</v>
      </c>
      <c r="L1136">
        <v>16.3</v>
      </c>
      <c r="M1136">
        <v>21.2</v>
      </c>
      <c r="N1136" t="s">
        <v>4390</v>
      </c>
      <c r="O1136" t="s">
        <v>4456</v>
      </c>
      <c r="P1136" s="1">
        <v>45833</v>
      </c>
      <c r="Q1136" t="str">
        <f t="shared" si="68"/>
        <v>10+ Years</v>
      </c>
      <c r="R1136" t="str">
        <f>IF(Table7[[#This Row],[Age]]&lt;=25,"20-25",IF(Table7[[#This Row],[Age]]&lt;=30,"26-30",IF(Table7[[#This Row],[Age]]&lt;=35,"31-35","36+")))</f>
        <v>20-25</v>
      </c>
      <c r="S1136" t="str">
        <f t="shared" si="69"/>
        <v>June</v>
      </c>
      <c r="T1136" s="2" t="str">
        <f t="shared" si="70"/>
        <v>Q2</v>
      </c>
      <c r="U1136" s="2">
        <f t="shared" si="71"/>
        <v>2025</v>
      </c>
    </row>
    <row r="1137" spans="1:21" x14ac:dyDescent="0.3">
      <c r="A1137" t="s">
        <v>336</v>
      </c>
      <c r="B1137" t="s">
        <v>4436</v>
      </c>
      <c r="C1137" t="s">
        <v>5763</v>
      </c>
      <c r="D1137" t="s">
        <v>4363</v>
      </c>
      <c r="E1137">
        <v>39</v>
      </c>
      <c r="F1137" t="s">
        <v>6515</v>
      </c>
      <c r="G1137">
        <v>9890317613</v>
      </c>
      <c r="H1137" t="s">
        <v>4476</v>
      </c>
      <c r="I1137" t="s">
        <v>4477</v>
      </c>
      <c r="J1137" t="s">
        <v>4482</v>
      </c>
      <c r="K1137">
        <v>6.1</v>
      </c>
      <c r="L1137">
        <v>14.4</v>
      </c>
      <c r="M1137">
        <v>19.399999999999999</v>
      </c>
      <c r="N1137" t="s">
        <v>4377</v>
      </c>
      <c r="O1137" t="s">
        <v>4391</v>
      </c>
      <c r="P1137" s="1">
        <v>45927</v>
      </c>
      <c r="Q1137" t="str">
        <f t="shared" si="68"/>
        <v>10+ Years</v>
      </c>
      <c r="R1137" t="str">
        <f>IF(Table7[[#This Row],[Age]]&lt;=25,"20-25",IF(Table7[[#This Row],[Age]]&lt;=30,"26-30",IF(Table7[[#This Row],[Age]]&lt;=35,"31-35","36+")))</f>
        <v>36+</v>
      </c>
      <c r="S1137" t="str">
        <f t="shared" si="69"/>
        <v>September</v>
      </c>
      <c r="T1137" s="2" t="str">
        <f t="shared" si="70"/>
        <v>Q3</v>
      </c>
      <c r="U1137" s="2">
        <f t="shared" si="71"/>
        <v>2025</v>
      </c>
    </row>
    <row r="1138" spans="1:21" x14ac:dyDescent="0.3">
      <c r="A1138" t="s">
        <v>6516</v>
      </c>
      <c r="B1138" t="s">
        <v>6517</v>
      </c>
      <c r="C1138" t="s">
        <v>6518</v>
      </c>
      <c r="D1138" t="s">
        <v>4363</v>
      </c>
      <c r="E1138">
        <v>29</v>
      </c>
      <c r="F1138" t="s">
        <v>6519</v>
      </c>
      <c r="G1138">
        <v>9927280837</v>
      </c>
      <c r="H1138" t="s">
        <v>4454</v>
      </c>
      <c r="I1138" t="s">
        <v>4455</v>
      </c>
      <c r="J1138" t="s">
        <v>4389</v>
      </c>
      <c r="K1138">
        <v>1.3</v>
      </c>
      <c r="L1138">
        <v>5.7</v>
      </c>
      <c r="M1138">
        <v>7.1</v>
      </c>
      <c r="N1138" t="s">
        <v>4390</v>
      </c>
      <c r="O1138" t="s">
        <v>4391</v>
      </c>
      <c r="P1138" s="1">
        <v>45833</v>
      </c>
      <c r="Q1138" t="str">
        <f t="shared" si="68"/>
        <v>10+ Years</v>
      </c>
      <c r="R1138" t="str">
        <f>IF(Table7[[#This Row],[Age]]&lt;=25,"20-25",IF(Table7[[#This Row],[Age]]&lt;=30,"26-30",IF(Table7[[#This Row],[Age]]&lt;=35,"31-35","36+")))</f>
        <v>26-30</v>
      </c>
      <c r="S1138" t="str">
        <f t="shared" si="69"/>
        <v>June</v>
      </c>
      <c r="T1138" s="2" t="str">
        <f t="shared" si="70"/>
        <v>Q2</v>
      </c>
      <c r="U1138" s="2">
        <f t="shared" si="71"/>
        <v>2025</v>
      </c>
    </row>
    <row r="1139" spans="1:21" x14ac:dyDescent="0.3">
      <c r="A1139" t="s">
        <v>467</v>
      </c>
      <c r="B1139" t="s">
        <v>5588</v>
      </c>
      <c r="C1139" t="s">
        <v>6520</v>
      </c>
      <c r="D1139" t="s">
        <v>4363</v>
      </c>
      <c r="E1139">
        <v>34</v>
      </c>
      <c r="F1139" t="s">
        <v>6521</v>
      </c>
      <c r="G1139">
        <v>9201086046</v>
      </c>
      <c r="H1139" t="s">
        <v>4404</v>
      </c>
      <c r="I1139" t="s">
        <v>4405</v>
      </c>
      <c r="J1139" t="s">
        <v>4367</v>
      </c>
      <c r="K1139">
        <v>0.8</v>
      </c>
      <c r="L1139">
        <v>8</v>
      </c>
      <c r="M1139">
        <v>11.4</v>
      </c>
      <c r="N1139" t="s">
        <v>4368</v>
      </c>
      <c r="O1139" t="s">
        <v>4383</v>
      </c>
      <c r="P1139" s="1">
        <v>45704</v>
      </c>
      <c r="Q1139" t="str">
        <f t="shared" si="68"/>
        <v>10+ Years</v>
      </c>
      <c r="R1139" t="str">
        <f>IF(Table7[[#This Row],[Age]]&lt;=25,"20-25",IF(Table7[[#This Row],[Age]]&lt;=30,"26-30",IF(Table7[[#This Row],[Age]]&lt;=35,"31-35","36+")))</f>
        <v>31-35</v>
      </c>
      <c r="S1139" t="str">
        <f t="shared" si="69"/>
        <v>February</v>
      </c>
      <c r="T1139" s="2" t="str">
        <f t="shared" si="70"/>
        <v>Q1</v>
      </c>
      <c r="U1139" s="2">
        <f t="shared" si="71"/>
        <v>2025</v>
      </c>
    </row>
    <row r="1140" spans="1:21" x14ac:dyDescent="0.3">
      <c r="A1140" t="s">
        <v>2056</v>
      </c>
      <c r="B1140" t="s">
        <v>4668</v>
      </c>
      <c r="C1140" t="s">
        <v>6522</v>
      </c>
      <c r="D1140" t="s">
        <v>4372</v>
      </c>
      <c r="E1140">
        <v>30</v>
      </c>
      <c r="F1140" t="s">
        <v>6523</v>
      </c>
      <c r="G1140">
        <v>9730363611</v>
      </c>
      <c r="H1140" t="s">
        <v>4387</v>
      </c>
      <c r="I1140" t="s">
        <v>4388</v>
      </c>
      <c r="J1140" t="s">
        <v>4415</v>
      </c>
      <c r="K1140">
        <v>4.9000000000000004</v>
      </c>
      <c r="L1140">
        <v>8</v>
      </c>
      <c r="M1140">
        <v>9</v>
      </c>
      <c r="N1140" t="s">
        <v>4368</v>
      </c>
      <c r="O1140" t="s">
        <v>4391</v>
      </c>
      <c r="P1140" s="1">
        <v>45990</v>
      </c>
      <c r="Q1140" t="str">
        <f t="shared" si="68"/>
        <v>10+ Years</v>
      </c>
      <c r="R1140" t="str">
        <f>IF(Table7[[#This Row],[Age]]&lt;=25,"20-25",IF(Table7[[#This Row],[Age]]&lt;=30,"26-30",IF(Table7[[#This Row],[Age]]&lt;=35,"31-35","36+")))</f>
        <v>26-30</v>
      </c>
      <c r="S1140" t="str">
        <f t="shared" si="69"/>
        <v>November</v>
      </c>
      <c r="T1140" s="2" t="str">
        <f t="shared" si="70"/>
        <v>Q4</v>
      </c>
      <c r="U1140" s="2">
        <f t="shared" si="71"/>
        <v>2025</v>
      </c>
    </row>
    <row r="1141" spans="1:21" x14ac:dyDescent="0.3">
      <c r="A1141" t="s">
        <v>255</v>
      </c>
      <c r="B1141" t="s">
        <v>6524</v>
      </c>
      <c r="C1141" t="s">
        <v>5949</v>
      </c>
      <c r="D1141" t="s">
        <v>4372</v>
      </c>
      <c r="E1141">
        <v>27</v>
      </c>
      <c r="F1141" t="s">
        <v>6525</v>
      </c>
      <c r="G1141">
        <v>9620830588</v>
      </c>
      <c r="H1141" t="s">
        <v>4395</v>
      </c>
      <c r="I1141" t="s">
        <v>4396</v>
      </c>
      <c r="J1141" t="s">
        <v>4432</v>
      </c>
      <c r="K1141">
        <v>1.4</v>
      </c>
      <c r="L1141">
        <v>10</v>
      </c>
      <c r="M1141">
        <v>13.1</v>
      </c>
      <c r="N1141" t="s">
        <v>4390</v>
      </c>
      <c r="O1141" t="s">
        <v>4383</v>
      </c>
      <c r="P1141" s="1">
        <v>45799</v>
      </c>
      <c r="Q1141" t="str">
        <f t="shared" si="68"/>
        <v>10+ Years</v>
      </c>
      <c r="R1141" t="str">
        <f>IF(Table7[[#This Row],[Age]]&lt;=25,"20-25",IF(Table7[[#This Row],[Age]]&lt;=30,"26-30",IF(Table7[[#This Row],[Age]]&lt;=35,"31-35","36+")))</f>
        <v>26-30</v>
      </c>
      <c r="S1141" t="str">
        <f t="shared" si="69"/>
        <v>May</v>
      </c>
      <c r="T1141" s="2" t="str">
        <f t="shared" si="70"/>
        <v>Q2</v>
      </c>
      <c r="U1141" s="2">
        <f t="shared" si="71"/>
        <v>2025</v>
      </c>
    </row>
    <row r="1142" spans="1:21" x14ac:dyDescent="0.3">
      <c r="A1142" t="s">
        <v>410</v>
      </c>
      <c r="B1142" t="s">
        <v>4430</v>
      </c>
      <c r="C1142" t="s">
        <v>6526</v>
      </c>
      <c r="D1142" t="s">
        <v>4363</v>
      </c>
      <c r="E1142">
        <v>28</v>
      </c>
      <c r="F1142" t="s">
        <v>6527</v>
      </c>
      <c r="G1142">
        <v>9548162060</v>
      </c>
      <c r="H1142" t="s">
        <v>4395</v>
      </c>
      <c r="I1142" t="s">
        <v>4396</v>
      </c>
      <c r="J1142" t="s">
        <v>4389</v>
      </c>
      <c r="K1142">
        <v>7.8</v>
      </c>
      <c r="L1142">
        <v>15.3</v>
      </c>
      <c r="M1142">
        <v>19.899999999999999</v>
      </c>
      <c r="N1142" t="s">
        <v>4368</v>
      </c>
      <c r="O1142" t="s">
        <v>4391</v>
      </c>
      <c r="P1142" s="1">
        <v>45987</v>
      </c>
      <c r="Q1142" t="str">
        <f t="shared" si="68"/>
        <v>10+ Years</v>
      </c>
      <c r="R1142" t="str">
        <f>IF(Table7[[#This Row],[Age]]&lt;=25,"20-25",IF(Table7[[#This Row],[Age]]&lt;=30,"26-30",IF(Table7[[#This Row],[Age]]&lt;=35,"31-35","36+")))</f>
        <v>26-30</v>
      </c>
      <c r="S1142" t="str">
        <f t="shared" si="69"/>
        <v>November</v>
      </c>
      <c r="T1142" s="2" t="str">
        <f t="shared" si="70"/>
        <v>Q4</v>
      </c>
      <c r="U1142" s="2">
        <f t="shared" si="71"/>
        <v>2025</v>
      </c>
    </row>
    <row r="1143" spans="1:21" x14ac:dyDescent="0.3">
      <c r="A1143" t="s">
        <v>2489</v>
      </c>
      <c r="B1143" t="s">
        <v>4566</v>
      </c>
      <c r="C1143" t="s">
        <v>4594</v>
      </c>
      <c r="D1143" t="s">
        <v>4363</v>
      </c>
      <c r="E1143">
        <v>25</v>
      </c>
      <c r="F1143" t="s">
        <v>6528</v>
      </c>
      <c r="G1143">
        <v>9627523081</v>
      </c>
      <c r="H1143" t="s">
        <v>4395</v>
      </c>
      <c r="I1143" t="s">
        <v>4396</v>
      </c>
      <c r="J1143" t="s">
        <v>4376</v>
      </c>
      <c r="K1143">
        <v>6.6</v>
      </c>
      <c r="L1143">
        <v>18.899999999999999</v>
      </c>
      <c r="M1143">
        <v>24.3</v>
      </c>
      <c r="N1143" t="s">
        <v>4368</v>
      </c>
      <c r="O1143" t="s">
        <v>4383</v>
      </c>
      <c r="P1143" s="1">
        <v>45912</v>
      </c>
      <c r="Q1143" t="str">
        <f t="shared" si="68"/>
        <v>10+ Years</v>
      </c>
      <c r="R1143" t="str">
        <f>IF(Table7[[#This Row],[Age]]&lt;=25,"20-25",IF(Table7[[#This Row],[Age]]&lt;=30,"26-30",IF(Table7[[#This Row],[Age]]&lt;=35,"31-35","36+")))</f>
        <v>20-25</v>
      </c>
      <c r="S1143" t="str">
        <f t="shared" si="69"/>
        <v>September</v>
      </c>
      <c r="T1143" s="2" t="str">
        <f t="shared" si="70"/>
        <v>Q3</v>
      </c>
      <c r="U1143" s="2">
        <f t="shared" si="71"/>
        <v>2025</v>
      </c>
    </row>
    <row r="1144" spans="1:21" x14ac:dyDescent="0.3">
      <c r="A1144" t="s">
        <v>3806</v>
      </c>
      <c r="B1144" t="s">
        <v>5700</v>
      </c>
      <c r="C1144" t="s">
        <v>6239</v>
      </c>
      <c r="D1144" t="s">
        <v>4720</v>
      </c>
      <c r="E1144">
        <v>28</v>
      </c>
      <c r="F1144" t="s">
        <v>6529</v>
      </c>
      <c r="G1144">
        <v>9346964424</v>
      </c>
      <c r="H1144" t="s">
        <v>4491</v>
      </c>
      <c r="I1144" t="s">
        <v>4491</v>
      </c>
      <c r="J1144" t="s">
        <v>4389</v>
      </c>
      <c r="K1144">
        <v>1.5</v>
      </c>
      <c r="L1144">
        <v>4.7</v>
      </c>
      <c r="M1144">
        <v>6.2</v>
      </c>
      <c r="N1144" t="s">
        <v>4406</v>
      </c>
      <c r="O1144" t="s">
        <v>4369</v>
      </c>
      <c r="P1144" s="1">
        <v>45975</v>
      </c>
      <c r="Q1144" t="str">
        <f t="shared" si="68"/>
        <v>10+ Years</v>
      </c>
      <c r="R1144" t="str">
        <f>IF(Table7[[#This Row],[Age]]&lt;=25,"20-25",IF(Table7[[#This Row],[Age]]&lt;=30,"26-30",IF(Table7[[#This Row],[Age]]&lt;=35,"31-35","36+")))</f>
        <v>26-30</v>
      </c>
      <c r="S1144" t="str">
        <f t="shared" si="69"/>
        <v>November</v>
      </c>
      <c r="T1144" s="2" t="str">
        <f t="shared" si="70"/>
        <v>Q4</v>
      </c>
      <c r="U1144" s="2">
        <f t="shared" si="71"/>
        <v>2025</v>
      </c>
    </row>
    <row r="1145" spans="1:21" x14ac:dyDescent="0.3">
      <c r="A1145" t="s">
        <v>2120</v>
      </c>
      <c r="B1145" t="s">
        <v>4370</v>
      </c>
      <c r="C1145" t="s">
        <v>4705</v>
      </c>
      <c r="D1145" t="s">
        <v>4372</v>
      </c>
      <c r="E1145">
        <v>25</v>
      </c>
      <c r="F1145" t="s">
        <v>6530</v>
      </c>
      <c r="G1145">
        <v>9175708113</v>
      </c>
      <c r="H1145" t="s">
        <v>4521</v>
      </c>
      <c r="I1145" t="s">
        <v>4522</v>
      </c>
      <c r="J1145" t="s">
        <v>4367</v>
      </c>
      <c r="K1145">
        <v>2.8</v>
      </c>
      <c r="L1145">
        <v>4.5999999999999996</v>
      </c>
      <c r="M1145">
        <v>6</v>
      </c>
      <c r="N1145" t="s">
        <v>4368</v>
      </c>
      <c r="O1145" t="s">
        <v>4391</v>
      </c>
      <c r="P1145" s="1">
        <v>45845</v>
      </c>
      <c r="Q1145" t="str">
        <f t="shared" si="68"/>
        <v>10+ Years</v>
      </c>
      <c r="R1145" t="str">
        <f>IF(Table7[[#This Row],[Age]]&lt;=25,"20-25",IF(Table7[[#This Row],[Age]]&lt;=30,"26-30",IF(Table7[[#This Row],[Age]]&lt;=35,"31-35","36+")))</f>
        <v>20-25</v>
      </c>
      <c r="S1145" t="str">
        <f t="shared" si="69"/>
        <v>July</v>
      </c>
      <c r="T1145" s="2" t="str">
        <f t="shared" si="70"/>
        <v>Q3</v>
      </c>
      <c r="U1145" s="2">
        <f t="shared" si="71"/>
        <v>2025</v>
      </c>
    </row>
    <row r="1146" spans="1:21" x14ac:dyDescent="0.3">
      <c r="A1146" t="s">
        <v>1364</v>
      </c>
      <c r="B1146" t="s">
        <v>4565</v>
      </c>
      <c r="C1146" t="s">
        <v>6531</v>
      </c>
      <c r="D1146" t="s">
        <v>4372</v>
      </c>
      <c r="E1146">
        <v>31</v>
      </c>
      <c r="F1146" t="s">
        <v>6532</v>
      </c>
      <c r="G1146">
        <v>9640259298</v>
      </c>
      <c r="H1146" t="s">
        <v>4491</v>
      </c>
      <c r="I1146" t="s">
        <v>4491</v>
      </c>
      <c r="J1146" t="s">
        <v>4446</v>
      </c>
      <c r="K1146">
        <v>0.3</v>
      </c>
      <c r="L1146">
        <v>5.4</v>
      </c>
      <c r="M1146">
        <v>7.1</v>
      </c>
      <c r="N1146" t="s">
        <v>4390</v>
      </c>
      <c r="O1146" t="s">
        <v>4419</v>
      </c>
      <c r="P1146" s="1">
        <v>46005</v>
      </c>
      <c r="Q1146" t="str">
        <f t="shared" si="68"/>
        <v>10+ Years</v>
      </c>
      <c r="R1146" t="str">
        <f>IF(Table7[[#This Row],[Age]]&lt;=25,"20-25",IF(Table7[[#This Row],[Age]]&lt;=30,"26-30",IF(Table7[[#This Row],[Age]]&lt;=35,"31-35","36+")))</f>
        <v>31-35</v>
      </c>
      <c r="S1146" t="str">
        <f t="shared" si="69"/>
        <v>December</v>
      </c>
      <c r="T1146" s="2" t="str">
        <f t="shared" si="70"/>
        <v>Q4</v>
      </c>
      <c r="U1146" s="2">
        <f t="shared" si="71"/>
        <v>2025</v>
      </c>
    </row>
    <row r="1147" spans="1:21" x14ac:dyDescent="0.3">
      <c r="A1147" t="s">
        <v>1827</v>
      </c>
      <c r="B1147" t="s">
        <v>5081</v>
      </c>
      <c r="C1147" t="s">
        <v>6533</v>
      </c>
      <c r="D1147" t="s">
        <v>4372</v>
      </c>
      <c r="E1147">
        <v>28</v>
      </c>
      <c r="F1147" t="s">
        <v>6534</v>
      </c>
      <c r="G1147">
        <v>9568120425</v>
      </c>
      <c r="H1147" t="s">
        <v>4454</v>
      </c>
      <c r="I1147" t="s">
        <v>4455</v>
      </c>
      <c r="J1147" t="s">
        <v>4415</v>
      </c>
      <c r="K1147">
        <v>2.1</v>
      </c>
      <c r="L1147">
        <v>4.3</v>
      </c>
      <c r="M1147">
        <v>5</v>
      </c>
      <c r="N1147" t="s">
        <v>4368</v>
      </c>
      <c r="O1147" t="s">
        <v>4391</v>
      </c>
      <c r="P1147" s="1">
        <v>46020</v>
      </c>
      <c r="Q1147" t="str">
        <f t="shared" si="68"/>
        <v>10+ Years</v>
      </c>
      <c r="R1147" t="str">
        <f>IF(Table7[[#This Row],[Age]]&lt;=25,"20-25",IF(Table7[[#This Row],[Age]]&lt;=30,"26-30",IF(Table7[[#This Row],[Age]]&lt;=35,"31-35","36+")))</f>
        <v>26-30</v>
      </c>
      <c r="S1147" t="str">
        <f t="shared" si="69"/>
        <v>December</v>
      </c>
      <c r="T1147" s="2" t="str">
        <f t="shared" si="70"/>
        <v>Q4</v>
      </c>
      <c r="U1147" s="2">
        <f t="shared" si="71"/>
        <v>2025</v>
      </c>
    </row>
    <row r="1148" spans="1:21" x14ac:dyDescent="0.3">
      <c r="A1148" t="s">
        <v>539</v>
      </c>
      <c r="B1148" t="s">
        <v>4528</v>
      </c>
      <c r="C1148" t="s">
        <v>6110</v>
      </c>
      <c r="D1148" t="s">
        <v>4363</v>
      </c>
      <c r="E1148">
        <v>21</v>
      </c>
      <c r="F1148" t="s">
        <v>6535</v>
      </c>
      <c r="G1148">
        <v>9551540627</v>
      </c>
      <c r="H1148" t="s">
        <v>4404</v>
      </c>
      <c r="I1148" t="s">
        <v>4405</v>
      </c>
      <c r="J1148" t="s">
        <v>4376</v>
      </c>
      <c r="K1148">
        <v>2.6</v>
      </c>
      <c r="L1148">
        <v>7.5</v>
      </c>
      <c r="M1148">
        <v>8.6999999999999993</v>
      </c>
      <c r="N1148" t="s">
        <v>4390</v>
      </c>
      <c r="O1148" t="s">
        <v>4485</v>
      </c>
      <c r="P1148" s="1">
        <v>45802</v>
      </c>
      <c r="Q1148" t="str">
        <f t="shared" si="68"/>
        <v>10+ Years</v>
      </c>
      <c r="R1148" t="str">
        <f>IF(Table7[[#This Row],[Age]]&lt;=25,"20-25",IF(Table7[[#This Row],[Age]]&lt;=30,"26-30",IF(Table7[[#This Row],[Age]]&lt;=35,"31-35","36+")))</f>
        <v>20-25</v>
      </c>
      <c r="S1148" t="str">
        <f t="shared" si="69"/>
        <v>May</v>
      </c>
      <c r="T1148" s="2" t="str">
        <f t="shared" si="70"/>
        <v>Q2</v>
      </c>
      <c r="U1148" s="2">
        <f t="shared" si="71"/>
        <v>2025</v>
      </c>
    </row>
    <row r="1149" spans="1:21" x14ac:dyDescent="0.3">
      <c r="A1149" t="s">
        <v>1385</v>
      </c>
      <c r="B1149" t="s">
        <v>4554</v>
      </c>
      <c r="C1149" t="s">
        <v>6536</v>
      </c>
      <c r="D1149" t="s">
        <v>4372</v>
      </c>
      <c r="E1149">
        <v>26</v>
      </c>
      <c r="F1149" t="s">
        <v>6537</v>
      </c>
      <c r="G1149">
        <v>9262788847</v>
      </c>
      <c r="H1149" t="s">
        <v>4387</v>
      </c>
      <c r="I1149" t="s">
        <v>4388</v>
      </c>
      <c r="J1149" t="s">
        <v>4608</v>
      </c>
      <c r="K1149">
        <v>3.3</v>
      </c>
      <c r="L1149">
        <v>11</v>
      </c>
      <c r="M1149">
        <v>12.5</v>
      </c>
      <c r="N1149" t="s">
        <v>4377</v>
      </c>
      <c r="O1149" t="s">
        <v>4400</v>
      </c>
      <c r="P1149" s="1">
        <v>45809</v>
      </c>
      <c r="Q1149" t="str">
        <f t="shared" si="68"/>
        <v>10+ Years</v>
      </c>
      <c r="R1149" t="str">
        <f>IF(Table7[[#This Row],[Age]]&lt;=25,"20-25",IF(Table7[[#This Row],[Age]]&lt;=30,"26-30",IF(Table7[[#This Row],[Age]]&lt;=35,"31-35","36+")))</f>
        <v>26-30</v>
      </c>
      <c r="S1149" t="str">
        <f t="shared" si="69"/>
        <v>June</v>
      </c>
      <c r="T1149" s="2" t="str">
        <f t="shared" si="70"/>
        <v>Q2</v>
      </c>
      <c r="U1149" s="2">
        <f t="shared" si="71"/>
        <v>2025</v>
      </c>
    </row>
    <row r="1150" spans="1:21" x14ac:dyDescent="0.3">
      <c r="A1150" t="s">
        <v>505</v>
      </c>
      <c r="B1150" t="s">
        <v>6538</v>
      </c>
      <c r="C1150" t="s">
        <v>5596</v>
      </c>
      <c r="D1150" t="s">
        <v>4372</v>
      </c>
      <c r="E1150">
        <v>32</v>
      </c>
      <c r="F1150" t="s">
        <v>6539</v>
      </c>
      <c r="G1150">
        <v>9422319777</v>
      </c>
      <c r="H1150" t="s">
        <v>4473</v>
      </c>
      <c r="I1150" t="s">
        <v>4473</v>
      </c>
      <c r="J1150" t="s">
        <v>4618</v>
      </c>
      <c r="K1150">
        <v>0.6</v>
      </c>
      <c r="L1150">
        <v>5.3</v>
      </c>
      <c r="M1150">
        <v>6.5</v>
      </c>
      <c r="N1150" t="s">
        <v>4368</v>
      </c>
      <c r="O1150" t="s">
        <v>4369</v>
      </c>
      <c r="P1150" s="1">
        <v>46016</v>
      </c>
      <c r="Q1150" t="str">
        <f t="shared" si="68"/>
        <v>10+ Years</v>
      </c>
      <c r="R1150" t="str">
        <f>IF(Table7[[#This Row],[Age]]&lt;=25,"20-25",IF(Table7[[#This Row],[Age]]&lt;=30,"26-30",IF(Table7[[#This Row],[Age]]&lt;=35,"31-35","36+")))</f>
        <v>31-35</v>
      </c>
      <c r="S1150" t="str">
        <f t="shared" si="69"/>
        <v>December</v>
      </c>
      <c r="T1150" s="2" t="str">
        <f t="shared" si="70"/>
        <v>Q4</v>
      </c>
      <c r="U1150" s="2">
        <f t="shared" si="71"/>
        <v>2025</v>
      </c>
    </row>
    <row r="1151" spans="1:21" x14ac:dyDescent="0.3">
      <c r="A1151" t="s">
        <v>3576</v>
      </c>
      <c r="B1151" t="s">
        <v>6540</v>
      </c>
      <c r="C1151" t="s">
        <v>5125</v>
      </c>
      <c r="D1151" t="s">
        <v>4363</v>
      </c>
      <c r="E1151">
        <v>32</v>
      </c>
      <c r="F1151" t="s">
        <v>6541</v>
      </c>
      <c r="G1151">
        <v>9730657750</v>
      </c>
      <c r="H1151" t="s">
        <v>4476</v>
      </c>
      <c r="I1151" t="s">
        <v>4477</v>
      </c>
      <c r="J1151" t="s">
        <v>4432</v>
      </c>
      <c r="K1151">
        <v>5.5</v>
      </c>
      <c r="L1151">
        <v>13.7</v>
      </c>
      <c r="M1151">
        <v>19</v>
      </c>
      <c r="N1151" t="s">
        <v>4390</v>
      </c>
      <c r="O1151" t="s">
        <v>4400</v>
      </c>
      <c r="P1151" s="1">
        <v>45759</v>
      </c>
      <c r="Q1151" t="str">
        <f t="shared" si="68"/>
        <v>10+ Years</v>
      </c>
      <c r="R1151" t="str">
        <f>IF(Table7[[#This Row],[Age]]&lt;=25,"20-25",IF(Table7[[#This Row],[Age]]&lt;=30,"26-30",IF(Table7[[#This Row],[Age]]&lt;=35,"31-35","36+")))</f>
        <v>31-35</v>
      </c>
      <c r="S1151" t="str">
        <f t="shared" si="69"/>
        <v>April</v>
      </c>
      <c r="T1151" s="2" t="str">
        <f t="shared" si="70"/>
        <v>Q2</v>
      </c>
      <c r="U1151" s="2">
        <f t="shared" si="71"/>
        <v>2025</v>
      </c>
    </row>
    <row r="1152" spans="1:21" x14ac:dyDescent="0.3">
      <c r="A1152" t="s">
        <v>2074</v>
      </c>
      <c r="B1152" t="s">
        <v>6542</v>
      </c>
      <c r="C1152" t="s">
        <v>5387</v>
      </c>
      <c r="D1152" t="s">
        <v>4720</v>
      </c>
      <c r="E1152">
        <v>21</v>
      </c>
      <c r="F1152" t="s">
        <v>6543</v>
      </c>
      <c r="G1152">
        <v>9735620973</v>
      </c>
      <c r="H1152" t="s">
        <v>4491</v>
      </c>
      <c r="I1152" t="s">
        <v>4491</v>
      </c>
      <c r="J1152" t="s">
        <v>4415</v>
      </c>
      <c r="K1152">
        <v>5.4</v>
      </c>
      <c r="L1152">
        <v>9.9</v>
      </c>
      <c r="M1152">
        <v>13.7</v>
      </c>
      <c r="N1152" t="s">
        <v>4368</v>
      </c>
      <c r="O1152" t="s">
        <v>4400</v>
      </c>
      <c r="P1152" s="1">
        <v>45771</v>
      </c>
      <c r="Q1152" t="str">
        <f t="shared" si="68"/>
        <v>10+ Years</v>
      </c>
      <c r="R1152" t="str">
        <f>IF(Table7[[#This Row],[Age]]&lt;=25,"20-25",IF(Table7[[#This Row],[Age]]&lt;=30,"26-30",IF(Table7[[#This Row],[Age]]&lt;=35,"31-35","36+")))</f>
        <v>20-25</v>
      </c>
      <c r="S1152" t="str">
        <f t="shared" si="69"/>
        <v>April</v>
      </c>
      <c r="T1152" s="2" t="str">
        <f t="shared" si="70"/>
        <v>Q2</v>
      </c>
      <c r="U1152" s="2">
        <f t="shared" si="71"/>
        <v>2025</v>
      </c>
    </row>
    <row r="1153" spans="1:21" x14ac:dyDescent="0.3">
      <c r="A1153" t="s">
        <v>2461</v>
      </c>
      <c r="B1153" t="s">
        <v>5821</v>
      </c>
      <c r="C1153" t="s">
        <v>4846</v>
      </c>
      <c r="D1153" t="s">
        <v>4363</v>
      </c>
      <c r="E1153">
        <v>28</v>
      </c>
      <c r="F1153" t="s">
        <v>6544</v>
      </c>
      <c r="G1153">
        <v>9382551553</v>
      </c>
      <c r="H1153" t="s">
        <v>4381</v>
      </c>
      <c r="I1153" t="s">
        <v>4382</v>
      </c>
      <c r="J1153" t="s">
        <v>4389</v>
      </c>
      <c r="K1153">
        <v>2.6</v>
      </c>
      <c r="L1153">
        <v>5.0999999999999996</v>
      </c>
      <c r="M1153">
        <v>7.1</v>
      </c>
      <c r="N1153" t="s">
        <v>4390</v>
      </c>
      <c r="O1153" t="s">
        <v>4391</v>
      </c>
      <c r="P1153" s="1">
        <v>45730</v>
      </c>
      <c r="Q1153" t="str">
        <f t="shared" si="68"/>
        <v>10+ Years</v>
      </c>
      <c r="R1153" t="str">
        <f>IF(Table7[[#This Row],[Age]]&lt;=25,"20-25",IF(Table7[[#This Row],[Age]]&lt;=30,"26-30",IF(Table7[[#This Row],[Age]]&lt;=35,"31-35","36+")))</f>
        <v>26-30</v>
      </c>
      <c r="S1153" t="str">
        <f t="shared" si="69"/>
        <v>March</v>
      </c>
      <c r="T1153" s="2" t="str">
        <f t="shared" si="70"/>
        <v>Q1</v>
      </c>
      <c r="U1153" s="2">
        <f t="shared" si="71"/>
        <v>2025</v>
      </c>
    </row>
    <row r="1154" spans="1:21" x14ac:dyDescent="0.3">
      <c r="A1154" t="s">
        <v>987</v>
      </c>
      <c r="B1154" t="s">
        <v>4959</v>
      </c>
      <c r="C1154" t="s">
        <v>6545</v>
      </c>
      <c r="D1154" t="s">
        <v>4363</v>
      </c>
      <c r="E1154">
        <v>31</v>
      </c>
      <c r="F1154" t="s">
        <v>6546</v>
      </c>
      <c r="G1154">
        <v>9670800715</v>
      </c>
      <c r="H1154" t="s">
        <v>4381</v>
      </c>
      <c r="I1154" t="s">
        <v>4382</v>
      </c>
      <c r="J1154" t="s">
        <v>4367</v>
      </c>
      <c r="K1154">
        <v>5.2</v>
      </c>
      <c r="L1154">
        <v>14.9</v>
      </c>
      <c r="M1154">
        <v>18.399999999999999</v>
      </c>
      <c r="N1154" t="s">
        <v>4368</v>
      </c>
      <c r="O1154" t="s">
        <v>4400</v>
      </c>
      <c r="P1154" s="1">
        <v>45737</v>
      </c>
      <c r="Q1154" t="str">
        <f t="shared" ref="Q1154:Q1217" si="72">IF(P1154&lt;=2,"0-2 Years",IF(P1154&lt;=5,"3-5 Years",IF(P1154&lt;=10,"6-10 Years","10+ Years")))</f>
        <v>10+ Years</v>
      </c>
      <c r="R1154" t="str">
        <f>IF(Table7[[#This Row],[Age]]&lt;=25,"20-25",IF(Table7[[#This Row],[Age]]&lt;=30,"26-30",IF(Table7[[#This Row],[Age]]&lt;=35,"31-35","36+")))</f>
        <v>31-35</v>
      </c>
      <c r="S1154" t="str">
        <f t="shared" ref="S1154:S1201" si="73">TEXT(P1154,"mmmm")</f>
        <v>March</v>
      </c>
      <c r="T1154" s="2" t="str">
        <f t="shared" ref="T1154:T1201" si="74">"Q"&amp;ROUNDUP(MONTH(P1154)/3,0)</f>
        <v>Q1</v>
      </c>
      <c r="U1154" s="2">
        <f t="shared" ref="U1154:U1201" si="75">YEAR(P1154)</f>
        <v>2025</v>
      </c>
    </row>
    <row r="1155" spans="1:21" x14ac:dyDescent="0.3">
      <c r="A1155" t="s">
        <v>2735</v>
      </c>
      <c r="B1155" t="s">
        <v>4924</v>
      </c>
      <c r="C1155" t="s">
        <v>4421</v>
      </c>
      <c r="D1155" t="s">
        <v>4720</v>
      </c>
      <c r="E1155">
        <v>30</v>
      </c>
      <c r="F1155" t="s">
        <v>6547</v>
      </c>
      <c r="G1155">
        <v>9590843067</v>
      </c>
      <c r="H1155" t="s">
        <v>4387</v>
      </c>
      <c r="I1155" t="s">
        <v>4388</v>
      </c>
      <c r="J1155" t="s">
        <v>4432</v>
      </c>
      <c r="K1155">
        <v>1.1000000000000001</v>
      </c>
      <c r="L1155">
        <v>11.8</v>
      </c>
      <c r="M1155">
        <v>16</v>
      </c>
      <c r="N1155" t="s">
        <v>4377</v>
      </c>
      <c r="O1155" t="s">
        <v>4369</v>
      </c>
      <c r="P1155" s="1">
        <v>46002</v>
      </c>
      <c r="Q1155" t="str">
        <f t="shared" si="72"/>
        <v>10+ Years</v>
      </c>
      <c r="R1155" t="str">
        <f>IF(Table7[[#This Row],[Age]]&lt;=25,"20-25",IF(Table7[[#This Row],[Age]]&lt;=30,"26-30",IF(Table7[[#This Row],[Age]]&lt;=35,"31-35","36+")))</f>
        <v>26-30</v>
      </c>
      <c r="S1155" t="str">
        <f t="shared" si="73"/>
        <v>December</v>
      </c>
      <c r="T1155" s="2" t="str">
        <f t="shared" si="74"/>
        <v>Q4</v>
      </c>
      <c r="U1155" s="2">
        <f t="shared" si="75"/>
        <v>2025</v>
      </c>
    </row>
    <row r="1156" spans="1:21" x14ac:dyDescent="0.3">
      <c r="A1156" t="s">
        <v>1077</v>
      </c>
      <c r="B1156" t="s">
        <v>4593</v>
      </c>
      <c r="C1156" t="s">
        <v>6548</v>
      </c>
      <c r="D1156" t="s">
        <v>4372</v>
      </c>
      <c r="E1156">
        <v>40</v>
      </c>
      <c r="F1156" t="s">
        <v>6549</v>
      </c>
      <c r="G1156">
        <v>9266963747</v>
      </c>
      <c r="H1156" t="s">
        <v>4506</v>
      </c>
      <c r="I1156" t="s">
        <v>4507</v>
      </c>
      <c r="J1156" t="s">
        <v>4376</v>
      </c>
      <c r="K1156">
        <v>1.9</v>
      </c>
      <c r="L1156">
        <v>9</v>
      </c>
      <c r="M1156">
        <v>12.1</v>
      </c>
      <c r="N1156" t="s">
        <v>4377</v>
      </c>
      <c r="O1156" t="s">
        <v>4369</v>
      </c>
      <c r="P1156" s="1">
        <v>45875</v>
      </c>
      <c r="Q1156" t="str">
        <f t="shared" si="72"/>
        <v>10+ Years</v>
      </c>
      <c r="R1156" t="str">
        <f>IF(Table7[[#This Row],[Age]]&lt;=25,"20-25",IF(Table7[[#This Row],[Age]]&lt;=30,"26-30",IF(Table7[[#This Row],[Age]]&lt;=35,"31-35","36+")))</f>
        <v>36+</v>
      </c>
      <c r="S1156" t="str">
        <f t="shared" si="73"/>
        <v>August</v>
      </c>
      <c r="T1156" s="2" t="str">
        <f t="shared" si="74"/>
        <v>Q3</v>
      </c>
      <c r="U1156" s="2">
        <f t="shared" si="75"/>
        <v>2025</v>
      </c>
    </row>
    <row r="1157" spans="1:21" x14ac:dyDescent="0.3">
      <c r="A1157" t="s">
        <v>118</v>
      </c>
      <c r="B1157" t="s">
        <v>4648</v>
      </c>
      <c r="C1157" t="s">
        <v>6550</v>
      </c>
      <c r="D1157" t="s">
        <v>4372</v>
      </c>
      <c r="E1157">
        <v>27</v>
      </c>
      <c r="F1157" t="s">
        <v>6551</v>
      </c>
      <c r="G1157">
        <v>9711741037</v>
      </c>
      <c r="H1157" t="s">
        <v>4491</v>
      </c>
      <c r="I1157" t="s">
        <v>4491</v>
      </c>
      <c r="J1157" t="s">
        <v>4389</v>
      </c>
      <c r="K1157">
        <v>1.2</v>
      </c>
      <c r="L1157">
        <v>6.2</v>
      </c>
      <c r="M1157">
        <v>8.8000000000000007</v>
      </c>
      <c r="N1157" t="s">
        <v>4390</v>
      </c>
      <c r="O1157" t="s">
        <v>4383</v>
      </c>
      <c r="P1157" s="1">
        <v>45765</v>
      </c>
      <c r="Q1157" t="str">
        <f t="shared" si="72"/>
        <v>10+ Years</v>
      </c>
      <c r="R1157" t="str">
        <f>IF(Table7[[#This Row],[Age]]&lt;=25,"20-25",IF(Table7[[#This Row],[Age]]&lt;=30,"26-30",IF(Table7[[#This Row],[Age]]&lt;=35,"31-35","36+")))</f>
        <v>26-30</v>
      </c>
      <c r="S1157" t="str">
        <f t="shared" si="73"/>
        <v>April</v>
      </c>
      <c r="T1157" s="2" t="str">
        <f t="shared" si="74"/>
        <v>Q2</v>
      </c>
      <c r="U1157" s="2">
        <f t="shared" si="75"/>
        <v>2025</v>
      </c>
    </row>
    <row r="1158" spans="1:21" x14ac:dyDescent="0.3">
      <c r="A1158" t="s">
        <v>3341</v>
      </c>
      <c r="B1158" t="s">
        <v>5780</v>
      </c>
      <c r="C1158" t="s">
        <v>6552</v>
      </c>
      <c r="D1158" t="s">
        <v>4372</v>
      </c>
      <c r="E1158">
        <v>31</v>
      </c>
      <c r="F1158" t="s">
        <v>6553</v>
      </c>
      <c r="G1158">
        <v>9986545795</v>
      </c>
      <c r="H1158" t="s">
        <v>4381</v>
      </c>
      <c r="I1158" t="s">
        <v>4382</v>
      </c>
      <c r="J1158" t="s">
        <v>4367</v>
      </c>
      <c r="K1158">
        <v>0.5</v>
      </c>
      <c r="M1158">
        <v>4.5999999999999996</v>
      </c>
      <c r="N1158" t="s">
        <v>4390</v>
      </c>
      <c r="O1158" t="s">
        <v>4369</v>
      </c>
      <c r="P1158" s="1">
        <v>45837</v>
      </c>
      <c r="Q1158" t="str">
        <f t="shared" si="72"/>
        <v>10+ Years</v>
      </c>
      <c r="R1158" t="str">
        <f>IF(Table7[[#This Row],[Age]]&lt;=25,"20-25",IF(Table7[[#This Row],[Age]]&lt;=30,"26-30",IF(Table7[[#This Row],[Age]]&lt;=35,"31-35","36+")))</f>
        <v>31-35</v>
      </c>
      <c r="S1158" t="str">
        <f t="shared" si="73"/>
        <v>June</v>
      </c>
      <c r="T1158" s="2" t="str">
        <f t="shared" si="74"/>
        <v>Q2</v>
      </c>
      <c r="U1158" s="2">
        <f t="shared" si="75"/>
        <v>2025</v>
      </c>
    </row>
    <row r="1159" spans="1:21" x14ac:dyDescent="0.3">
      <c r="A1159" t="s">
        <v>2353</v>
      </c>
      <c r="B1159" t="s">
        <v>4619</v>
      </c>
      <c r="C1159" t="s">
        <v>5188</v>
      </c>
      <c r="D1159" t="s">
        <v>4363</v>
      </c>
      <c r="E1159">
        <v>30</v>
      </c>
      <c r="F1159" t="s">
        <v>6554</v>
      </c>
      <c r="G1159">
        <v>9712611662</v>
      </c>
      <c r="H1159" t="s">
        <v>4410</v>
      </c>
      <c r="I1159" t="s">
        <v>4411</v>
      </c>
      <c r="K1159">
        <v>12.1</v>
      </c>
      <c r="L1159">
        <v>24</v>
      </c>
      <c r="M1159">
        <v>29.1</v>
      </c>
      <c r="N1159" t="s">
        <v>4390</v>
      </c>
      <c r="O1159" t="s">
        <v>4485</v>
      </c>
      <c r="P1159" s="1">
        <v>45950</v>
      </c>
      <c r="Q1159" t="str">
        <f t="shared" si="72"/>
        <v>10+ Years</v>
      </c>
      <c r="R1159" t="str">
        <f>IF(Table7[[#This Row],[Age]]&lt;=25,"20-25",IF(Table7[[#This Row],[Age]]&lt;=30,"26-30",IF(Table7[[#This Row],[Age]]&lt;=35,"31-35","36+")))</f>
        <v>26-30</v>
      </c>
      <c r="S1159" t="str">
        <f t="shared" si="73"/>
        <v>October</v>
      </c>
      <c r="T1159" s="2" t="str">
        <f t="shared" si="74"/>
        <v>Q4</v>
      </c>
      <c r="U1159" s="2">
        <f t="shared" si="75"/>
        <v>2025</v>
      </c>
    </row>
    <row r="1160" spans="1:21" x14ac:dyDescent="0.3">
      <c r="A1160" t="s">
        <v>6555</v>
      </c>
      <c r="B1160" t="s">
        <v>4467</v>
      </c>
      <c r="C1160" t="s">
        <v>4460</v>
      </c>
      <c r="D1160" t="s">
        <v>4372</v>
      </c>
      <c r="E1160">
        <v>27</v>
      </c>
      <c r="F1160" t="s">
        <v>6556</v>
      </c>
      <c r="G1160">
        <v>9876252386</v>
      </c>
      <c r="H1160" t="s">
        <v>4381</v>
      </c>
      <c r="I1160" t="s">
        <v>4382</v>
      </c>
      <c r="J1160" t="s">
        <v>4389</v>
      </c>
      <c r="K1160">
        <v>1</v>
      </c>
      <c r="L1160">
        <v>6.1</v>
      </c>
      <c r="M1160">
        <v>8.3000000000000007</v>
      </c>
      <c r="N1160" t="s">
        <v>4390</v>
      </c>
      <c r="O1160" t="s">
        <v>4369</v>
      </c>
      <c r="P1160" s="1">
        <v>45936</v>
      </c>
      <c r="Q1160" t="str">
        <f t="shared" si="72"/>
        <v>10+ Years</v>
      </c>
      <c r="R1160" t="str">
        <f>IF(Table7[[#This Row],[Age]]&lt;=25,"20-25",IF(Table7[[#This Row],[Age]]&lt;=30,"26-30",IF(Table7[[#This Row],[Age]]&lt;=35,"31-35","36+")))</f>
        <v>26-30</v>
      </c>
      <c r="S1160" t="str">
        <f t="shared" si="73"/>
        <v>October</v>
      </c>
      <c r="T1160" s="2" t="str">
        <f t="shared" si="74"/>
        <v>Q4</v>
      </c>
      <c r="U1160" s="2">
        <f t="shared" si="75"/>
        <v>2025</v>
      </c>
    </row>
    <row r="1161" spans="1:21" x14ac:dyDescent="0.3">
      <c r="A1161" t="s">
        <v>2271</v>
      </c>
      <c r="B1161" t="s">
        <v>5518</v>
      </c>
      <c r="C1161" t="s">
        <v>5084</v>
      </c>
      <c r="D1161" t="s">
        <v>4363</v>
      </c>
      <c r="E1161">
        <v>31</v>
      </c>
      <c r="F1161" t="s">
        <v>6557</v>
      </c>
      <c r="G1161">
        <v>9333645901</v>
      </c>
      <c r="H1161" t="s">
        <v>4521</v>
      </c>
      <c r="I1161" t="s">
        <v>4522</v>
      </c>
      <c r="J1161" t="s">
        <v>4415</v>
      </c>
      <c r="K1161">
        <v>14.5</v>
      </c>
      <c r="L1161">
        <v>22</v>
      </c>
      <c r="M1161">
        <v>28.4</v>
      </c>
      <c r="N1161" t="s">
        <v>4390</v>
      </c>
      <c r="O1161" t="s">
        <v>4391</v>
      </c>
      <c r="P1161" s="1">
        <v>45892</v>
      </c>
      <c r="Q1161" t="str">
        <f t="shared" si="72"/>
        <v>10+ Years</v>
      </c>
      <c r="R1161" t="str">
        <f>IF(Table7[[#This Row],[Age]]&lt;=25,"20-25",IF(Table7[[#This Row],[Age]]&lt;=30,"26-30",IF(Table7[[#This Row],[Age]]&lt;=35,"31-35","36+")))</f>
        <v>31-35</v>
      </c>
      <c r="S1161" t="str">
        <f t="shared" si="73"/>
        <v>August</v>
      </c>
      <c r="T1161" s="2" t="str">
        <f t="shared" si="74"/>
        <v>Q3</v>
      </c>
      <c r="U1161" s="2">
        <f t="shared" si="75"/>
        <v>2025</v>
      </c>
    </row>
    <row r="1162" spans="1:21" x14ac:dyDescent="0.3">
      <c r="A1162" t="s">
        <v>169</v>
      </c>
      <c r="B1162" t="s">
        <v>6558</v>
      </c>
      <c r="C1162" t="s">
        <v>6559</v>
      </c>
      <c r="D1162" t="s">
        <v>4372</v>
      </c>
      <c r="E1162">
        <v>25</v>
      </c>
      <c r="F1162" t="s">
        <v>6560</v>
      </c>
      <c r="G1162">
        <v>9773149831</v>
      </c>
      <c r="H1162" t="s">
        <v>4365</v>
      </c>
      <c r="I1162" t="s">
        <v>4366</v>
      </c>
      <c r="J1162" t="s">
        <v>4618</v>
      </c>
      <c r="K1162">
        <v>0.2</v>
      </c>
      <c r="L1162">
        <v>2.5</v>
      </c>
      <c r="M1162">
        <v>3.5</v>
      </c>
      <c r="N1162" t="s">
        <v>4368</v>
      </c>
      <c r="O1162" t="s">
        <v>4400</v>
      </c>
      <c r="P1162" s="1">
        <v>45853</v>
      </c>
      <c r="Q1162" t="str">
        <f t="shared" si="72"/>
        <v>10+ Years</v>
      </c>
      <c r="R1162" t="str">
        <f>IF(Table7[[#This Row],[Age]]&lt;=25,"20-25",IF(Table7[[#This Row],[Age]]&lt;=30,"26-30",IF(Table7[[#This Row],[Age]]&lt;=35,"31-35","36+")))</f>
        <v>20-25</v>
      </c>
      <c r="S1162" t="str">
        <f t="shared" si="73"/>
        <v>July</v>
      </c>
      <c r="T1162" s="2" t="str">
        <f t="shared" si="74"/>
        <v>Q3</v>
      </c>
      <c r="U1162" s="2">
        <f t="shared" si="75"/>
        <v>2025</v>
      </c>
    </row>
    <row r="1163" spans="1:21" x14ac:dyDescent="0.3">
      <c r="A1163" t="s">
        <v>265</v>
      </c>
      <c r="B1163" t="s">
        <v>6561</v>
      </c>
      <c r="C1163" t="s">
        <v>6562</v>
      </c>
      <c r="D1163" t="s">
        <v>4363</v>
      </c>
      <c r="E1163">
        <v>27</v>
      </c>
      <c r="F1163" t="s">
        <v>6563</v>
      </c>
      <c r="G1163">
        <v>9704579407</v>
      </c>
      <c r="H1163" t="s">
        <v>4395</v>
      </c>
      <c r="I1163" t="s">
        <v>4396</v>
      </c>
      <c r="J1163" t="s">
        <v>4389</v>
      </c>
      <c r="K1163">
        <v>1.9</v>
      </c>
      <c r="L1163">
        <v>8.3000000000000007</v>
      </c>
      <c r="M1163">
        <v>10.1</v>
      </c>
      <c r="N1163" t="s">
        <v>4390</v>
      </c>
      <c r="O1163" t="s">
        <v>4391</v>
      </c>
      <c r="P1163" s="1">
        <v>45910</v>
      </c>
      <c r="Q1163" t="str">
        <f t="shared" si="72"/>
        <v>10+ Years</v>
      </c>
      <c r="R1163" t="str">
        <f>IF(Table7[[#This Row],[Age]]&lt;=25,"20-25",IF(Table7[[#This Row],[Age]]&lt;=30,"26-30",IF(Table7[[#This Row],[Age]]&lt;=35,"31-35","36+")))</f>
        <v>26-30</v>
      </c>
      <c r="S1163" t="str">
        <f t="shared" si="73"/>
        <v>September</v>
      </c>
      <c r="T1163" s="2" t="str">
        <f t="shared" si="74"/>
        <v>Q3</v>
      </c>
      <c r="U1163" s="2">
        <f t="shared" si="75"/>
        <v>2025</v>
      </c>
    </row>
    <row r="1164" spans="1:21" x14ac:dyDescent="0.3">
      <c r="A1164" t="s">
        <v>792</v>
      </c>
      <c r="B1164" t="s">
        <v>6564</v>
      </c>
      <c r="C1164" t="s">
        <v>6565</v>
      </c>
      <c r="D1164" t="s">
        <v>4363</v>
      </c>
      <c r="E1164">
        <v>35</v>
      </c>
      <c r="F1164" t="s">
        <v>6566</v>
      </c>
      <c r="G1164">
        <v>9212719421</v>
      </c>
      <c r="H1164" t="s">
        <v>4454</v>
      </c>
      <c r="I1164" t="s">
        <v>4455</v>
      </c>
      <c r="J1164" t="s">
        <v>4432</v>
      </c>
      <c r="K1164">
        <v>4.5</v>
      </c>
      <c r="L1164">
        <v>9.9</v>
      </c>
      <c r="M1164">
        <v>12.1</v>
      </c>
      <c r="N1164" t="s">
        <v>4406</v>
      </c>
      <c r="O1164" t="s">
        <v>4369</v>
      </c>
      <c r="P1164" s="1">
        <v>45772</v>
      </c>
      <c r="Q1164" t="str">
        <f t="shared" si="72"/>
        <v>10+ Years</v>
      </c>
      <c r="R1164" t="str">
        <f>IF(Table7[[#This Row],[Age]]&lt;=25,"20-25",IF(Table7[[#This Row],[Age]]&lt;=30,"26-30",IF(Table7[[#This Row],[Age]]&lt;=35,"31-35","36+")))</f>
        <v>31-35</v>
      </c>
      <c r="S1164" t="str">
        <f t="shared" si="73"/>
        <v>April</v>
      </c>
      <c r="T1164" s="2" t="str">
        <f t="shared" si="74"/>
        <v>Q2</v>
      </c>
      <c r="U1164" s="2">
        <f t="shared" si="75"/>
        <v>2025</v>
      </c>
    </row>
    <row r="1165" spans="1:21" x14ac:dyDescent="0.3">
      <c r="A1165" t="s">
        <v>3986</v>
      </c>
      <c r="B1165" t="s">
        <v>4436</v>
      </c>
      <c r="C1165" t="s">
        <v>4620</v>
      </c>
      <c r="D1165" t="s">
        <v>4363</v>
      </c>
      <c r="E1165">
        <v>38</v>
      </c>
      <c r="F1165" t="s">
        <v>6567</v>
      </c>
      <c r="G1165">
        <v>9514401240</v>
      </c>
      <c r="H1165" t="s">
        <v>4491</v>
      </c>
      <c r="I1165" t="s">
        <v>4491</v>
      </c>
      <c r="J1165" t="s">
        <v>4608</v>
      </c>
      <c r="K1165">
        <v>5.6</v>
      </c>
      <c r="L1165">
        <v>12</v>
      </c>
      <c r="M1165">
        <v>15</v>
      </c>
      <c r="N1165" t="s">
        <v>4390</v>
      </c>
      <c r="O1165" t="s">
        <v>4400</v>
      </c>
      <c r="P1165" s="1">
        <v>45843</v>
      </c>
      <c r="Q1165" t="str">
        <f t="shared" si="72"/>
        <v>10+ Years</v>
      </c>
      <c r="R1165" t="str">
        <f>IF(Table7[[#This Row],[Age]]&lt;=25,"20-25",IF(Table7[[#This Row],[Age]]&lt;=30,"26-30",IF(Table7[[#This Row],[Age]]&lt;=35,"31-35","36+")))</f>
        <v>36+</v>
      </c>
      <c r="S1165" t="str">
        <f t="shared" si="73"/>
        <v>July</v>
      </c>
      <c r="T1165" s="2" t="str">
        <f t="shared" si="74"/>
        <v>Q3</v>
      </c>
      <c r="U1165" s="2">
        <f t="shared" si="75"/>
        <v>2025</v>
      </c>
    </row>
    <row r="1166" spans="1:21" x14ac:dyDescent="0.3">
      <c r="A1166" t="s">
        <v>1788</v>
      </c>
      <c r="B1166" t="s">
        <v>6568</v>
      </c>
      <c r="C1166" t="s">
        <v>5264</v>
      </c>
      <c r="D1166" t="s">
        <v>4363</v>
      </c>
      <c r="E1166">
        <v>34</v>
      </c>
      <c r="F1166" t="s">
        <v>6569</v>
      </c>
      <c r="G1166">
        <v>9493532560</v>
      </c>
      <c r="H1166" t="s">
        <v>4387</v>
      </c>
      <c r="I1166" t="s">
        <v>4388</v>
      </c>
      <c r="J1166" t="s">
        <v>4482</v>
      </c>
      <c r="K1166">
        <v>3.1</v>
      </c>
      <c r="L1166">
        <v>8.5</v>
      </c>
      <c r="M1166">
        <v>10.7</v>
      </c>
      <c r="N1166" t="s">
        <v>4377</v>
      </c>
      <c r="O1166" t="s">
        <v>4369</v>
      </c>
      <c r="P1166" s="1">
        <v>45698</v>
      </c>
      <c r="Q1166" t="str">
        <f t="shared" si="72"/>
        <v>10+ Years</v>
      </c>
      <c r="R1166" t="str">
        <f>IF(Table7[[#This Row],[Age]]&lt;=25,"20-25",IF(Table7[[#This Row],[Age]]&lt;=30,"26-30",IF(Table7[[#This Row],[Age]]&lt;=35,"31-35","36+")))</f>
        <v>31-35</v>
      </c>
      <c r="S1166" t="str">
        <f t="shared" si="73"/>
        <v>February</v>
      </c>
      <c r="T1166" s="2" t="str">
        <f t="shared" si="74"/>
        <v>Q1</v>
      </c>
      <c r="U1166" s="2">
        <f t="shared" si="75"/>
        <v>2025</v>
      </c>
    </row>
    <row r="1167" spans="1:21" x14ac:dyDescent="0.3">
      <c r="A1167" t="s">
        <v>2383</v>
      </c>
      <c r="B1167" t="s">
        <v>5816</v>
      </c>
      <c r="C1167" t="s">
        <v>6380</v>
      </c>
      <c r="D1167" t="s">
        <v>4363</v>
      </c>
      <c r="E1167">
        <v>29</v>
      </c>
      <c r="F1167" t="s">
        <v>6570</v>
      </c>
      <c r="G1167">
        <v>9645718651</v>
      </c>
      <c r="H1167" t="s">
        <v>4395</v>
      </c>
      <c r="I1167" t="s">
        <v>4396</v>
      </c>
      <c r="J1167" t="s">
        <v>4376</v>
      </c>
      <c r="K1167">
        <v>2.4</v>
      </c>
      <c r="L1167">
        <v>6.7</v>
      </c>
      <c r="M1167">
        <v>9.6</v>
      </c>
      <c r="N1167" t="s">
        <v>4406</v>
      </c>
      <c r="O1167" t="s">
        <v>4400</v>
      </c>
      <c r="P1167" s="1">
        <v>45913</v>
      </c>
      <c r="Q1167" t="str">
        <f t="shared" si="72"/>
        <v>10+ Years</v>
      </c>
      <c r="R1167" t="str">
        <f>IF(Table7[[#This Row],[Age]]&lt;=25,"20-25",IF(Table7[[#This Row],[Age]]&lt;=30,"26-30",IF(Table7[[#This Row],[Age]]&lt;=35,"31-35","36+")))</f>
        <v>26-30</v>
      </c>
      <c r="S1167" t="str">
        <f t="shared" si="73"/>
        <v>September</v>
      </c>
      <c r="T1167" s="2" t="str">
        <f t="shared" si="74"/>
        <v>Q3</v>
      </c>
      <c r="U1167" s="2">
        <f t="shared" si="75"/>
        <v>2025</v>
      </c>
    </row>
    <row r="1168" spans="1:21" x14ac:dyDescent="0.3">
      <c r="A1168" t="s">
        <v>2274</v>
      </c>
      <c r="B1168" t="s">
        <v>4959</v>
      </c>
      <c r="C1168" t="s">
        <v>5758</v>
      </c>
      <c r="D1168" t="s">
        <v>4363</v>
      </c>
      <c r="E1168">
        <v>32</v>
      </c>
      <c r="F1168" t="s">
        <v>6571</v>
      </c>
      <c r="G1168">
        <v>9369183044</v>
      </c>
      <c r="H1168" t="s">
        <v>4445</v>
      </c>
      <c r="I1168" t="s">
        <v>4396</v>
      </c>
      <c r="J1168" t="s">
        <v>4446</v>
      </c>
      <c r="K1168">
        <v>4.5999999999999996</v>
      </c>
      <c r="L1168">
        <v>15.5</v>
      </c>
      <c r="M1168">
        <v>20.6</v>
      </c>
      <c r="N1168" t="s">
        <v>4390</v>
      </c>
      <c r="O1168" t="s">
        <v>4383</v>
      </c>
      <c r="P1168" s="1">
        <v>45752</v>
      </c>
      <c r="Q1168" t="str">
        <f t="shared" si="72"/>
        <v>10+ Years</v>
      </c>
      <c r="R1168" t="str">
        <f>IF(Table7[[#This Row],[Age]]&lt;=25,"20-25",IF(Table7[[#This Row],[Age]]&lt;=30,"26-30",IF(Table7[[#This Row],[Age]]&lt;=35,"31-35","36+")))</f>
        <v>31-35</v>
      </c>
      <c r="S1168" t="str">
        <f t="shared" si="73"/>
        <v>April</v>
      </c>
      <c r="T1168" s="2" t="str">
        <f t="shared" si="74"/>
        <v>Q2</v>
      </c>
      <c r="U1168" s="2">
        <f t="shared" si="75"/>
        <v>2025</v>
      </c>
    </row>
    <row r="1169" spans="1:21" x14ac:dyDescent="0.3">
      <c r="A1169" t="s">
        <v>465</v>
      </c>
      <c r="B1169" t="s">
        <v>5157</v>
      </c>
      <c r="C1169" t="s">
        <v>4489</v>
      </c>
      <c r="D1169" t="s">
        <v>4363</v>
      </c>
      <c r="E1169">
        <v>29</v>
      </c>
      <c r="F1169" t="s">
        <v>6572</v>
      </c>
      <c r="G1169">
        <v>9483568804</v>
      </c>
      <c r="H1169" t="s">
        <v>4404</v>
      </c>
      <c r="I1169" t="s">
        <v>4405</v>
      </c>
      <c r="J1169" t="s">
        <v>4376</v>
      </c>
      <c r="K1169">
        <v>0.2</v>
      </c>
      <c r="L1169">
        <v>5.7</v>
      </c>
      <c r="M1169">
        <v>6.7</v>
      </c>
      <c r="N1169" t="s">
        <v>4390</v>
      </c>
      <c r="O1169" t="s">
        <v>4391</v>
      </c>
      <c r="P1169" s="1">
        <v>45792</v>
      </c>
      <c r="Q1169" t="str">
        <f t="shared" si="72"/>
        <v>10+ Years</v>
      </c>
      <c r="R1169" t="str">
        <f>IF(Table7[[#This Row],[Age]]&lt;=25,"20-25",IF(Table7[[#This Row],[Age]]&lt;=30,"26-30",IF(Table7[[#This Row],[Age]]&lt;=35,"31-35","36+")))</f>
        <v>26-30</v>
      </c>
      <c r="S1169" t="str">
        <f t="shared" si="73"/>
        <v>May</v>
      </c>
      <c r="T1169" s="2" t="str">
        <f t="shared" si="74"/>
        <v>Q2</v>
      </c>
      <c r="U1169" s="2">
        <f t="shared" si="75"/>
        <v>2025</v>
      </c>
    </row>
    <row r="1170" spans="1:21" x14ac:dyDescent="0.3">
      <c r="A1170" t="s">
        <v>1284</v>
      </c>
      <c r="B1170" t="s">
        <v>5124</v>
      </c>
      <c r="C1170" t="s">
        <v>4794</v>
      </c>
      <c r="D1170" t="s">
        <v>4363</v>
      </c>
      <c r="E1170">
        <v>27</v>
      </c>
      <c r="F1170" t="s">
        <v>6573</v>
      </c>
      <c r="G1170">
        <v>9897061108</v>
      </c>
      <c r="H1170" t="s">
        <v>4365</v>
      </c>
      <c r="I1170" t="s">
        <v>4366</v>
      </c>
      <c r="J1170" t="s">
        <v>4389</v>
      </c>
      <c r="K1170">
        <v>1.2</v>
      </c>
      <c r="L1170">
        <v>6.5</v>
      </c>
      <c r="M1170">
        <v>8.1</v>
      </c>
      <c r="N1170" t="s">
        <v>4406</v>
      </c>
      <c r="O1170" t="s">
        <v>4400</v>
      </c>
      <c r="P1170" s="1">
        <v>45940</v>
      </c>
      <c r="Q1170" t="str">
        <f t="shared" si="72"/>
        <v>10+ Years</v>
      </c>
      <c r="R1170" t="str">
        <f>IF(Table7[[#This Row],[Age]]&lt;=25,"20-25",IF(Table7[[#This Row],[Age]]&lt;=30,"26-30",IF(Table7[[#This Row],[Age]]&lt;=35,"31-35","36+")))</f>
        <v>26-30</v>
      </c>
      <c r="S1170" t="str">
        <f t="shared" si="73"/>
        <v>October</v>
      </c>
      <c r="T1170" s="2" t="str">
        <f t="shared" si="74"/>
        <v>Q4</v>
      </c>
      <c r="U1170" s="2">
        <f t="shared" si="75"/>
        <v>2025</v>
      </c>
    </row>
    <row r="1171" spans="1:21" x14ac:dyDescent="0.3">
      <c r="A1171" t="s">
        <v>546</v>
      </c>
      <c r="B1171" t="s">
        <v>4934</v>
      </c>
      <c r="C1171" t="s">
        <v>5443</v>
      </c>
      <c r="D1171" t="s">
        <v>4363</v>
      </c>
      <c r="E1171">
        <v>21</v>
      </c>
      <c r="F1171" t="s">
        <v>6574</v>
      </c>
      <c r="G1171">
        <v>9836018234</v>
      </c>
      <c r="H1171" t="s">
        <v>4473</v>
      </c>
      <c r="I1171" t="s">
        <v>4473</v>
      </c>
      <c r="J1171" t="s">
        <v>4376</v>
      </c>
      <c r="K1171">
        <v>10.1</v>
      </c>
      <c r="L1171">
        <v>15.5</v>
      </c>
      <c r="M1171">
        <v>22</v>
      </c>
      <c r="N1171" t="s">
        <v>4406</v>
      </c>
      <c r="O1171" t="s">
        <v>4419</v>
      </c>
      <c r="P1171" s="1">
        <v>45973</v>
      </c>
      <c r="Q1171" t="str">
        <f t="shared" si="72"/>
        <v>10+ Years</v>
      </c>
      <c r="R1171" t="str">
        <f>IF(Table7[[#This Row],[Age]]&lt;=25,"20-25",IF(Table7[[#This Row],[Age]]&lt;=30,"26-30",IF(Table7[[#This Row],[Age]]&lt;=35,"31-35","36+")))</f>
        <v>20-25</v>
      </c>
      <c r="S1171" t="str">
        <f t="shared" si="73"/>
        <v>November</v>
      </c>
      <c r="T1171" s="2" t="str">
        <f t="shared" si="74"/>
        <v>Q4</v>
      </c>
      <c r="U1171" s="2">
        <f t="shared" si="75"/>
        <v>2025</v>
      </c>
    </row>
    <row r="1172" spans="1:21" x14ac:dyDescent="0.3">
      <c r="A1172" t="s">
        <v>2360</v>
      </c>
      <c r="B1172" t="s">
        <v>6432</v>
      </c>
      <c r="C1172" t="s">
        <v>5282</v>
      </c>
      <c r="D1172" t="s">
        <v>4363</v>
      </c>
      <c r="E1172">
        <v>25</v>
      </c>
      <c r="F1172" t="s">
        <v>6575</v>
      </c>
      <c r="G1172">
        <v>9354355722</v>
      </c>
      <c r="H1172" t="s">
        <v>4387</v>
      </c>
      <c r="I1172" t="s">
        <v>4388</v>
      </c>
      <c r="J1172" t="s">
        <v>4482</v>
      </c>
      <c r="K1172">
        <v>2.2000000000000002</v>
      </c>
      <c r="L1172">
        <v>3.5</v>
      </c>
      <c r="M1172">
        <v>4.0999999999999996</v>
      </c>
      <c r="N1172" t="s">
        <v>4377</v>
      </c>
      <c r="O1172" t="s">
        <v>4369</v>
      </c>
      <c r="P1172" s="1">
        <v>45951</v>
      </c>
      <c r="Q1172" t="str">
        <f t="shared" si="72"/>
        <v>10+ Years</v>
      </c>
      <c r="R1172" t="str">
        <f>IF(Table7[[#This Row],[Age]]&lt;=25,"20-25",IF(Table7[[#This Row],[Age]]&lt;=30,"26-30",IF(Table7[[#This Row],[Age]]&lt;=35,"31-35","36+")))</f>
        <v>20-25</v>
      </c>
      <c r="S1172" t="str">
        <f t="shared" si="73"/>
        <v>October</v>
      </c>
      <c r="T1172" s="2" t="str">
        <f t="shared" si="74"/>
        <v>Q4</v>
      </c>
      <c r="U1172" s="2">
        <f t="shared" si="75"/>
        <v>2025</v>
      </c>
    </row>
    <row r="1173" spans="1:21" x14ac:dyDescent="0.3">
      <c r="A1173" t="s">
        <v>985</v>
      </c>
      <c r="B1173" t="s">
        <v>4470</v>
      </c>
      <c r="C1173" t="s">
        <v>5255</v>
      </c>
      <c r="D1173" t="s">
        <v>4363</v>
      </c>
      <c r="E1173">
        <v>29</v>
      </c>
      <c r="F1173" t="s">
        <v>6576</v>
      </c>
      <c r="G1173">
        <v>9615647320</v>
      </c>
      <c r="H1173" t="s">
        <v>4506</v>
      </c>
      <c r="I1173" t="s">
        <v>4507</v>
      </c>
      <c r="J1173" t="s">
        <v>4367</v>
      </c>
      <c r="K1173">
        <v>2.2999999999999998</v>
      </c>
      <c r="L1173">
        <v>10.1</v>
      </c>
      <c r="M1173">
        <v>12</v>
      </c>
      <c r="N1173" t="s">
        <v>4406</v>
      </c>
      <c r="O1173" t="s">
        <v>4400</v>
      </c>
      <c r="P1173" s="1">
        <v>45813</v>
      </c>
      <c r="Q1173" t="str">
        <f t="shared" si="72"/>
        <v>10+ Years</v>
      </c>
      <c r="R1173" t="str">
        <f>IF(Table7[[#This Row],[Age]]&lt;=25,"20-25",IF(Table7[[#This Row],[Age]]&lt;=30,"26-30",IF(Table7[[#This Row],[Age]]&lt;=35,"31-35","36+")))</f>
        <v>26-30</v>
      </c>
      <c r="S1173" t="str">
        <f t="shared" si="73"/>
        <v>June</v>
      </c>
      <c r="T1173" s="2" t="str">
        <f t="shared" si="74"/>
        <v>Q2</v>
      </c>
      <c r="U1173" s="2">
        <f t="shared" si="75"/>
        <v>2025</v>
      </c>
    </row>
    <row r="1174" spans="1:21" x14ac:dyDescent="0.3">
      <c r="A1174" t="s">
        <v>2728</v>
      </c>
      <c r="B1174" t="s">
        <v>5740</v>
      </c>
      <c r="C1174" t="s">
        <v>6577</v>
      </c>
      <c r="D1174" t="s">
        <v>4372</v>
      </c>
      <c r="E1174">
        <v>21</v>
      </c>
      <c r="F1174" t="s">
        <v>6578</v>
      </c>
      <c r="G1174">
        <v>9837983378</v>
      </c>
      <c r="H1174" t="s">
        <v>4395</v>
      </c>
      <c r="I1174" t="s">
        <v>4396</v>
      </c>
      <c r="J1174" t="s">
        <v>4415</v>
      </c>
      <c r="K1174">
        <v>0.4</v>
      </c>
      <c r="L1174">
        <v>10.4</v>
      </c>
      <c r="M1174">
        <v>11.9</v>
      </c>
      <c r="N1174" t="s">
        <v>4406</v>
      </c>
      <c r="O1174" t="s">
        <v>4391</v>
      </c>
      <c r="P1174" s="1">
        <v>46000</v>
      </c>
      <c r="Q1174" t="str">
        <f t="shared" si="72"/>
        <v>10+ Years</v>
      </c>
      <c r="R1174" t="str">
        <f>IF(Table7[[#This Row],[Age]]&lt;=25,"20-25",IF(Table7[[#This Row],[Age]]&lt;=30,"26-30",IF(Table7[[#This Row],[Age]]&lt;=35,"31-35","36+")))</f>
        <v>20-25</v>
      </c>
      <c r="S1174" t="str">
        <f t="shared" si="73"/>
        <v>December</v>
      </c>
      <c r="T1174" s="2" t="str">
        <f t="shared" si="74"/>
        <v>Q4</v>
      </c>
      <c r="U1174" s="2">
        <f t="shared" si="75"/>
        <v>2025</v>
      </c>
    </row>
    <row r="1175" spans="1:21" x14ac:dyDescent="0.3">
      <c r="A1175" t="s">
        <v>171</v>
      </c>
      <c r="B1175" t="s">
        <v>5400</v>
      </c>
      <c r="C1175" t="s">
        <v>6579</v>
      </c>
      <c r="D1175" t="s">
        <v>4372</v>
      </c>
      <c r="E1175">
        <v>30</v>
      </c>
      <c r="F1175" t="s">
        <v>6580</v>
      </c>
      <c r="G1175">
        <v>9147028967</v>
      </c>
      <c r="H1175" t="s">
        <v>4381</v>
      </c>
      <c r="I1175" t="s">
        <v>4382</v>
      </c>
      <c r="J1175" t="s">
        <v>4376</v>
      </c>
      <c r="K1175">
        <v>2.2000000000000002</v>
      </c>
      <c r="L1175">
        <v>6.9</v>
      </c>
      <c r="M1175">
        <v>9.4</v>
      </c>
      <c r="N1175" t="s">
        <v>4406</v>
      </c>
      <c r="O1175" t="s">
        <v>4369</v>
      </c>
      <c r="P1175" s="1">
        <v>46000</v>
      </c>
      <c r="Q1175" t="str">
        <f t="shared" si="72"/>
        <v>10+ Years</v>
      </c>
      <c r="R1175" t="str">
        <f>IF(Table7[[#This Row],[Age]]&lt;=25,"20-25",IF(Table7[[#This Row],[Age]]&lt;=30,"26-30",IF(Table7[[#This Row],[Age]]&lt;=35,"31-35","36+")))</f>
        <v>26-30</v>
      </c>
      <c r="S1175" t="str">
        <f t="shared" si="73"/>
        <v>December</v>
      </c>
      <c r="T1175" s="2" t="str">
        <f t="shared" si="74"/>
        <v>Q4</v>
      </c>
      <c r="U1175" s="2">
        <f t="shared" si="75"/>
        <v>2025</v>
      </c>
    </row>
    <row r="1176" spans="1:21" x14ac:dyDescent="0.3">
      <c r="A1176" t="s">
        <v>3328</v>
      </c>
      <c r="B1176" t="s">
        <v>4500</v>
      </c>
      <c r="C1176" t="s">
        <v>6581</v>
      </c>
      <c r="D1176" t="s">
        <v>4372</v>
      </c>
      <c r="E1176">
        <v>36</v>
      </c>
      <c r="F1176" t="s">
        <v>6582</v>
      </c>
      <c r="G1176">
        <v>9267359922</v>
      </c>
      <c r="H1176" t="s">
        <v>4404</v>
      </c>
      <c r="I1176" t="s">
        <v>4405</v>
      </c>
      <c r="J1176" t="s">
        <v>4367</v>
      </c>
      <c r="K1176">
        <v>0.8</v>
      </c>
      <c r="L1176">
        <v>5.4</v>
      </c>
      <c r="M1176">
        <v>6.8</v>
      </c>
      <c r="N1176" t="s">
        <v>4390</v>
      </c>
      <c r="O1176" t="s">
        <v>4485</v>
      </c>
      <c r="P1176" s="1">
        <v>45838</v>
      </c>
      <c r="Q1176" t="str">
        <f t="shared" si="72"/>
        <v>10+ Years</v>
      </c>
      <c r="R1176" t="str">
        <f>IF(Table7[[#This Row],[Age]]&lt;=25,"20-25",IF(Table7[[#This Row],[Age]]&lt;=30,"26-30",IF(Table7[[#This Row],[Age]]&lt;=35,"31-35","36+")))</f>
        <v>36+</v>
      </c>
      <c r="S1176" t="str">
        <f t="shared" si="73"/>
        <v>June</v>
      </c>
      <c r="T1176" s="2" t="str">
        <f t="shared" si="74"/>
        <v>Q2</v>
      </c>
      <c r="U1176" s="2">
        <f t="shared" si="75"/>
        <v>2025</v>
      </c>
    </row>
    <row r="1177" spans="1:21" x14ac:dyDescent="0.3">
      <c r="A1177" t="s">
        <v>1543</v>
      </c>
      <c r="B1177" t="s">
        <v>4846</v>
      </c>
      <c r="C1177" t="s">
        <v>5325</v>
      </c>
      <c r="D1177" t="s">
        <v>4363</v>
      </c>
      <c r="E1177">
        <v>30</v>
      </c>
      <c r="F1177" t="s">
        <v>6583</v>
      </c>
      <c r="G1177">
        <v>9908734973</v>
      </c>
      <c r="H1177" t="s">
        <v>4395</v>
      </c>
      <c r="I1177" t="s">
        <v>4396</v>
      </c>
      <c r="J1177" t="s">
        <v>4415</v>
      </c>
      <c r="K1177">
        <v>0.4</v>
      </c>
      <c r="L1177">
        <v>2.5</v>
      </c>
      <c r="M1177">
        <v>3.1</v>
      </c>
      <c r="N1177" t="s">
        <v>4390</v>
      </c>
      <c r="O1177" t="s">
        <v>4485</v>
      </c>
      <c r="P1177" s="1">
        <v>45861</v>
      </c>
      <c r="Q1177" t="str">
        <f t="shared" si="72"/>
        <v>10+ Years</v>
      </c>
      <c r="R1177" t="str">
        <f>IF(Table7[[#This Row],[Age]]&lt;=25,"20-25",IF(Table7[[#This Row],[Age]]&lt;=30,"26-30",IF(Table7[[#This Row],[Age]]&lt;=35,"31-35","36+")))</f>
        <v>26-30</v>
      </c>
      <c r="S1177" t="str">
        <f t="shared" si="73"/>
        <v>July</v>
      </c>
      <c r="T1177" s="2" t="str">
        <f t="shared" si="74"/>
        <v>Q3</v>
      </c>
      <c r="U1177" s="2">
        <f t="shared" si="75"/>
        <v>2025</v>
      </c>
    </row>
    <row r="1178" spans="1:21" x14ac:dyDescent="0.3">
      <c r="A1178" t="s">
        <v>3277</v>
      </c>
      <c r="B1178" t="s">
        <v>5780</v>
      </c>
      <c r="C1178" t="s">
        <v>5098</v>
      </c>
      <c r="D1178" t="s">
        <v>4363</v>
      </c>
      <c r="E1178">
        <v>28</v>
      </c>
      <c r="F1178" t="s">
        <v>6584</v>
      </c>
      <c r="G1178">
        <v>9535690497</v>
      </c>
      <c r="H1178" t="s">
        <v>4521</v>
      </c>
      <c r="I1178" t="s">
        <v>4522</v>
      </c>
      <c r="K1178">
        <v>0.4</v>
      </c>
      <c r="L1178">
        <v>6.8</v>
      </c>
      <c r="M1178">
        <v>9.8000000000000007</v>
      </c>
      <c r="O1178" t="s">
        <v>4391</v>
      </c>
      <c r="P1178" s="1">
        <v>45863</v>
      </c>
      <c r="Q1178" t="str">
        <f t="shared" si="72"/>
        <v>10+ Years</v>
      </c>
      <c r="R1178" t="str">
        <f>IF(Table7[[#This Row],[Age]]&lt;=25,"20-25",IF(Table7[[#This Row],[Age]]&lt;=30,"26-30",IF(Table7[[#This Row],[Age]]&lt;=35,"31-35","36+")))</f>
        <v>26-30</v>
      </c>
      <c r="S1178" t="str">
        <f t="shared" si="73"/>
        <v>July</v>
      </c>
      <c r="T1178" s="2" t="str">
        <f t="shared" si="74"/>
        <v>Q3</v>
      </c>
      <c r="U1178" s="2">
        <f t="shared" si="75"/>
        <v>2025</v>
      </c>
    </row>
    <row r="1179" spans="1:21" x14ac:dyDescent="0.3">
      <c r="A1179" t="s">
        <v>1162</v>
      </c>
      <c r="B1179" t="s">
        <v>4416</v>
      </c>
      <c r="C1179" t="s">
        <v>4690</v>
      </c>
      <c r="D1179" t="s">
        <v>4363</v>
      </c>
      <c r="E1179">
        <v>32</v>
      </c>
      <c r="F1179" t="s">
        <v>6585</v>
      </c>
      <c r="G1179">
        <v>9480946361</v>
      </c>
      <c r="H1179" t="s">
        <v>4387</v>
      </c>
      <c r="I1179" t="s">
        <v>4388</v>
      </c>
      <c r="J1179" t="s">
        <v>4389</v>
      </c>
      <c r="K1179">
        <v>0.7</v>
      </c>
      <c r="L1179">
        <v>10.7</v>
      </c>
      <c r="M1179">
        <v>12.6</v>
      </c>
      <c r="N1179" t="s">
        <v>4390</v>
      </c>
      <c r="O1179" t="s">
        <v>4391</v>
      </c>
      <c r="P1179" s="1">
        <v>45954</v>
      </c>
      <c r="Q1179" t="str">
        <f t="shared" si="72"/>
        <v>10+ Years</v>
      </c>
      <c r="R1179" t="str">
        <f>IF(Table7[[#This Row],[Age]]&lt;=25,"20-25",IF(Table7[[#This Row],[Age]]&lt;=30,"26-30",IF(Table7[[#This Row],[Age]]&lt;=35,"31-35","36+")))</f>
        <v>31-35</v>
      </c>
      <c r="S1179" t="str">
        <f t="shared" si="73"/>
        <v>October</v>
      </c>
      <c r="T1179" s="2" t="str">
        <f t="shared" si="74"/>
        <v>Q4</v>
      </c>
      <c r="U1179" s="2">
        <f t="shared" si="75"/>
        <v>2025</v>
      </c>
    </row>
    <row r="1180" spans="1:21" x14ac:dyDescent="0.3">
      <c r="A1180" t="s">
        <v>359</v>
      </c>
      <c r="B1180" t="s">
        <v>4568</v>
      </c>
      <c r="C1180" t="s">
        <v>6033</v>
      </c>
      <c r="D1180" t="s">
        <v>4363</v>
      </c>
      <c r="E1180">
        <v>29</v>
      </c>
      <c r="F1180" t="s">
        <v>6586</v>
      </c>
      <c r="G1180">
        <v>9224068475</v>
      </c>
      <c r="H1180" t="s">
        <v>4521</v>
      </c>
      <c r="I1180" t="s">
        <v>4522</v>
      </c>
      <c r="J1180" t="s">
        <v>4415</v>
      </c>
      <c r="K1180">
        <v>1.4</v>
      </c>
      <c r="L1180">
        <v>8.1</v>
      </c>
      <c r="M1180">
        <v>9.6</v>
      </c>
      <c r="N1180" t="s">
        <v>4390</v>
      </c>
      <c r="O1180" t="s">
        <v>4456</v>
      </c>
      <c r="P1180" s="1">
        <v>45771</v>
      </c>
      <c r="Q1180" t="str">
        <f t="shared" si="72"/>
        <v>10+ Years</v>
      </c>
      <c r="R1180" t="str">
        <f>IF(Table7[[#This Row],[Age]]&lt;=25,"20-25",IF(Table7[[#This Row],[Age]]&lt;=30,"26-30",IF(Table7[[#This Row],[Age]]&lt;=35,"31-35","36+")))</f>
        <v>26-30</v>
      </c>
      <c r="S1180" t="str">
        <f t="shared" si="73"/>
        <v>April</v>
      </c>
      <c r="T1180" s="2" t="str">
        <f t="shared" si="74"/>
        <v>Q2</v>
      </c>
      <c r="U1180" s="2">
        <f t="shared" si="75"/>
        <v>2025</v>
      </c>
    </row>
    <row r="1181" spans="1:21" x14ac:dyDescent="0.3">
      <c r="A1181" t="s">
        <v>567</v>
      </c>
      <c r="B1181" t="s">
        <v>4934</v>
      </c>
      <c r="C1181" t="s">
        <v>4775</v>
      </c>
      <c r="D1181" t="s">
        <v>4372</v>
      </c>
      <c r="E1181">
        <v>21</v>
      </c>
      <c r="F1181" t="s">
        <v>6587</v>
      </c>
      <c r="G1181">
        <v>9425437715</v>
      </c>
      <c r="H1181" t="s">
        <v>4387</v>
      </c>
      <c r="I1181" t="s">
        <v>4388</v>
      </c>
      <c r="J1181" t="s">
        <v>4482</v>
      </c>
      <c r="K1181">
        <v>0.7</v>
      </c>
      <c r="L1181">
        <v>9.6999999999999993</v>
      </c>
      <c r="M1181">
        <v>13.7</v>
      </c>
      <c r="N1181" t="s">
        <v>4377</v>
      </c>
      <c r="O1181" t="s">
        <v>4400</v>
      </c>
      <c r="P1181" s="1">
        <v>45859</v>
      </c>
      <c r="Q1181" t="str">
        <f t="shared" si="72"/>
        <v>10+ Years</v>
      </c>
      <c r="R1181" t="str">
        <f>IF(Table7[[#This Row],[Age]]&lt;=25,"20-25",IF(Table7[[#This Row],[Age]]&lt;=30,"26-30",IF(Table7[[#This Row],[Age]]&lt;=35,"31-35","36+")))</f>
        <v>20-25</v>
      </c>
      <c r="S1181" t="str">
        <f t="shared" si="73"/>
        <v>July</v>
      </c>
      <c r="T1181" s="2" t="str">
        <f t="shared" si="74"/>
        <v>Q3</v>
      </c>
      <c r="U1181" s="2">
        <f t="shared" si="75"/>
        <v>2025</v>
      </c>
    </row>
    <row r="1182" spans="1:21" x14ac:dyDescent="0.3">
      <c r="A1182" t="s">
        <v>2408</v>
      </c>
      <c r="B1182" t="s">
        <v>6588</v>
      </c>
      <c r="C1182" t="s">
        <v>6589</v>
      </c>
      <c r="D1182" t="s">
        <v>4363</v>
      </c>
      <c r="E1182">
        <v>21</v>
      </c>
      <c r="F1182" t="s">
        <v>6590</v>
      </c>
      <c r="G1182">
        <v>9316061013</v>
      </c>
      <c r="H1182" t="s">
        <v>4404</v>
      </c>
      <c r="I1182" t="s">
        <v>4405</v>
      </c>
      <c r="J1182" t="s">
        <v>4415</v>
      </c>
      <c r="K1182">
        <v>7.1</v>
      </c>
      <c r="L1182">
        <v>15.3</v>
      </c>
      <c r="M1182">
        <v>21.9</v>
      </c>
      <c r="N1182" t="s">
        <v>4406</v>
      </c>
      <c r="O1182" t="s">
        <v>4391</v>
      </c>
      <c r="P1182" s="1">
        <v>45758</v>
      </c>
      <c r="Q1182" t="str">
        <f t="shared" si="72"/>
        <v>10+ Years</v>
      </c>
      <c r="R1182" t="str">
        <f>IF(Table7[[#This Row],[Age]]&lt;=25,"20-25",IF(Table7[[#This Row],[Age]]&lt;=30,"26-30",IF(Table7[[#This Row],[Age]]&lt;=35,"31-35","36+")))</f>
        <v>20-25</v>
      </c>
      <c r="S1182" t="str">
        <f t="shared" si="73"/>
        <v>April</v>
      </c>
      <c r="T1182" s="2" t="str">
        <f t="shared" si="74"/>
        <v>Q2</v>
      </c>
      <c r="U1182" s="2">
        <f t="shared" si="75"/>
        <v>2025</v>
      </c>
    </row>
    <row r="1183" spans="1:21" x14ac:dyDescent="0.3">
      <c r="A1183" t="s">
        <v>2449</v>
      </c>
      <c r="B1183" t="s">
        <v>4426</v>
      </c>
      <c r="C1183" t="s">
        <v>4996</v>
      </c>
      <c r="D1183" t="s">
        <v>4363</v>
      </c>
      <c r="E1183">
        <v>28</v>
      </c>
      <c r="F1183" t="s">
        <v>6591</v>
      </c>
      <c r="G1183">
        <v>9423662097</v>
      </c>
      <c r="H1183" t="s">
        <v>4374</v>
      </c>
      <c r="I1183" t="s">
        <v>4375</v>
      </c>
      <c r="J1183" t="s">
        <v>4415</v>
      </c>
      <c r="K1183">
        <v>3.8</v>
      </c>
      <c r="L1183">
        <v>8</v>
      </c>
      <c r="M1183">
        <v>9.1</v>
      </c>
      <c r="N1183" t="s">
        <v>4390</v>
      </c>
      <c r="O1183" t="s">
        <v>4383</v>
      </c>
      <c r="P1183" s="1">
        <v>45913</v>
      </c>
      <c r="Q1183" t="str">
        <f t="shared" si="72"/>
        <v>10+ Years</v>
      </c>
      <c r="R1183" t="str">
        <f>IF(Table7[[#This Row],[Age]]&lt;=25,"20-25",IF(Table7[[#This Row],[Age]]&lt;=30,"26-30",IF(Table7[[#This Row],[Age]]&lt;=35,"31-35","36+")))</f>
        <v>26-30</v>
      </c>
      <c r="S1183" t="str">
        <f t="shared" si="73"/>
        <v>September</v>
      </c>
      <c r="T1183" s="2" t="str">
        <f t="shared" si="74"/>
        <v>Q3</v>
      </c>
      <c r="U1183" s="2">
        <f t="shared" si="75"/>
        <v>2025</v>
      </c>
    </row>
    <row r="1184" spans="1:21" x14ac:dyDescent="0.3">
      <c r="A1184" t="s">
        <v>2045</v>
      </c>
      <c r="B1184" t="s">
        <v>6592</v>
      </c>
      <c r="C1184" t="s">
        <v>4461</v>
      </c>
      <c r="D1184" t="s">
        <v>4363</v>
      </c>
      <c r="E1184">
        <v>35</v>
      </c>
      <c r="F1184" t="s">
        <v>6593</v>
      </c>
      <c r="G1184">
        <v>9632654956</v>
      </c>
      <c r="H1184" t="s">
        <v>4454</v>
      </c>
      <c r="I1184" t="s">
        <v>4455</v>
      </c>
      <c r="J1184" t="s">
        <v>4432</v>
      </c>
      <c r="K1184">
        <v>4.5</v>
      </c>
      <c r="L1184">
        <v>7.2</v>
      </c>
      <c r="M1184">
        <v>9.8000000000000007</v>
      </c>
      <c r="N1184" t="s">
        <v>4494</v>
      </c>
      <c r="O1184" t="s">
        <v>4419</v>
      </c>
      <c r="P1184" s="1">
        <v>45785</v>
      </c>
      <c r="Q1184" t="str">
        <f t="shared" si="72"/>
        <v>10+ Years</v>
      </c>
      <c r="R1184" t="str">
        <f>IF(Table7[[#This Row],[Age]]&lt;=25,"20-25",IF(Table7[[#This Row],[Age]]&lt;=30,"26-30",IF(Table7[[#This Row],[Age]]&lt;=35,"31-35","36+")))</f>
        <v>31-35</v>
      </c>
      <c r="S1184" t="str">
        <f t="shared" si="73"/>
        <v>May</v>
      </c>
      <c r="T1184" s="2" t="str">
        <f t="shared" si="74"/>
        <v>Q2</v>
      </c>
      <c r="U1184" s="2">
        <f t="shared" si="75"/>
        <v>2025</v>
      </c>
    </row>
    <row r="1185" spans="1:21" x14ac:dyDescent="0.3">
      <c r="A1185" t="s">
        <v>529</v>
      </c>
      <c r="B1185" t="s">
        <v>5081</v>
      </c>
      <c r="C1185" t="s">
        <v>4591</v>
      </c>
      <c r="D1185" t="s">
        <v>4372</v>
      </c>
      <c r="E1185">
        <v>26</v>
      </c>
      <c r="F1185" t="s">
        <v>6594</v>
      </c>
      <c r="G1185">
        <v>9183129555</v>
      </c>
      <c r="H1185" t="s">
        <v>4374</v>
      </c>
      <c r="I1185" t="s">
        <v>4375</v>
      </c>
      <c r="J1185" t="s">
        <v>4446</v>
      </c>
      <c r="K1185">
        <v>0.2</v>
      </c>
      <c r="L1185">
        <v>3</v>
      </c>
      <c r="M1185">
        <v>3.4</v>
      </c>
      <c r="N1185" t="s">
        <v>4390</v>
      </c>
      <c r="O1185" t="s">
        <v>4419</v>
      </c>
      <c r="P1185" s="1">
        <v>45898</v>
      </c>
      <c r="Q1185" t="str">
        <f t="shared" si="72"/>
        <v>10+ Years</v>
      </c>
      <c r="R1185" t="str">
        <f>IF(Table7[[#This Row],[Age]]&lt;=25,"20-25",IF(Table7[[#This Row],[Age]]&lt;=30,"26-30",IF(Table7[[#This Row],[Age]]&lt;=35,"31-35","36+")))</f>
        <v>26-30</v>
      </c>
      <c r="S1185" t="str">
        <f t="shared" si="73"/>
        <v>August</v>
      </c>
      <c r="T1185" s="2" t="str">
        <f t="shared" si="74"/>
        <v>Q3</v>
      </c>
      <c r="U1185" s="2">
        <f t="shared" si="75"/>
        <v>2025</v>
      </c>
    </row>
    <row r="1186" spans="1:21" x14ac:dyDescent="0.3">
      <c r="A1186" t="s">
        <v>2414</v>
      </c>
      <c r="B1186" t="s">
        <v>6595</v>
      </c>
      <c r="C1186" t="s">
        <v>5387</v>
      </c>
      <c r="D1186" t="s">
        <v>4363</v>
      </c>
      <c r="E1186">
        <v>27</v>
      </c>
      <c r="F1186" t="s">
        <v>6596</v>
      </c>
      <c r="G1186">
        <v>9541816405</v>
      </c>
      <c r="H1186" t="s">
        <v>4445</v>
      </c>
      <c r="I1186" t="s">
        <v>4396</v>
      </c>
      <c r="K1186">
        <v>3</v>
      </c>
      <c r="L1186">
        <v>9.9</v>
      </c>
      <c r="M1186">
        <v>12.1</v>
      </c>
      <c r="N1186" t="s">
        <v>4390</v>
      </c>
      <c r="O1186" t="s">
        <v>4383</v>
      </c>
      <c r="P1186" s="1">
        <v>45888</v>
      </c>
      <c r="Q1186" t="str">
        <f t="shared" si="72"/>
        <v>10+ Years</v>
      </c>
      <c r="R1186" t="str">
        <f>IF(Table7[[#This Row],[Age]]&lt;=25,"20-25",IF(Table7[[#This Row],[Age]]&lt;=30,"26-30",IF(Table7[[#This Row],[Age]]&lt;=35,"31-35","36+")))</f>
        <v>26-30</v>
      </c>
      <c r="S1186" t="str">
        <f t="shared" si="73"/>
        <v>August</v>
      </c>
      <c r="T1186" s="2" t="str">
        <f t="shared" si="74"/>
        <v>Q3</v>
      </c>
      <c r="U1186" s="2">
        <f t="shared" si="75"/>
        <v>2025</v>
      </c>
    </row>
    <row r="1187" spans="1:21" x14ac:dyDescent="0.3">
      <c r="A1187" t="s">
        <v>700</v>
      </c>
      <c r="B1187" t="s">
        <v>4523</v>
      </c>
      <c r="C1187" t="s">
        <v>5429</v>
      </c>
      <c r="D1187" t="s">
        <v>4363</v>
      </c>
      <c r="E1187">
        <v>30</v>
      </c>
      <c r="F1187" t="s">
        <v>6597</v>
      </c>
      <c r="G1187">
        <v>9209120649</v>
      </c>
      <c r="H1187" t="s">
        <v>4506</v>
      </c>
      <c r="I1187" t="s">
        <v>4507</v>
      </c>
      <c r="K1187">
        <v>9.3000000000000007</v>
      </c>
      <c r="L1187">
        <v>17.3</v>
      </c>
      <c r="M1187">
        <v>21.9</v>
      </c>
      <c r="N1187" t="s">
        <v>4406</v>
      </c>
      <c r="O1187" t="s">
        <v>4456</v>
      </c>
      <c r="P1187" s="1">
        <v>45666</v>
      </c>
      <c r="Q1187" t="str">
        <f t="shared" si="72"/>
        <v>10+ Years</v>
      </c>
      <c r="R1187" t="str">
        <f>IF(Table7[[#This Row],[Age]]&lt;=25,"20-25",IF(Table7[[#This Row],[Age]]&lt;=30,"26-30",IF(Table7[[#This Row],[Age]]&lt;=35,"31-35","36+")))</f>
        <v>26-30</v>
      </c>
      <c r="S1187" t="str">
        <f t="shared" si="73"/>
        <v>January</v>
      </c>
      <c r="T1187" s="2" t="str">
        <f t="shared" si="74"/>
        <v>Q1</v>
      </c>
      <c r="U1187" s="2">
        <f t="shared" si="75"/>
        <v>2025</v>
      </c>
    </row>
    <row r="1188" spans="1:21" x14ac:dyDescent="0.3">
      <c r="A1188" t="s">
        <v>769</v>
      </c>
      <c r="B1188" t="s">
        <v>4967</v>
      </c>
      <c r="C1188" t="s">
        <v>6598</v>
      </c>
      <c r="D1188" t="s">
        <v>4372</v>
      </c>
      <c r="E1188">
        <v>34</v>
      </c>
      <c r="F1188" t="s">
        <v>6599</v>
      </c>
      <c r="G1188">
        <v>9581092056</v>
      </c>
      <c r="H1188" t="s">
        <v>4506</v>
      </c>
      <c r="I1188" t="s">
        <v>4507</v>
      </c>
      <c r="J1188" t="s">
        <v>4367</v>
      </c>
      <c r="K1188">
        <v>7.1</v>
      </c>
      <c r="L1188">
        <v>12.6</v>
      </c>
      <c r="M1188">
        <v>17.7</v>
      </c>
      <c r="N1188" t="s">
        <v>4390</v>
      </c>
      <c r="O1188" t="s">
        <v>4400</v>
      </c>
      <c r="P1188" s="1">
        <v>45767</v>
      </c>
      <c r="Q1188" t="str">
        <f t="shared" si="72"/>
        <v>10+ Years</v>
      </c>
      <c r="R1188" t="str">
        <f>IF(Table7[[#This Row],[Age]]&lt;=25,"20-25",IF(Table7[[#This Row],[Age]]&lt;=30,"26-30",IF(Table7[[#This Row],[Age]]&lt;=35,"31-35","36+")))</f>
        <v>31-35</v>
      </c>
      <c r="S1188" t="str">
        <f t="shared" si="73"/>
        <v>April</v>
      </c>
      <c r="T1188" s="2" t="str">
        <f t="shared" si="74"/>
        <v>Q2</v>
      </c>
      <c r="U1188" s="2">
        <f t="shared" si="75"/>
        <v>2025</v>
      </c>
    </row>
    <row r="1189" spans="1:21" x14ac:dyDescent="0.3">
      <c r="A1189" t="s">
        <v>1127</v>
      </c>
      <c r="B1189" t="s">
        <v>4401</v>
      </c>
      <c r="C1189" t="s">
        <v>5180</v>
      </c>
      <c r="D1189" t="s">
        <v>4363</v>
      </c>
      <c r="E1189">
        <v>27</v>
      </c>
      <c r="F1189" t="s">
        <v>6600</v>
      </c>
      <c r="G1189">
        <v>9160022534</v>
      </c>
      <c r="H1189" t="s">
        <v>4445</v>
      </c>
      <c r="I1189" t="s">
        <v>4396</v>
      </c>
      <c r="J1189" t="s">
        <v>4482</v>
      </c>
      <c r="K1189">
        <v>2.8</v>
      </c>
      <c r="L1189">
        <v>6.1</v>
      </c>
      <c r="M1189">
        <v>7.2</v>
      </c>
      <c r="N1189" t="s">
        <v>4390</v>
      </c>
      <c r="O1189" t="s">
        <v>4369</v>
      </c>
      <c r="P1189" s="1">
        <v>45672</v>
      </c>
      <c r="Q1189" t="str">
        <f t="shared" si="72"/>
        <v>10+ Years</v>
      </c>
      <c r="R1189" t="str">
        <f>IF(Table7[[#This Row],[Age]]&lt;=25,"20-25",IF(Table7[[#This Row],[Age]]&lt;=30,"26-30",IF(Table7[[#This Row],[Age]]&lt;=35,"31-35","36+")))</f>
        <v>26-30</v>
      </c>
      <c r="S1189" t="str">
        <f t="shared" si="73"/>
        <v>January</v>
      </c>
      <c r="T1189" s="2" t="str">
        <f t="shared" si="74"/>
        <v>Q1</v>
      </c>
      <c r="U1189" s="2">
        <f t="shared" si="75"/>
        <v>2025</v>
      </c>
    </row>
    <row r="1190" spans="1:21" x14ac:dyDescent="0.3">
      <c r="A1190" t="s">
        <v>453</v>
      </c>
      <c r="B1190" t="s">
        <v>4392</v>
      </c>
      <c r="C1190" t="s">
        <v>6601</v>
      </c>
      <c r="D1190" t="s">
        <v>4372</v>
      </c>
      <c r="E1190">
        <v>29</v>
      </c>
      <c r="F1190" t="s">
        <v>6602</v>
      </c>
      <c r="G1190">
        <v>9680080238</v>
      </c>
      <c r="H1190" t="s">
        <v>4476</v>
      </c>
      <c r="I1190" t="s">
        <v>4477</v>
      </c>
      <c r="J1190" t="s">
        <v>4415</v>
      </c>
      <c r="K1190">
        <v>2.6</v>
      </c>
      <c r="L1190">
        <v>8.9</v>
      </c>
      <c r="M1190">
        <v>11.3</v>
      </c>
      <c r="N1190" t="s">
        <v>4406</v>
      </c>
      <c r="O1190" t="s">
        <v>4383</v>
      </c>
      <c r="P1190" s="1">
        <v>45787</v>
      </c>
      <c r="Q1190" t="str">
        <f t="shared" si="72"/>
        <v>10+ Years</v>
      </c>
      <c r="R1190" t="str">
        <f>IF(Table7[[#This Row],[Age]]&lt;=25,"20-25",IF(Table7[[#This Row],[Age]]&lt;=30,"26-30",IF(Table7[[#This Row],[Age]]&lt;=35,"31-35","36+")))</f>
        <v>26-30</v>
      </c>
      <c r="S1190" t="str">
        <f t="shared" si="73"/>
        <v>May</v>
      </c>
      <c r="T1190" s="2" t="str">
        <f t="shared" si="74"/>
        <v>Q2</v>
      </c>
      <c r="U1190" s="2">
        <f t="shared" si="75"/>
        <v>2025</v>
      </c>
    </row>
    <row r="1191" spans="1:21" x14ac:dyDescent="0.3">
      <c r="A1191" t="s">
        <v>198</v>
      </c>
      <c r="B1191" t="s">
        <v>5134</v>
      </c>
      <c r="C1191" t="s">
        <v>5009</v>
      </c>
      <c r="D1191" t="s">
        <v>4372</v>
      </c>
      <c r="E1191">
        <v>35</v>
      </c>
      <c r="F1191" t="s">
        <v>6603</v>
      </c>
      <c r="G1191">
        <v>9105033287</v>
      </c>
      <c r="H1191" t="s">
        <v>4395</v>
      </c>
      <c r="I1191" t="s">
        <v>4396</v>
      </c>
      <c r="J1191" t="s">
        <v>4446</v>
      </c>
      <c r="K1191">
        <v>6.2</v>
      </c>
      <c r="L1191">
        <v>12.9</v>
      </c>
      <c r="M1191">
        <v>18.5</v>
      </c>
      <c r="N1191" t="s">
        <v>4494</v>
      </c>
      <c r="O1191" t="s">
        <v>4400</v>
      </c>
      <c r="P1191" s="1">
        <v>45717</v>
      </c>
      <c r="Q1191" t="str">
        <f t="shared" si="72"/>
        <v>10+ Years</v>
      </c>
      <c r="R1191" t="str">
        <f>IF(Table7[[#This Row],[Age]]&lt;=25,"20-25",IF(Table7[[#This Row],[Age]]&lt;=30,"26-30",IF(Table7[[#This Row],[Age]]&lt;=35,"31-35","36+")))</f>
        <v>31-35</v>
      </c>
      <c r="S1191" t="str">
        <f t="shared" si="73"/>
        <v>March</v>
      </c>
      <c r="T1191" s="2" t="str">
        <f t="shared" si="74"/>
        <v>Q1</v>
      </c>
      <c r="U1191" s="2">
        <f t="shared" si="75"/>
        <v>2025</v>
      </c>
    </row>
    <row r="1192" spans="1:21" x14ac:dyDescent="0.3">
      <c r="A1192" t="s">
        <v>2107</v>
      </c>
      <c r="B1192" t="s">
        <v>6604</v>
      </c>
      <c r="C1192" t="s">
        <v>5003</v>
      </c>
      <c r="D1192" t="s">
        <v>4363</v>
      </c>
      <c r="E1192">
        <v>28</v>
      </c>
      <c r="F1192" t="s">
        <v>6605</v>
      </c>
      <c r="G1192">
        <v>9768895807</v>
      </c>
      <c r="H1192" t="s">
        <v>4445</v>
      </c>
      <c r="I1192" t="s">
        <v>4396</v>
      </c>
      <c r="J1192" t="s">
        <v>4450</v>
      </c>
      <c r="K1192">
        <v>0.7</v>
      </c>
      <c r="L1192">
        <v>7.8</v>
      </c>
      <c r="M1192">
        <v>11.2</v>
      </c>
      <c r="N1192" t="s">
        <v>4406</v>
      </c>
      <c r="O1192" t="s">
        <v>4400</v>
      </c>
      <c r="P1192" s="1">
        <v>46004</v>
      </c>
      <c r="Q1192" t="str">
        <f t="shared" si="72"/>
        <v>10+ Years</v>
      </c>
      <c r="R1192" t="str">
        <f>IF(Table7[[#This Row],[Age]]&lt;=25,"20-25",IF(Table7[[#This Row],[Age]]&lt;=30,"26-30",IF(Table7[[#This Row],[Age]]&lt;=35,"31-35","36+")))</f>
        <v>26-30</v>
      </c>
      <c r="S1192" t="str">
        <f t="shared" si="73"/>
        <v>December</v>
      </c>
      <c r="T1192" s="2" t="str">
        <f t="shared" si="74"/>
        <v>Q4</v>
      </c>
      <c r="U1192" s="2">
        <f t="shared" si="75"/>
        <v>2025</v>
      </c>
    </row>
    <row r="1193" spans="1:21" x14ac:dyDescent="0.3">
      <c r="A1193" t="s">
        <v>2692</v>
      </c>
      <c r="B1193" t="s">
        <v>5640</v>
      </c>
      <c r="C1193" t="s">
        <v>4519</v>
      </c>
      <c r="D1193" t="s">
        <v>4372</v>
      </c>
      <c r="E1193">
        <v>27</v>
      </c>
      <c r="F1193" t="s">
        <v>6606</v>
      </c>
      <c r="G1193">
        <v>9744348278</v>
      </c>
      <c r="H1193" t="s">
        <v>4404</v>
      </c>
      <c r="I1193" t="s">
        <v>4405</v>
      </c>
      <c r="J1193" t="s">
        <v>4376</v>
      </c>
      <c r="K1193">
        <v>1.2</v>
      </c>
      <c r="L1193">
        <v>8.5</v>
      </c>
      <c r="M1193">
        <v>9.8000000000000007</v>
      </c>
      <c r="N1193" t="s">
        <v>4368</v>
      </c>
      <c r="O1193" t="s">
        <v>4485</v>
      </c>
      <c r="P1193" s="1">
        <v>45674</v>
      </c>
      <c r="Q1193" t="str">
        <f t="shared" si="72"/>
        <v>10+ Years</v>
      </c>
      <c r="R1193" t="str">
        <f>IF(Table7[[#This Row],[Age]]&lt;=25,"20-25",IF(Table7[[#This Row],[Age]]&lt;=30,"26-30",IF(Table7[[#This Row],[Age]]&lt;=35,"31-35","36+")))</f>
        <v>26-30</v>
      </c>
      <c r="S1193" t="str">
        <f t="shared" si="73"/>
        <v>January</v>
      </c>
      <c r="T1193" s="2" t="str">
        <f t="shared" si="74"/>
        <v>Q1</v>
      </c>
      <c r="U1193" s="2">
        <f t="shared" si="75"/>
        <v>2025</v>
      </c>
    </row>
    <row r="1194" spans="1:21" x14ac:dyDescent="0.3">
      <c r="A1194" t="s">
        <v>1138</v>
      </c>
      <c r="B1194" t="s">
        <v>4648</v>
      </c>
      <c r="C1194" t="s">
        <v>4554</v>
      </c>
      <c r="D1194" t="s">
        <v>4372</v>
      </c>
      <c r="E1194">
        <v>29</v>
      </c>
      <c r="F1194" t="s">
        <v>6607</v>
      </c>
      <c r="G1194">
        <v>9507800001</v>
      </c>
      <c r="H1194" t="s">
        <v>4410</v>
      </c>
      <c r="I1194" t="s">
        <v>4411</v>
      </c>
      <c r="J1194" t="s">
        <v>4432</v>
      </c>
      <c r="K1194">
        <v>2.2999999999999998</v>
      </c>
      <c r="L1194">
        <v>7.2</v>
      </c>
      <c r="M1194">
        <v>8.1</v>
      </c>
      <c r="O1194" t="s">
        <v>4369</v>
      </c>
      <c r="P1194" s="1">
        <v>45744</v>
      </c>
      <c r="Q1194" t="str">
        <f t="shared" si="72"/>
        <v>10+ Years</v>
      </c>
      <c r="R1194" t="str">
        <f>IF(Table7[[#This Row],[Age]]&lt;=25,"20-25",IF(Table7[[#This Row],[Age]]&lt;=30,"26-30",IF(Table7[[#This Row],[Age]]&lt;=35,"31-35","36+")))</f>
        <v>26-30</v>
      </c>
      <c r="S1194" t="str">
        <f t="shared" si="73"/>
        <v>March</v>
      </c>
      <c r="T1194" s="2" t="str">
        <f t="shared" si="74"/>
        <v>Q1</v>
      </c>
      <c r="U1194" s="2">
        <f t="shared" si="75"/>
        <v>2025</v>
      </c>
    </row>
    <row r="1195" spans="1:21" x14ac:dyDescent="0.3">
      <c r="A1195" t="s">
        <v>305</v>
      </c>
      <c r="B1195" t="s">
        <v>5124</v>
      </c>
      <c r="C1195" t="s">
        <v>5366</v>
      </c>
      <c r="D1195" t="s">
        <v>4372</v>
      </c>
      <c r="E1195">
        <v>29</v>
      </c>
      <c r="F1195" t="s">
        <v>6608</v>
      </c>
      <c r="G1195">
        <v>9806219345</v>
      </c>
      <c r="H1195" t="s">
        <v>4365</v>
      </c>
      <c r="I1195" t="s">
        <v>4366</v>
      </c>
      <c r="J1195" t="s">
        <v>4389</v>
      </c>
      <c r="K1195">
        <v>1.2</v>
      </c>
      <c r="L1195">
        <v>7.2</v>
      </c>
      <c r="M1195">
        <v>9.1</v>
      </c>
      <c r="N1195" t="s">
        <v>4406</v>
      </c>
      <c r="O1195" t="s">
        <v>4391</v>
      </c>
      <c r="P1195" s="1">
        <v>45806</v>
      </c>
      <c r="Q1195" t="str">
        <f t="shared" si="72"/>
        <v>10+ Years</v>
      </c>
      <c r="R1195" t="str">
        <f>IF(Table7[[#This Row],[Age]]&lt;=25,"20-25",IF(Table7[[#This Row],[Age]]&lt;=30,"26-30",IF(Table7[[#This Row],[Age]]&lt;=35,"31-35","36+")))</f>
        <v>26-30</v>
      </c>
      <c r="S1195" t="str">
        <f t="shared" si="73"/>
        <v>May</v>
      </c>
      <c r="T1195" s="2" t="str">
        <f t="shared" si="74"/>
        <v>Q2</v>
      </c>
      <c r="U1195" s="2">
        <f t="shared" si="75"/>
        <v>2025</v>
      </c>
    </row>
    <row r="1196" spans="1:21" x14ac:dyDescent="0.3">
      <c r="A1196" t="s">
        <v>3296</v>
      </c>
      <c r="B1196" t="s">
        <v>4407</v>
      </c>
      <c r="C1196" t="s">
        <v>5084</v>
      </c>
      <c r="D1196" t="s">
        <v>4363</v>
      </c>
      <c r="E1196">
        <v>22</v>
      </c>
      <c r="F1196" t="s">
        <v>6609</v>
      </c>
      <c r="G1196">
        <v>9551763092</v>
      </c>
      <c r="H1196" t="s">
        <v>4387</v>
      </c>
      <c r="I1196" t="s">
        <v>4388</v>
      </c>
      <c r="J1196" t="s">
        <v>4618</v>
      </c>
      <c r="K1196">
        <v>0.6</v>
      </c>
      <c r="L1196">
        <v>10.8</v>
      </c>
      <c r="M1196">
        <v>13.1</v>
      </c>
      <c r="N1196" t="s">
        <v>4406</v>
      </c>
      <c r="O1196" t="s">
        <v>4485</v>
      </c>
      <c r="P1196" s="1">
        <v>45696</v>
      </c>
      <c r="Q1196" t="str">
        <f t="shared" si="72"/>
        <v>10+ Years</v>
      </c>
      <c r="R1196" t="str">
        <f>IF(Table7[[#This Row],[Age]]&lt;=25,"20-25",IF(Table7[[#This Row],[Age]]&lt;=30,"26-30",IF(Table7[[#This Row],[Age]]&lt;=35,"31-35","36+")))</f>
        <v>20-25</v>
      </c>
      <c r="S1196" t="str">
        <f t="shared" si="73"/>
        <v>February</v>
      </c>
      <c r="T1196" s="2" t="str">
        <f t="shared" si="74"/>
        <v>Q1</v>
      </c>
      <c r="U1196" s="2">
        <f t="shared" si="75"/>
        <v>2025</v>
      </c>
    </row>
    <row r="1197" spans="1:21" x14ac:dyDescent="0.3">
      <c r="A1197" t="s">
        <v>3888</v>
      </c>
      <c r="B1197" t="s">
        <v>4526</v>
      </c>
      <c r="C1197" t="s">
        <v>4749</v>
      </c>
      <c r="D1197" t="s">
        <v>4363</v>
      </c>
      <c r="E1197">
        <v>27</v>
      </c>
      <c r="F1197" t="s">
        <v>6610</v>
      </c>
      <c r="G1197">
        <v>9739274605</v>
      </c>
      <c r="H1197" t="s">
        <v>4410</v>
      </c>
      <c r="I1197" t="s">
        <v>4411</v>
      </c>
      <c r="J1197" t="s">
        <v>4432</v>
      </c>
      <c r="K1197">
        <v>3.4</v>
      </c>
      <c r="L1197">
        <v>14.3</v>
      </c>
      <c r="M1197">
        <v>20</v>
      </c>
      <c r="N1197" t="s">
        <v>4390</v>
      </c>
      <c r="O1197" t="s">
        <v>4419</v>
      </c>
      <c r="P1197" s="1">
        <v>45943</v>
      </c>
      <c r="Q1197" t="str">
        <f t="shared" si="72"/>
        <v>10+ Years</v>
      </c>
      <c r="R1197" t="str">
        <f>IF(Table7[[#This Row],[Age]]&lt;=25,"20-25",IF(Table7[[#This Row],[Age]]&lt;=30,"26-30",IF(Table7[[#This Row],[Age]]&lt;=35,"31-35","36+")))</f>
        <v>26-30</v>
      </c>
      <c r="S1197" t="str">
        <f t="shared" si="73"/>
        <v>October</v>
      </c>
      <c r="T1197" s="2" t="str">
        <f t="shared" si="74"/>
        <v>Q4</v>
      </c>
      <c r="U1197" s="2">
        <f t="shared" si="75"/>
        <v>2025</v>
      </c>
    </row>
    <row r="1198" spans="1:21" x14ac:dyDescent="0.3">
      <c r="A1198" t="s">
        <v>513</v>
      </c>
      <c r="B1198" t="s">
        <v>4412</v>
      </c>
      <c r="C1198" t="s">
        <v>4953</v>
      </c>
      <c r="D1198" t="s">
        <v>4372</v>
      </c>
      <c r="E1198">
        <v>28</v>
      </c>
      <c r="F1198" t="s">
        <v>6611</v>
      </c>
      <c r="G1198">
        <v>9503932706</v>
      </c>
      <c r="H1198" t="s">
        <v>4374</v>
      </c>
      <c r="I1198" t="s">
        <v>4375</v>
      </c>
      <c r="J1198" t="s">
        <v>4389</v>
      </c>
      <c r="K1198">
        <v>3.1</v>
      </c>
      <c r="L1198">
        <v>2.7</v>
      </c>
      <c r="M1198">
        <v>3.7</v>
      </c>
      <c r="N1198" t="s">
        <v>4390</v>
      </c>
      <c r="O1198" t="s">
        <v>4369</v>
      </c>
      <c r="P1198" s="1">
        <v>46010</v>
      </c>
      <c r="Q1198" t="str">
        <f t="shared" si="72"/>
        <v>10+ Years</v>
      </c>
      <c r="R1198" t="str">
        <f>IF(Table7[[#This Row],[Age]]&lt;=25,"20-25",IF(Table7[[#This Row],[Age]]&lt;=30,"26-30",IF(Table7[[#This Row],[Age]]&lt;=35,"31-35","36+")))</f>
        <v>26-30</v>
      </c>
      <c r="S1198" t="str">
        <f t="shared" si="73"/>
        <v>December</v>
      </c>
      <c r="T1198" s="2" t="str">
        <f t="shared" si="74"/>
        <v>Q4</v>
      </c>
      <c r="U1198" s="2">
        <f t="shared" si="75"/>
        <v>2025</v>
      </c>
    </row>
    <row r="1199" spans="1:21" x14ac:dyDescent="0.3">
      <c r="A1199" t="s">
        <v>1331</v>
      </c>
      <c r="B1199" t="s">
        <v>5687</v>
      </c>
      <c r="C1199" t="s">
        <v>5067</v>
      </c>
      <c r="D1199" t="s">
        <v>4372</v>
      </c>
      <c r="E1199">
        <v>29</v>
      </c>
      <c r="F1199" t="s">
        <v>6612</v>
      </c>
      <c r="G1199">
        <v>9307936439</v>
      </c>
      <c r="H1199" t="s">
        <v>4473</v>
      </c>
      <c r="I1199" t="s">
        <v>4473</v>
      </c>
      <c r="J1199" t="s">
        <v>4367</v>
      </c>
      <c r="K1199">
        <v>6.2</v>
      </c>
      <c r="L1199">
        <v>11.8</v>
      </c>
      <c r="M1199">
        <v>13.5</v>
      </c>
      <c r="N1199" t="s">
        <v>4390</v>
      </c>
      <c r="O1199" t="s">
        <v>4369</v>
      </c>
      <c r="P1199" s="1">
        <v>45853</v>
      </c>
      <c r="Q1199" t="str">
        <f t="shared" si="72"/>
        <v>10+ Years</v>
      </c>
      <c r="R1199" t="str">
        <f>IF(Table7[[#This Row],[Age]]&lt;=25,"20-25",IF(Table7[[#This Row],[Age]]&lt;=30,"26-30",IF(Table7[[#This Row],[Age]]&lt;=35,"31-35","36+")))</f>
        <v>26-30</v>
      </c>
      <c r="S1199" t="str">
        <f t="shared" si="73"/>
        <v>July</v>
      </c>
      <c r="T1199" s="2" t="str">
        <f t="shared" si="74"/>
        <v>Q3</v>
      </c>
      <c r="U1199" s="2">
        <f t="shared" si="75"/>
        <v>2025</v>
      </c>
    </row>
    <row r="1200" spans="1:21" x14ac:dyDescent="0.3">
      <c r="A1200" t="s">
        <v>3773</v>
      </c>
      <c r="B1200" t="s">
        <v>4565</v>
      </c>
      <c r="C1200" t="s">
        <v>5763</v>
      </c>
      <c r="D1200" t="s">
        <v>4372</v>
      </c>
      <c r="E1200">
        <v>36</v>
      </c>
      <c r="F1200" t="s">
        <v>6613</v>
      </c>
      <c r="G1200">
        <v>9888126076</v>
      </c>
      <c r="H1200" t="s">
        <v>4506</v>
      </c>
      <c r="I1200" t="s">
        <v>4507</v>
      </c>
      <c r="J1200" t="s">
        <v>4415</v>
      </c>
      <c r="K1200">
        <v>0.9</v>
      </c>
      <c r="L1200">
        <v>7.2</v>
      </c>
      <c r="M1200">
        <v>8.5</v>
      </c>
      <c r="N1200" t="s">
        <v>4390</v>
      </c>
      <c r="O1200" t="s">
        <v>4383</v>
      </c>
      <c r="P1200" s="1">
        <v>45835</v>
      </c>
      <c r="Q1200" t="str">
        <f t="shared" si="72"/>
        <v>10+ Years</v>
      </c>
      <c r="R1200" t="str">
        <f>IF(Table7[[#This Row],[Age]]&lt;=25,"20-25",IF(Table7[[#This Row],[Age]]&lt;=30,"26-30",IF(Table7[[#This Row],[Age]]&lt;=35,"31-35","36+")))</f>
        <v>36+</v>
      </c>
      <c r="S1200" t="str">
        <f t="shared" si="73"/>
        <v>June</v>
      </c>
      <c r="T1200" s="2" t="str">
        <f t="shared" si="74"/>
        <v>Q2</v>
      </c>
      <c r="U1200" s="2">
        <f t="shared" si="75"/>
        <v>2025</v>
      </c>
    </row>
    <row r="1201" spans="1:21" x14ac:dyDescent="0.3">
      <c r="A1201" t="s">
        <v>3268</v>
      </c>
      <c r="B1201" t="s">
        <v>6614</v>
      </c>
      <c r="C1201" t="s">
        <v>6615</v>
      </c>
      <c r="D1201" t="s">
        <v>4363</v>
      </c>
      <c r="E1201">
        <v>22</v>
      </c>
      <c r="F1201" t="s">
        <v>6616</v>
      </c>
      <c r="G1201">
        <v>9149406015</v>
      </c>
      <c r="H1201" t="s">
        <v>4410</v>
      </c>
      <c r="I1201" t="s">
        <v>4411</v>
      </c>
      <c r="J1201" t="s">
        <v>4618</v>
      </c>
      <c r="K1201">
        <v>4.4000000000000004</v>
      </c>
      <c r="L1201">
        <v>13.7</v>
      </c>
      <c r="M1201">
        <v>16.7</v>
      </c>
      <c r="N1201" t="s">
        <v>4406</v>
      </c>
      <c r="O1201" t="s">
        <v>4456</v>
      </c>
      <c r="P1201" s="1">
        <v>45737</v>
      </c>
      <c r="Q1201" t="str">
        <f t="shared" si="72"/>
        <v>10+ Years</v>
      </c>
      <c r="R1201" t="str">
        <f>IF(Table7[[#This Row],[Age]]&lt;=25,"20-25",IF(Table7[[#This Row],[Age]]&lt;=30,"26-30",IF(Table7[[#This Row],[Age]]&lt;=35,"31-35","36+")))</f>
        <v>20-25</v>
      </c>
      <c r="S1201" t="str">
        <f t="shared" si="73"/>
        <v>March</v>
      </c>
      <c r="T1201" s="2" t="str">
        <f t="shared" si="74"/>
        <v>Q1</v>
      </c>
      <c r="U1201" s="2">
        <f t="shared" si="75"/>
        <v>2025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C17B-35A4-4D01-970E-924BDB3697A1}">
  <dimension ref="A3:B11"/>
  <sheetViews>
    <sheetView topLeftCell="A9" workbookViewId="0">
      <selection activeCell="C31" sqref="C31"/>
    </sheetView>
  </sheetViews>
  <sheetFormatPr defaultRowHeight="14.4" x14ac:dyDescent="0.3"/>
  <cols>
    <col min="1" max="1" width="15.5546875" bestFit="1" customWidth="1"/>
    <col min="2" max="2" width="19.5546875" bestFit="1" customWidth="1"/>
  </cols>
  <sheetData>
    <row r="3" spans="1:2" x14ac:dyDescent="0.3">
      <c r="A3" s="3" t="s">
        <v>6685</v>
      </c>
      <c r="B3" t="s">
        <v>6687</v>
      </c>
    </row>
    <row r="4" spans="1:2" x14ac:dyDescent="0.3">
      <c r="A4" s="4" t="s">
        <v>4456</v>
      </c>
      <c r="B4" s="2">
        <v>102</v>
      </c>
    </row>
    <row r="5" spans="1:2" x14ac:dyDescent="0.3">
      <c r="A5" s="4" t="s">
        <v>4485</v>
      </c>
      <c r="B5" s="2">
        <v>116</v>
      </c>
    </row>
    <row r="6" spans="1:2" x14ac:dyDescent="0.3">
      <c r="A6" s="4" t="s">
        <v>4400</v>
      </c>
      <c r="B6" s="2">
        <v>147</v>
      </c>
    </row>
    <row r="7" spans="1:2" x14ac:dyDescent="0.3">
      <c r="A7" s="4" t="s">
        <v>4369</v>
      </c>
      <c r="B7" s="2">
        <v>336</v>
      </c>
    </row>
    <row r="8" spans="1:2" x14ac:dyDescent="0.3">
      <c r="A8" s="4" t="s">
        <v>4391</v>
      </c>
      <c r="B8" s="2">
        <v>256</v>
      </c>
    </row>
    <row r="9" spans="1:2" x14ac:dyDescent="0.3">
      <c r="A9" s="4" t="s">
        <v>4383</v>
      </c>
      <c r="B9" s="2">
        <v>173</v>
      </c>
    </row>
    <row r="10" spans="1:2" x14ac:dyDescent="0.3">
      <c r="A10" s="4" t="s">
        <v>4419</v>
      </c>
      <c r="B10" s="2">
        <v>70</v>
      </c>
    </row>
    <row r="11" spans="1:2" x14ac:dyDescent="0.3">
      <c r="A11" s="4" t="s">
        <v>6686</v>
      </c>
      <c r="B11" s="2">
        <v>1200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3434-27AE-49C7-8D64-FF08B0B08B7B}">
  <dimension ref="A3:B5"/>
  <sheetViews>
    <sheetView workbookViewId="0">
      <selection activeCell="B26" sqref="B26"/>
    </sheetView>
  </sheetViews>
  <sheetFormatPr defaultRowHeight="14.4" x14ac:dyDescent="0.3"/>
  <cols>
    <col min="1" max="1" width="12.44140625" bestFit="1" customWidth="1"/>
    <col min="2" max="2" width="19.5546875" bestFit="1" customWidth="1"/>
  </cols>
  <sheetData>
    <row r="3" spans="1:2" x14ac:dyDescent="0.3">
      <c r="A3" s="3" t="s">
        <v>6685</v>
      </c>
      <c r="B3" t="s">
        <v>6687</v>
      </c>
    </row>
    <row r="4" spans="1:2" x14ac:dyDescent="0.3">
      <c r="A4" s="4" t="s">
        <v>6688</v>
      </c>
      <c r="B4" s="2">
        <v>1200</v>
      </c>
    </row>
    <row r="5" spans="1:2" x14ac:dyDescent="0.3">
      <c r="A5" s="4" t="s">
        <v>6686</v>
      </c>
      <c r="B5" s="2">
        <v>1200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C334-1C77-4000-8517-7ABF305F6A97}">
  <dimension ref="A3:B8"/>
  <sheetViews>
    <sheetView workbookViewId="0">
      <selection activeCell="B26" sqref="B26"/>
    </sheetView>
  </sheetViews>
  <sheetFormatPr defaultRowHeight="14.4" x14ac:dyDescent="0.3"/>
  <cols>
    <col min="1" max="1" width="12.44140625" bestFit="1" customWidth="1"/>
    <col min="2" max="2" width="19.5546875" bestFit="1" customWidth="1"/>
  </cols>
  <sheetData>
    <row r="3" spans="1:2" x14ac:dyDescent="0.3">
      <c r="A3" s="3" t="s">
        <v>6685</v>
      </c>
      <c r="B3" t="s">
        <v>6687</v>
      </c>
    </row>
    <row r="4" spans="1:2" x14ac:dyDescent="0.3">
      <c r="A4" s="4" t="s">
        <v>6693</v>
      </c>
      <c r="B4" s="2">
        <v>344</v>
      </c>
    </row>
    <row r="5" spans="1:2" x14ac:dyDescent="0.3">
      <c r="A5" s="4" t="s">
        <v>6694</v>
      </c>
      <c r="B5" s="2">
        <v>441</v>
      </c>
    </row>
    <row r="6" spans="1:2" x14ac:dyDescent="0.3">
      <c r="A6" s="4" t="s">
        <v>6695</v>
      </c>
      <c r="B6" s="2">
        <v>292</v>
      </c>
    </row>
    <row r="7" spans="1:2" x14ac:dyDescent="0.3">
      <c r="A7" s="4" t="s">
        <v>6696</v>
      </c>
      <c r="B7" s="2">
        <v>123</v>
      </c>
    </row>
    <row r="8" spans="1:2" x14ac:dyDescent="0.3">
      <c r="A8" s="4" t="s">
        <v>6686</v>
      </c>
      <c r="B8" s="2">
        <v>1200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3367-41E4-455E-9677-C721ABE45553}">
  <dimension ref="A3:B16"/>
  <sheetViews>
    <sheetView workbookViewId="0">
      <selection activeCell="C13" sqref="C13"/>
    </sheetView>
  </sheetViews>
  <sheetFormatPr defaultRowHeight="14.4" x14ac:dyDescent="0.3"/>
  <cols>
    <col min="1" max="1" width="12.44140625" bestFit="1" customWidth="1"/>
    <col min="2" max="2" width="19.5546875" bestFit="1" customWidth="1"/>
  </cols>
  <sheetData>
    <row r="3" spans="1:2" x14ac:dyDescent="0.3">
      <c r="A3" s="3" t="s">
        <v>6685</v>
      </c>
      <c r="B3" t="s">
        <v>6687</v>
      </c>
    </row>
    <row r="4" spans="1:2" x14ac:dyDescent="0.3">
      <c r="A4" s="4" t="s">
        <v>4331</v>
      </c>
      <c r="B4" s="2">
        <v>103</v>
      </c>
    </row>
    <row r="5" spans="1:2" x14ac:dyDescent="0.3">
      <c r="A5" s="4" t="s">
        <v>4332</v>
      </c>
      <c r="B5" s="2">
        <v>102</v>
      </c>
    </row>
    <row r="6" spans="1:2" x14ac:dyDescent="0.3">
      <c r="A6" s="4" t="s">
        <v>4333</v>
      </c>
      <c r="B6" s="2">
        <v>105</v>
      </c>
    </row>
    <row r="7" spans="1:2" x14ac:dyDescent="0.3">
      <c r="A7" s="4" t="s">
        <v>4335</v>
      </c>
      <c r="B7" s="2">
        <v>104</v>
      </c>
    </row>
    <row r="8" spans="1:2" x14ac:dyDescent="0.3">
      <c r="A8" s="4" t="s">
        <v>4336</v>
      </c>
      <c r="B8" s="2">
        <v>100</v>
      </c>
    </row>
    <row r="9" spans="1:2" x14ac:dyDescent="0.3">
      <c r="A9" s="4" t="s">
        <v>4337</v>
      </c>
      <c r="B9" s="2">
        <v>93</v>
      </c>
    </row>
    <row r="10" spans="1:2" x14ac:dyDescent="0.3">
      <c r="A10" s="4" t="s">
        <v>4339</v>
      </c>
      <c r="B10" s="2">
        <v>115</v>
      </c>
    </row>
    <row r="11" spans="1:2" x14ac:dyDescent="0.3">
      <c r="A11" s="4" t="s">
        <v>4340</v>
      </c>
      <c r="B11" s="2">
        <v>113</v>
      </c>
    </row>
    <row r="12" spans="1:2" x14ac:dyDescent="0.3">
      <c r="A12" s="4" t="s">
        <v>4341</v>
      </c>
      <c r="B12" s="2">
        <v>95</v>
      </c>
    </row>
    <row r="13" spans="1:2" x14ac:dyDescent="0.3">
      <c r="A13" s="4" t="s">
        <v>4343</v>
      </c>
      <c r="B13" s="2">
        <v>90</v>
      </c>
    </row>
    <row r="14" spans="1:2" x14ac:dyDescent="0.3">
      <c r="A14" s="4" t="s">
        <v>4344</v>
      </c>
      <c r="B14" s="2">
        <v>83</v>
      </c>
    </row>
    <row r="15" spans="1:2" x14ac:dyDescent="0.3">
      <c r="A15" s="4" t="s">
        <v>4345</v>
      </c>
      <c r="B15" s="2">
        <v>97</v>
      </c>
    </row>
    <row r="16" spans="1:2" x14ac:dyDescent="0.3">
      <c r="A16" s="4" t="s">
        <v>6686</v>
      </c>
      <c r="B16" s="2">
        <v>1200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2ED6-1AF3-4847-8A14-5685537D01DA}">
  <dimension ref="A3:B14"/>
  <sheetViews>
    <sheetView topLeftCell="A5" workbookViewId="0">
      <selection activeCell="C16" sqref="C16"/>
    </sheetView>
  </sheetViews>
  <sheetFormatPr defaultRowHeight="14.4" x14ac:dyDescent="0.3"/>
  <cols>
    <col min="1" max="1" width="15.5546875" bestFit="1" customWidth="1"/>
    <col min="2" max="2" width="20.109375" bestFit="1" customWidth="1"/>
  </cols>
  <sheetData>
    <row r="3" spans="1:2" x14ac:dyDescent="0.3">
      <c r="A3" s="3" t="s">
        <v>6685</v>
      </c>
      <c r="B3" t="s">
        <v>6689</v>
      </c>
    </row>
    <row r="4" spans="1:2" x14ac:dyDescent="0.3">
      <c r="A4" s="4" t="s">
        <v>33</v>
      </c>
      <c r="B4" s="2">
        <v>15</v>
      </c>
    </row>
    <row r="5" spans="1:2" x14ac:dyDescent="0.3">
      <c r="A5" s="4" t="s">
        <v>11</v>
      </c>
      <c r="B5" s="2">
        <v>28</v>
      </c>
    </row>
    <row r="6" spans="1:2" x14ac:dyDescent="0.3">
      <c r="A6" s="4" t="s">
        <v>46</v>
      </c>
      <c r="B6" s="2">
        <v>16</v>
      </c>
    </row>
    <row r="7" spans="1:2" x14ac:dyDescent="0.3">
      <c r="A7" s="4" t="s">
        <v>74</v>
      </c>
      <c r="B7" s="2">
        <v>6</v>
      </c>
    </row>
    <row r="8" spans="1:2" x14ac:dyDescent="0.3">
      <c r="A8" s="4" t="s">
        <v>141</v>
      </c>
      <c r="B8" s="2">
        <v>1</v>
      </c>
    </row>
    <row r="9" spans="1:2" x14ac:dyDescent="0.3">
      <c r="A9" s="4" t="s">
        <v>28</v>
      </c>
      <c r="B9" s="2">
        <v>7</v>
      </c>
    </row>
    <row r="10" spans="1:2" x14ac:dyDescent="0.3">
      <c r="A10" s="4" t="s">
        <v>69</v>
      </c>
      <c r="B10" s="2">
        <v>7</v>
      </c>
    </row>
    <row r="11" spans="1:2" x14ac:dyDescent="0.3">
      <c r="A11" s="4" t="s">
        <v>100</v>
      </c>
      <c r="B11" s="2">
        <v>8</v>
      </c>
    </row>
    <row r="12" spans="1:2" x14ac:dyDescent="0.3">
      <c r="A12" s="4" t="s">
        <v>17</v>
      </c>
      <c r="B12" s="2">
        <v>7</v>
      </c>
    </row>
    <row r="13" spans="1:2" x14ac:dyDescent="0.3">
      <c r="A13" s="4" t="s">
        <v>23</v>
      </c>
      <c r="B13" s="2">
        <v>22</v>
      </c>
    </row>
    <row r="14" spans="1:2" x14ac:dyDescent="0.3">
      <c r="A14" s="4" t="s">
        <v>6686</v>
      </c>
      <c r="B14" s="2">
        <v>117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CEDA-7F24-4019-94C1-B07E9C3C296E}">
  <dimension ref="A3:B19"/>
  <sheetViews>
    <sheetView topLeftCell="A15" workbookViewId="0">
      <selection activeCell="C17" sqref="C17"/>
    </sheetView>
  </sheetViews>
  <sheetFormatPr defaultRowHeight="14.4" x14ac:dyDescent="0.3"/>
  <cols>
    <col min="1" max="1" width="15.33203125" bestFit="1" customWidth="1"/>
    <col min="2" max="2" width="18.109375" bestFit="1" customWidth="1"/>
  </cols>
  <sheetData>
    <row r="3" spans="1:2" x14ac:dyDescent="0.3">
      <c r="A3" s="3" t="s">
        <v>6685</v>
      </c>
      <c r="B3" t="s">
        <v>6690</v>
      </c>
    </row>
    <row r="4" spans="1:2" x14ac:dyDescent="0.3">
      <c r="A4" s="4" t="s">
        <v>6648</v>
      </c>
      <c r="B4" s="2">
        <v>36</v>
      </c>
    </row>
    <row r="5" spans="1:2" x14ac:dyDescent="0.3">
      <c r="A5" s="4" t="s">
        <v>6665</v>
      </c>
      <c r="B5" s="2">
        <v>20</v>
      </c>
    </row>
    <row r="6" spans="1:2" x14ac:dyDescent="0.3">
      <c r="A6" s="4" t="s">
        <v>6642</v>
      </c>
      <c r="B6" s="2">
        <v>24</v>
      </c>
    </row>
    <row r="7" spans="1:2" x14ac:dyDescent="0.3">
      <c r="A7" s="4" t="s">
        <v>6654</v>
      </c>
      <c r="B7" s="2">
        <v>20</v>
      </c>
    </row>
    <row r="8" spans="1:2" x14ac:dyDescent="0.3">
      <c r="A8" s="4" t="s">
        <v>6652</v>
      </c>
      <c r="B8" s="2">
        <v>40</v>
      </c>
    </row>
    <row r="9" spans="1:2" x14ac:dyDescent="0.3">
      <c r="A9" s="4" t="s">
        <v>6646</v>
      </c>
      <c r="B9" s="2">
        <v>40</v>
      </c>
    </row>
    <row r="10" spans="1:2" x14ac:dyDescent="0.3">
      <c r="A10" s="4" t="s">
        <v>6663</v>
      </c>
      <c r="B10" s="2">
        <v>40</v>
      </c>
    </row>
    <row r="11" spans="1:2" x14ac:dyDescent="0.3">
      <c r="A11" s="4" t="s">
        <v>6650</v>
      </c>
      <c r="B11" s="2">
        <v>20</v>
      </c>
    </row>
    <row r="12" spans="1:2" x14ac:dyDescent="0.3">
      <c r="A12" s="4" t="s">
        <v>6656</v>
      </c>
      <c r="B12" s="2">
        <v>24</v>
      </c>
    </row>
    <row r="13" spans="1:2" x14ac:dyDescent="0.3">
      <c r="A13" s="4" t="s">
        <v>6644</v>
      </c>
      <c r="B13" s="2">
        <v>20</v>
      </c>
    </row>
    <row r="14" spans="1:2" x14ac:dyDescent="0.3">
      <c r="A14" s="4" t="s">
        <v>6640</v>
      </c>
      <c r="B14" s="2">
        <v>20</v>
      </c>
    </row>
    <row r="15" spans="1:2" x14ac:dyDescent="0.3">
      <c r="A15" s="4" t="s">
        <v>6636</v>
      </c>
      <c r="B15" s="2">
        <v>36</v>
      </c>
    </row>
    <row r="16" spans="1:2" x14ac:dyDescent="0.3">
      <c r="A16" s="4" t="s">
        <v>6638</v>
      </c>
      <c r="B16" s="2">
        <v>36</v>
      </c>
    </row>
    <row r="17" spans="1:2" x14ac:dyDescent="0.3">
      <c r="A17" s="4" t="s">
        <v>6659</v>
      </c>
      <c r="B17" s="2">
        <v>48</v>
      </c>
    </row>
    <row r="18" spans="1:2" x14ac:dyDescent="0.3">
      <c r="A18" s="4" t="s">
        <v>6661</v>
      </c>
      <c r="B18" s="2">
        <v>48</v>
      </c>
    </row>
    <row r="19" spans="1:2" x14ac:dyDescent="0.3">
      <c r="A19" s="4" t="s">
        <v>6686</v>
      </c>
      <c r="B19" s="2">
        <v>472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CC3C-FA29-470B-B6DC-EC001A337F2B}">
  <dimension ref="A3:B5"/>
  <sheetViews>
    <sheetView workbookViewId="0">
      <selection activeCell="B4" sqref="B4"/>
    </sheetView>
  </sheetViews>
  <sheetFormatPr defaultRowHeight="14.4" x14ac:dyDescent="0.3"/>
  <cols>
    <col min="1" max="1" width="12.44140625" bestFit="1" customWidth="1"/>
    <col min="2" max="2" width="14.88671875" bestFit="1" customWidth="1"/>
    <col min="3" max="232" width="8.33203125" bestFit="1" customWidth="1"/>
    <col min="233" max="233" width="10.5546875" bestFit="1" customWidth="1"/>
  </cols>
  <sheetData>
    <row r="3" spans="1:2" x14ac:dyDescent="0.3">
      <c r="A3" s="3" t="s">
        <v>6685</v>
      </c>
      <c r="B3" t="s">
        <v>6691</v>
      </c>
    </row>
    <row r="4" spans="1:2" x14ac:dyDescent="0.3">
      <c r="A4" s="4" t="s">
        <v>4090</v>
      </c>
      <c r="B4" s="2">
        <v>231</v>
      </c>
    </row>
    <row r="5" spans="1:2" x14ac:dyDescent="0.3">
      <c r="A5" s="4" t="s">
        <v>6686</v>
      </c>
      <c r="B5" s="2">
        <v>231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6659-A9D6-4ACF-9925-6F9DC85B204D}">
  <dimension ref="A3:B16"/>
  <sheetViews>
    <sheetView workbookViewId="0">
      <selection activeCell="D14" sqref="D14"/>
    </sheetView>
  </sheetViews>
  <sheetFormatPr defaultRowHeight="14.4" x14ac:dyDescent="0.3"/>
  <cols>
    <col min="1" max="1" width="12.44140625" bestFit="1" customWidth="1"/>
    <col min="2" max="2" width="19.109375" bestFit="1" customWidth="1"/>
  </cols>
  <sheetData>
    <row r="3" spans="1:2" x14ac:dyDescent="0.3">
      <c r="A3" s="3" t="s">
        <v>6685</v>
      </c>
      <c r="B3" t="s">
        <v>6692</v>
      </c>
    </row>
    <row r="4" spans="1:2" x14ac:dyDescent="0.3">
      <c r="A4" s="4" t="s">
        <v>4331</v>
      </c>
      <c r="B4" s="2">
        <v>1</v>
      </c>
    </row>
    <row r="5" spans="1:2" x14ac:dyDescent="0.3">
      <c r="A5" s="4" t="s">
        <v>4332</v>
      </c>
      <c r="B5" s="2">
        <v>3</v>
      </c>
    </row>
    <row r="6" spans="1:2" x14ac:dyDescent="0.3">
      <c r="A6" s="4" t="s">
        <v>4333</v>
      </c>
      <c r="B6" s="2">
        <v>8</v>
      </c>
    </row>
    <row r="7" spans="1:2" x14ac:dyDescent="0.3">
      <c r="A7" s="4" t="s">
        <v>4335</v>
      </c>
      <c r="B7" s="2">
        <v>24</v>
      </c>
    </row>
    <row r="8" spans="1:2" x14ac:dyDescent="0.3">
      <c r="A8" s="4" t="s">
        <v>4336</v>
      </c>
      <c r="B8" s="2">
        <v>41</v>
      </c>
    </row>
    <row r="9" spans="1:2" x14ac:dyDescent="0.3">
      <c r="A9" s="4" t="s">
        <v>4337</v>
      </c>
      <c r="B9" s="2">
        <v>20</v>
      </c>
    </row>
    <row r="10" spans="1:2" x14ac:dyDescent="0.3">
      <c r="A10" s="4" t="s">
        <v>4339</v>
      </c>
      <c r="B10" s="2">
        <v>26</v>
      </c>
    </row>
    <row r="11" spans="1:2" x14ac:dyDescent="0.3">
      <c r="A11" s="4" t="s">
        <v>4340</v>
      </c>
      <c r="B11" s="2">
        <v>35</v>
      </c>
    </row>
    <row r="12" spans="1:2" x14ac:dyDescent="0.3">
      <c r="A12" s="4" t="s">
        <v>4341</v>
      </c>
      <c r="B12" s="2">
        <v>25</v>
      </c>
    </row>
    <row r="13" spans="1:2" x14ac:dyDescent="0.3">
      <c r="A13" s="4" t="s">
        <v>4343</v>
      </c>
      <c r="B13" s="2">
        <v>11</v>
      </c>
    </row>
    <row r="14" spans="1:2" x14ac:dyDescent="0.3">
      <c r="A14" s="4" t="s">
        <v>4344</v>
      </c>
      <c r="B14" s="2">
        <v>15</v>
      </c>
    </row>
    <row r="15" spans="1:2" x14ac:dyDescent="0.3">
      <c r="A15" s="4" t="s">
        <v>4345</v>
      </c>
      <c r="B15" s="2">
        <v>21</v>
      </c>
    </row>
    <row r="16" spans="1:2" x14ac:dyDescent="0.3">
      <c r="A16" s="4" t="s">
        <v>6686</v>
      </c>
      <c r="B16" s="2">
        <v>230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1879-E93B-41D3-957A-09887025E314}">
  <dimension ref="A1:AJ70"/>
  <sheetViews>
    <sheetView tabSelected="1" zoomScale="52" workbookViewId="0">
      <selection sqref="A1:AE5"/>
    </sheetView>
  </sheetViews>
  <sheetFormatPr defaultRowHeight="14.4" x14ac:dyDescent="0.3"/>
  <sheetData>
    <row r="1" spans="1:36" ht="14.4" customHeight="1" x14ac:dyDescent="0.6">
      <c r="A1" s="9" t="s">
        <v>6697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7"/>
      <c r="AG1" s="7"/>
      <c r="AH1" s="7"/>
      <c r="AI1" s="7"/>
      <c r="AJ1" s="7"/>
    </row>
    <row r="2" spans="1:36" ht="14.4" customHeight="1" x14ac:dyDescent="0.6">
      <c r="A2" s="8"/>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7"/>
      <c r="AG2" s="7"/>
      <c r="AH2" s="7"/>
      <c r="AI2" s="7"/>
      <c r="AJ2" s="7"/>
    </row>
    <row r="3" spans="1:36" ht="14.4" customHeight="1" x14ac:dyDescent="0.6">
      <c r="A3" s="8"/>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7"/>
      <c r="AG3" s="7"/>
      <c r="AH3" s="7"/>
      <c r="AI3" s="7"/>
      <c r="AJ3" s="7"/>
    </row>
    <row r="4" spans="1:36" ht="14.4" customHeight="1" x14ac:dyDescent="0.6">
      <c r="A4" s="8"/>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7"/>
      <c r="AG4" s="7"/>
      <c r="AH4" s="7"/>
      <c r="AI4" s="7"/>
      <c r="AJ4" s="7"/>
    </row>
    <row r="5" spans="1:36" ht="14.4" customHeight="1" x14ac:dyDescent="0.6">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7"/>
      <c r="AG5" s="7"/>
      <c r="AH5" s="7"/>
      <c r="AI5" s="7"/>
      <c r="AJ5" s="7"/>
    </row>
    <row r="6" spans="1:36"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6"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6"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6"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6"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6"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6"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6"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6"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6"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6"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1"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1"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1"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1:3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1:3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1:3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1:3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1:3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1:3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row>
    <row r="36" spans="1:3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row>
    <row r="37" spans="1:3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row>
    <row r="38" spans="1:31"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row>
    <row r="39" spans="1:31"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row>
    <row r="40" spans="1:31"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row>
    <row r="41" spans="1:31"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row>
    <row r="42" spans="1:31"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row>
    <row r="43" spans="1:31"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row>
    <row r="44" spans="1:31"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row>
    <row r="45" spans="1:31"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row>
    <row r="46" spans="1:31"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row>
    <row r="47" spans="1:31"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row>
    <row r="48" spans="1:31"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row>
    <row r="49" spans="1:31"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row>
    <row r="50" spans="1:31"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row>
    <row r="51" spans="1:31"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row>
    <row r="52" spans="1:31"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row>
    <row r="53" spans="1:31"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row>
    <row r="54" spans="1:31"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row>
    <row r="55" spans="1:31"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row>
    <row r="56" spans="1:31"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row>
    <row r="57" spans="1:31"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row>
    <row r="58" spans="1:31"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row>
    <row r="59" spans="1:3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row>
    <row r="60" spans="1:31"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row>
    <row r="61" spans="1:31"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row>
    <row r="62" spans="1:31"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row>
    <row r="63" spans="1:31"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spans="1:31"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spans="1:31"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spans="1:31"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spans="1:31"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spans="1:31"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1:31"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spans="1:31"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sheetData>
  <mergeCells count="2">
    <mergeCell ref="A1:AE5"/>
    <mergeCell ref="A6:AE7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E8EB-64F7-4B7A-8E37-E3E07A96C410}">
  <dimension ref="H1:I12"/>
  <sheetViews>
    <sheetView topLeftCell="H1" workbookViewId="0">
      <selection activeCell="I4" sqref="I4"/>
    </sheetView>
  </sheetViews>
  <sheetFormatPr defaultRowHeight="14.4" x14ac:dyDescent="0.3"/>
  <cols>
    <col min="8" max="8" width="19.5546875" bestFit="1" customWidth="1"/>
  </cols>
  <sheetData>
    <row r="1" spans="8:9" x14ac:dyDescent="0.3">
      <c r="I1" t="s">
        <v>6684</v>
      </c>
    </row>
    <row r="2" spans="8:9" x14ac:dyDescent="0.3">
      <c r="H2" t="s">
        <v>6673</v>
      </c>
      <c r="I2">
        <f>COUNTA(Candidates!A:A)-1</f>
        <v>1200</v>
      </c>
    </row>
    <row r="3" spans="8:9" x14ac:dyDescent="0.3">
      <c r="H3" t="s">
        <v>6674</v>
      </c>
      <c r="I3">
        <f>COUNTA([1]Recruiters!A:A)-1</f>
        <v>1048575</v>
      </c>
    </row>
    <row r="4" spans="8:9" x14ac:dyDescent="0.3">
      <c r="H4" t="s">
        <v>6675</v>
      </c>
      <c r="I4">
        <f>COUNTA([1]Recruiters!A:A)-1</f>
        <v>1048575</v>
      </c>
    </row>
    <row r="5" spans="8:9" x14ac:dyDescent="0.3">
      <c r="H5" t="s">
        <v>6676</v>
      </c>
    </row>
    <row r="6" spans="8:9" x14ac:dyDescent="0.3">
      <c r="H6" t="s">
        <v>6677</v>
      </c>
    </row>
    <row r="7" spans="8:9" x14ac:dyDescent="0.3">
      <c r="H7" t="s">
        <v>6678</v>
      </c>
    </row>
    <row r="8" spans="8:9" x14ac:dyDescent="0.3">
      <c r="H8" t="s">
        <v>6679</v>
      </c>
    </row>
    <row r="9" spans="8:9" x14ac:dyDescent="0.3">
      <c r="H9" t="s">
        <v>6680</v>
      </c>
    </row>
    <row r="10" spans="8:9" x14ac:dyDescent="0.3">
      <c r="H10" t="s">
        <v>6681</v>
      </c>
    </row>
    <row r="11" spans="8:9" x14ac:dyDescent="0.3">
      <c r="H11" t="s">
        <v>6682</v>
      </c>
    </row>
    <row r="12" spans="8:9" x14ac:dyDescent="0.3">
      <c r="H12" t="s">
        <v>6683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Employee_Joining</vt:lpstr>
      <vt:lpstr>Interview</vt:lpstr>
      <vt:lpstr>Job_Opening</vt:lpstr>
      <vt:lpstr>Offers</vt:lpstr>
      <vt:lpstr>Recruitment_Target</vt:lpstr>
      <vt:lpstr>Recruiter</vt:lpstr>
      <vt:lpstr>Calendar</vt:lpstr>
      <vt:lpstr>Candidates</vt:lpstr>
      <vt:lpstr>Candidate_SourceP1</vt:lpstr>
      <vt:lpstr>Experience_BandP2</vt:lpstr>
      <vt:lpstr>Age_GroupP3</vt:lpstr>
      <vt:lpstr>Monthly_Applicationp4</vt:lpstr>
      <vt:lpstr>Department_HiringP5</vt:lpstr>
      <vt:lpstr>Recruiter_PerformanceP6</vt:lpstr>
      <vt:lpstr>Offer_StatusP7</vt:lpstr>
      <vt:lpstr>Joining_TrendP8</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deshmukh</dc:creator>
  <cp:lastModifiedBy>Sakshi deshmukh</cp:lastModifiedBy>
  <dcterms:created xsi:type="dcterms:W3CDTF">2026-08-01T18:40:04Z</dcterms:created>
  <dcterms:modified xsi:type="dcterms:W3CDTF">2026-08-02T13:47:21Z</dcterms:modified>
</cp:coreProperties>
</file>